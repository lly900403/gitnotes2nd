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efaultThemeVersion="124226"/>
  <bookViews>
    <workbookView xWindow="480" yWindow="135" windowWidth="18195" windowHeight="11760" tabRatio="818" firstSheet="1" activeTab="1"/>
  </bookViews>
  <sheets>
    <sheet name="13688709_20150327_170923_eco" sheetId="1" state="hidden" r:id="rId1"/>
    <sheet name="Economic Releases" sheetId="4" r:id="rId2"/>
    <sheet name="Most Up &amp; Down" sheetId="9" r:id="rId3"/>
    <sheet name="Currencies &amp; Commodities" sheetId="3" r:id="rId4"/>
    <sheet name="Security Analysis" sheetId="13" r:id="rId5"/>
    <sheet name="ECO Calendar" sheetId="2" r:id="rId6"/>
    <sheet name="Data" sheetId="7" state="hidden" r:id="rId7"/>
    <sheet name="ISSUES" sheetId="11" state="hidden" r:id="rId8"/>
  </sheets>
  <definedNames>
    <definedName name="_xlnm._FilterDatabase" localSheetId="5" hidden="1">'ECO Calendar'!$B$6:$U$122</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41786.7237615741</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45621"/>
</workbook>
</file>

<file path=xl/calcChain.xml><?xml version="1.0" encoding="utf-8"?>
<calcChain xmlns="http://schemas.openxmlformats.org/spreadsheetml/2006/main">
  <c r="U7" i="13" l="1"/>
  <c r="V7" i="13"/>
  <c r="W7" i="13"/>
  <c r="X7" i="13"/>
  <c r="U8" i="13"/>
  <c r="V8" i="13"/>
  <c r="W8" i="13"/>
  <c r="X8" i="13"/>
  <c r="U9" i="13"/>
  <c r="V9" i="13"/>
  <c r="W9" i="13"/>
  <c r="X9" i="13"/>
  <c r="U10" i="13"/>
  <c r="V10" i="13"/>
  <c r="W10" i="13"/>
  <c r="X10" i="13"/>
  <c r="U11" i="13"/>
  <c r="V11" i="13"/>
  <c r="W11" i="13"/>
  <c r="X11" i="13"/>
  <c r="U12" i="13"/>
  <c r="V12" i="13"/>
  <c r="W12" i="13"/>
  <c r="X12" i="13"/>
  <c r="U13" i="13"/>
  <c r="V13" i="13"/>
  <c r="W13" i="13"/>
  <c r="X13" i="13"/>
  <c r="U14" i="13"/>
  <c r="V14" i="13"/>
  <c r="W14" i="13"/>
  <c r="X14" i="13"/>
  <c r="U15" i="13"/>
  <c r="V15" i="13"/>
  <c r="W15" i="13"/>
  <c r="X15" i="13"/>
  <c r="U16" i="13"/>
  <c r="V16" i="13"/>
  <c r="W16" i="13"/>
  <c r="X16" i="13"/>
  <c r="U17" i="13"/>
  <c r="V17" i="13"/>
  <c r="W17" i="13"/>
  <c r="X17" i="13"/>
  <c r="U18" i="13"/>
  <c r="V18" i="13"/>
  <c r="W18" i="13"/>
  <c r="X18" i="13"/>
  <c r="U19" i="13"/>
  <c r="V19" i="13"/>
  <c r="W19" i="13"/>
  <c r="X19" i="13"/>
  <c r="U20" i="13"/>
  <c r="V20" i="13"/>
  <c r="W20" i="13"/>
  <c r="X20" i="13"/>
  <c r="U21" i="13"/>
  <c r="V21" i="13"/>
  <c r="W21" i="13"/>
  <c r="X21" i="13"/>
  <c r="U22" i="13"/>
  <c r="V22" i="13"/>
  <c r="W22" i="13"/>
  <c r="X22" i="13"/>
  <c r="U23" i="13"/>
  <c r="V23" i="13"/>
  <c r="W23" i="13"/>
  <c r="X23" i="13"/>
  <c r="U24" i="13"/>
  <c r="V24" i="13"/>
  <c r="W24" i="13"/>
  <c r="X24" i="13"/>
  <c r="U25" i="13"/>
  <c r="V25" i="13"/>
  <c r="W25" i="13"/>
  <c r="X25" i="13"/>
  <c r="U26" i="13"/>
  <c r="V26" i="13"/>
  <c r="W26" i="13"/>
  <c r="X26" i="13"/>
  <c r="U27" i="13"/>
  <c r="V27" i="13"/>
  <c r="W27" i="13"/>
  <c r="X27" i="13"/>
  <c r="U28" i="13"/>
  <c r="V28" i="13"/>
  <c r="W28" i="13"/>
  <c r="X28" i="13"/>
  <c r="U29" i="13"/>
  <c r="V29" i="13"/>
  <c r="W29" i="13"/>
  <c r="X29" i="13"/>
  <c r="U30" i="13"/>
  <c r="V30" i="13"/>
  <c r="W30" i="13"/>
  <c r="X30" i="13"/>
  <c r="U31" i="13"/>
  <c r="V31" i="13"/>
  <c r="W31" i="13"/>
  <c r="X31" i="13"/>
  <c r="U32" i="13"/>
  <c r="V32" i="13"/>
  <c r="W32" i="13"/>
  <c r="X32" i="13"/>
  <c r="U33" i="13"/>
  <c r="V33" i="13"/>
  <c r="W33" i="13"/>
  <c r="X33" i="13"/>
  <c r="U34" i="13"/>
  <c r="V34" i="13"/>
  <c r="W34" i="13"/>
  <c r="X34" i="13"/>
  <c r="U35" i="13"/>
  <c r="V35" i="13"/>
  <c r="W35" i="13"/>
  <c r="X35" i="13"/>
  <c r="U36" i="13"/>
  <c r="V36" i="13"/>
  <c r="W36" i="13"/>
  <c r="X36" i="13"/>
  <c r="J14" i="13"/>
  <c r="J22" i="13"/>
  <c r="J30" i="13"/>
  <c r="J15" i="13"/>
  <c r="J23" i="13"/>
  <c r="J31" i="13"/>
  <c r="J8" i="13"/>
  <c r="J16" i="13"/>
  <c r="J24" i="13"/>
  <c r="J32" i="13"/>
  <c r="J9" i="13"/>
  <c r="J17" i="13"/>
  <c r="J25" i="13"/>
  <c r="J33" i="13"/>
  <c r="J10" i="13"/>
  <c r="J18" i="13"/>
  <c r="J26" i="13"/>
  <c r="J34" i="13"/>
  <c r="J11" i="13"/>
  <c r="J19" i="13"/>
  <c r="J27" i="13"/>
  <c r="J35" i="13"/>
  <c r="J12" i="13"/>
  <c r="J20" i="13"/>
  <c r="J28" i="13"/>
  <c r="J36" i="13"/>
  <c r="J13" i="13"/>
  <c r="J21" i="13"/>
  <c r="J29" i="13"/>
  <c r="J7" i="13"/>
  <c r="B8" i="13"/>
  <c r="R8" i="13"/>
  <c r="Z8" i="13"/>
  <c r="H9" i="13"/>
  <c r="P9" i="13"/>
  <c r="F10" i="13"/>
  <c r="N10" i="13"/>
  <c r="D11" i="13"/>
  <c r="L11" i="13"/>
  <c r="T11" i="13"/>
  <c r="B12" i="13"/>
  <c r="R12" i="13"/>
  <c r="Z12" i="13"/>
  <c r="H13" i="13"/>
  <c r="P13" i="13"/>
  <c r="F14" i="13"/>
  <c r="N14" i="13"/>
  <c r="D15" i="13"/>
  <c r="L15" i="13"/>
  <c r="T15" i="13"/>
  <c r="B16" i="13"/>
  <c r="R16" i="13"/>
  <c r="Z16" i="13"/>
  <c r="H17" i="13"/>
  <c r="P17" i="13"/>
  <c r="F18" i="13"/>
  <c r="N18" i="13"/>
  <c r="D19" i="13"/>
  <c r="L19" i="13"/>
  <c r="T19" i="13"/>
  <c r="B20" i="13"/>
  <c r="R20" i="13"/>
  <c r="Z20" i="13"/>
  <c r="H21" i="13"/>
  <c r="P21" i="13"/>
  <c r="F22" i="13"/>
  <c r="N22" i="13"/>
  <c r="D23" i="13"/>
  <c r="L23" i="13"/>
  <c r="T23" i="13"/>
  <c r="B24" i="13"/>
  <c r="R24" i="13"/>
  <c r="Z24" i="13"/>
  <c r="H25" i="13"/>
  <c r="P25" i="13"/>
  <c r="F26" i="13"/>
  <c r="N26" i="13"/>
  <c r="D27" i="13"/>
  <c r="L27" i="13"/>
  <c r="T27" i="13"/>
  <c r="B28" i="13"/>
  <c r="R28" i="13"/>
  <c r="Z28" i="13"/>
  <c r="H29" i="13"/>
  <c r="P29" i="13"/>
  <c r="F30" i="13"/>
  <c r="N30" i="13"/>
  <c r="D31" i="13"/>
  <c r="L31" i="13"/>
  <c r="T31" i="13"/>
  <c r="B32" i="13"/>
  <c r="R32" i="13"/>
  <c r="Z32" i="13"/>
  <c r="H33" i="13"/>
  <c r="C8" i="13"/>
  <c r="K8" i="13"/>
  <c r="S8" i="13"/>
  <c r="AA8" i="13"/>
  <c r="I9" i="13"/>
  <c r="Q9" i="13"/>
  <c r="Y9" i="13"/>
  <c r="G10" i="13"/>
  <c r="O10" i="13"/>
  <c r="E11" i="13"/>
  <c r="M11" i="13"/>
  <c r="C12" i="13"/>
  <c r="K12" i="13"/>
  <c r="S12" i="13"/>
  <c r="AA12" i="13"/>
  <c r="I13" i="13"/>
  <c r="Q13" i="13"/>
  <c r="Y13" i="13"/>
  <c r="G14" i="13"/>
  <c r="O14" i="13"/>
  <c r="E15" i="13"/>
  <c r="M15" i="13"/>
  <c r="C16" i="13"/>
  <c r="K16" i="13"/>
  <c r="S16" i="13"/>
  <c r="AA16" i="13"/>
  <c r="I17" i="13"/>
  <c r="Q17" i="13"/>
  <c r="Y17" i="13"/>
  <c r="G18" i="13"/>
  <c r="O18" i="13"/>
  <c r="E19" i="13"/>
  <c r="M19" i="13"/>
  <c r="C20" i="13"/>
  <c r="K20" i="13"/>
  <c r="S20" i="13"/>
  <c r="AA20" i="13"/>
  <c r="I21" i="13"/>
  <c r="Q21" i="13"/>
  <c r="Y21" i="13"/>
  <c r="G22" i="13"/>
  <c r="O22" i="13"/>
  <c r="E23" i="13"/>
  <c r="M23" i="13"/>
  <c r="C24" i="13"/>
  <c r="K24" i="13"/>
  <c r="S24" i="13"/>
  <c r="AA24" i="13"/>
  <c r="I25" i="13"/>
  <c r="Q25" i="13"/>
  <c r="Y25" i="13"/>
  <c r="G26" i="13"/>
  <c r="O26" i="13"/>
  <c r="E27" i="13"/>
  <c r="M27" i="13"/>
  <c r="C28" i="13"/>
  <c r="K28" i="13"/>
  <c r="S28" i="13"/>
  <c r="AA28" i="13"/>
  <c r="I29" i="13"/>
  <c r="Q29" i="13"/>
  <c r="Y29" i="13"/>
  <c r="G30" i="13"/>
  <c r="O30" i="13"/>
  <c r="E31" i="13"/>
  <c r="M31" i="13"/>
  <c r="C32" i="13"/>
  <c r="K32" i="13"/>
  <c r="S32" i="13"/>
  <c r="AA32" i="13"/>
  <c r="I33" i="13"/>
  <c r="Q33" i="13"/>
  <c r="Y33" i="13"/>
  <c r="D8" i="13"/>
  <c r="L8" i="13"/>
  <c r="T8" i="13"/>
  <c r="B9" i="13"/>
  <c r="R9" i="13"/>
  <c r="Z9" i="13"/>
  <c r="H10" i="13"/>
  <c r="P10" i="13"/>
  <c r="F11" i="13"/>
  <c r="N11" i="13"/>
  <c r="D12" i="13"/>
  <c r="L12" i="13"/>
  <c r="T12" i="13"/>
  <c r="B13" i="13"/>
  <c r="R13" i="13"/>
  <c r="Z13" i="13"/>
  <c r="H14" i="13"/>
  <c r="P14" i="13"/>
  <c r="F15" i="13"/>
  <c r="N15" i="13"/>
  <c r="D16" i="13"/>
  <c r="L16" i="13"/>
  <c r="T16" i="13"/>
  <c r="B17" i="13"/>
  <c r="R17" i="13"/>
  <c r="Z17" i="13"/>
  <c r="H18" i="13"/>
  <c r="P18" i="13"/>
  <c r="F19" i="13"/>
  <c r="N19" i="13"/>
  <c r="D20" i="13"/>
  <c r="L20" i="13"/>
  <c r="T20" i="13"/>
  <c r="B21" i="13"/>
  <c r="R21" i="13"/>
  <c r="Z21" i="13"/>
  <c r="H22" i="13"/>
  <c r="P22" i="13"/>
  <c r="F23" i="13"/>
  <c r="N23" i="13"/>
  <c r="D24" i="13"/>
  <c r="L24" i="13"/>
  <c r="T24" i="13"/>
  <c r="B25" i="13"/>
  <c r="R25" i="13"/>
  <c r="Z25" i="13"/>
  <c r="H26" i="13"/>
  <c r="P26" i="13"/>
  <c r="F27" i="13"/>
  <c r="N27" i="13"/>
  <c r="D28" i="13"/>
  <c r="L28" i="13"/>
  <c r="T28" i="13"/>
  <c r="B29" i="13"/>
  <c r="R29" i="13"/>
  <c r="Z29" i="13"/>
  <c r="H30" i="13"/>
  <c r="P30" i="13"/>
  <c r="F31" i="13"/>
  <c r="N31" i="13"/>
  <c r="D32" i="13"/>
  <c r="L32" i="13"/>
  <c r="T32" i="13"/>
  <c r="B33" i="13"/>
  <c r="R33" i="13"/>
  <c r="H8" i="13"/>
  <c r="P8" i="13"/>
  <c r="F9" i="13"/>
  <c r="N9" i="13"/>
  <c r="D10" i="13"/>
  <c r="L10" i="13"/>
  <c r="T10" i="13"/>
  <c r="B11" i="13"/>
  <c r="R11" i="13"/>
  <c r="Z11" i="13"/>
  <c r="H12" i="13"/>
  <c r="P12" i="13"/>
  <c r="F13" i="13"/>
  <c r="N13" i="13"/>
  <c r="D14" i="13"/>
  <c r="L14" i="13"/>
  <c r="T14" i="13"/>
  <c r="B15" i="13"/>
  <c r="R15" i="13"/>
  <c r="Z15" i="13"/>
  <c r="H16" i="13"/>
  <c r="P16" i="13"/>
  <c r="F17" i="13"/>
  <c r="N17" i="13"/>
  <c r="D18" i="13"/>
  <c r="L18" i="13"/>
  <c r="T18" i="13"/>
  <c r="B19" i="13"/>
  <c r="R19" i="13"/>
  <c r="Z19" i="13"/>
  <c r="H20" i="13"/>
  <c r="P20" i="13"/>
  <c r="F21" i="13"/>
  <c r="N21" i="13"/>
  <c r="D22" i="13"/>
  <c r="L22" i="13"/>
  <c r="T22" i="13"/>
  <c r="B23" i="13"/>
  <c r="R23" i="13"/>
  <c r="Z23" i="13"/>
  <c r="H24" i="13"/>
  <c r="P24" i="13"/>
  <c r="F25" i="13"/>
  <c r="N25" i="13"/>
  <c r="D26" i="13"/>
  <c r="L26" i="13"/>
  <c r="T26" i="13"/>
  <c r="B27" i="13"/>
  <c r="R27" i="13"/>
  <c r="Z27" i="13"/>
  <c r="H28" i="13"/>
  <c r="P28" i="13"/>
  <c r="F29" i="13"/>
  <c r="N29" i="13"/>
  <c r="D30" i="13"/>
  <c r="L30" i="13"/>
  <c r="T30" i="13"/>
  <c r="B31" i="13"/>
  <c r="R31" i="13"/>
  <c r="Z31" i="13"/>
  <c r="H32" i="13"/>
  <c r="P32" i="13"/>
  <c r="F33" i="13"/>
  <c r="N33" i="13"/>
  <c r="D34" i="13"/>
  <c r="L34" i="13"/>
  <c r="T34" i="13"/>
  <c r="B35" i="13"/>
  <c r="R35" i="13"/>
  <c r="Z35" i="13"/>
  <c r="H36" i="13"/>
  <c r="P36" i="13"/>
  <c r="I8" i="13"/>
  <c r="Q8" i="13"/>
  <c r="Y8" i="13"/>
  <c r="G9" i="13"/>
  <c r="O9" i="13"/>
  <c r="E10" i="13"/>
  <c r="M10" i="13"/>
  <c r="C11" i="13"/>
  <c r="K11" i="13"/>
  <c r="S11" i="13"/>
  <c r="AA11" i="13"/>
  <c r="I12" i="13"/>
  <c r="Q12" i="13"/>
  <c r="Y12" i="13"/>
  <c r="G13" i="13"/>
  <c r="O13" i="13"/>
  <c r="E14" i="13"/>
  <c r="M14" i="13"/>
  <c r="C15" i="13"/>
  <c r="K15" i="13"/>
  <c r="S15" i="13"/>
  <c r="AA15" i="13"/>
  <c r="I16" i="13"/>
  <c r="Q16" i="13"/>
  <c r="Y16" i="13"/>
  <c r="G17" i="13"/>
  <c r="O17" i="13"/>
  <c r="E18" i="13"/>
  <c r="E8" i="13"/>
  <c r="T9" i="13"/>
  <c r="Q10" i="13"/>
  <c r="I11" i="13"/>
  <c r="F12" i="13"/>
  <c r="C13" i="13"/>
  <c r="R14" i="13"/>
  <c r="O15" i="13"/>
  <c r="G16" i="13"/>
  <c r="D17" i="13"/>
  <c r="AA17" i="13"/>
  <c r="R18" i="13"/>
  <c r="H19" i="13"/>
  <c r="N20" i="13"/>
  <c r="D21" i="13"/>
  <c r="T21" i="13"/>
  <c r="Z22" i="13"/>
  <c r="P23" i="13"/>
  <c r="F24" i="13"/>
  <c r="L25" i="13"/>
  <c r="B26" i="13"/>
  <c r="R26" i="13"/>
  <c r="H27" i="13"/>
  <c r="N28" i="13"/>
  <c r="D29" i="13"/>
  <c r="T29" i="13"/>
  <c r="Z30" i="13"/>
  <c r="P31" i="13"/>
  <c r="F32" i="13"/>
  <c r="L33" i="13"/>
  <c r="Q34" i="13"/>
  <c r="I35" i="13"/>
  <c r="B36" i="13"/>
  <c r="T36" i="13"/>
  <c r="B10" i="13"/>
  <c r="C14" i="13"/>
  <c r="O16" i="13"/>
  <c r="Y18" i="13"/>
  <c r="K21" i="13"/>
  <c r="M24" i="13"/>
  <c r="Y26" i="13"/>
  <c r="K29" i="13"/>
  <c r="B34" i="13"/>
  <c r="K34" i="13"/>
  <c r="N8" i="13"/>
  <c r="F20" i="13"/>
  <c r="R22" i="13"/>
  <c r="D25" i="13"/>
  <c r="P27" i="13"/>
  <c r="B30" i="13"/>
  <c r="N32" i="13"/>
  <c r="M34" i="13"/>
  <c r="O8" i="13"/>
  <c r="M13" i="13"/>
  <c r="AA18" i="13"/>
  <c r="M21" i="13"/>
  <c r="Y23" i="13"/>
  <c r="AA26" i="13"/>
  <c r="C30" i="13"/>
  <c r="E33" i="13"/>
  <c r="F35" i="13"/>
  <c r="Q36" i="13"/>
  <c r="F8" i="13"/>
  <c r="C9" i="13"/>
  <c r="R10" i="13"/>
  <c r="O11" i="13"/>
  <c r="G12" i="13"/>
  <c r="D13" i="13"/>
  <c r="AA13" i="13"/>
  <c r="S14" i="13"/>
  <c r="P15" i="13"/>
  <c r="M16" i="13"/>
  <c r="E17" i="13"/>
  <c r="B18" i="13"/>
  <c r="S18" i="13"/>
  <c r="I19" i="13"/>
  <c r="Y19" i="13"/>
  <c r="O20" i="13"/>
  <c r="E21" i="13"/>
  <c r="K22" i="13"/>
  <c r="AA22" i="13"/>
  <c r="Q23" i="13"/>
  <c r="G24" i="13"/>
  <c r="M25" i="13"/>
  <c r="C26" i="13"/>
  <c r="S26" i="13"/>
  <c r="I27" i="13"/>
  <c r="Y27" i="13"/>
  <c r="O28" i="13"/>
  <c r="E29" i="13"/>
  <c r="K30" i="13"/>
  <c r="AA30" i="13"/>
  <c r="Q31" i="13"/>
  <c r="G32" i="13"/>
  <c r="M33" i="13"/>
  <c r="Z33" i="13"/>
  <c r="I34" i="13"/>
  <c r="R34" i="13"/>
  <c r="AA34" i="13"/>
  <c r="K35" i="13"/>
  <c r="T35" i="13"/>
  <c r="L36" i="13"/>
  <c r="E9" i="13"/>
  <c r="N12" i="13"/>
  <c r="O19" i="13"/>
  <c r="G23" i="13"/>
  <c r="S25" i="13"/>
  <c r="E28" i="13"/>
  <c r="Q30" i="13"/>
  <c r="P33" i="13"/>
  <c r="M35" i="13"/>
  <c r="Z10" i="13"/>
  <c r="AA14" i="13"/>
  <c r="L21" i="13"/>
  <c r="R30" i="13"/>
  <c r="D33" i="13"/>
  <c r="N35" i="13"/>
  <c r="O36" i="13"/>
  <c r="L9" i="13"/>
  <c r="Y15" i="13"/>
  <c r="Q19" i="13"/>
  <c r="S22" i="13"/>
  <c r="O24" i="13"/>
  <c r="K26" i="13"/>
  <c r="G28" i="13"/>
  <c r="M29" i="13"/>
  <c r="Y31" i="13"/>
  <c r="E34" i="13"/>
  <c r="G8" i="13"/>
  <c r="D9" i="13"/>
  <c r="AA9" i="13"/>
  <c r="S10" i="13"/>
  <c r="P11" i="13"/>
  <c r="M12" i="13"/>
  <c r="E13" i="13"/>
  <c r="B14" i="13"/>
  <c r="Y14" i="13"/>
  <c r="Q15" i="13"/>
  <c r="N16" i="13"/>
  <c r="K17" i="13"/>
  <c r="C18" i="13"/>
  <c r="K19" i="13"/>
  <c r="AA19" i="13"/>
  <c r="Q20" i="13"/>
  <c r="G21" i="13"/>
  <c r="M22" i="13"/>
  <c r="C23" i="13"/>
  <c r="S23" i="13"/>
  <c r="I24" i="13"/>
  <c r="Y24" i="13"/>
  <c r="O25" i="13"/>
  <c r="E26" i="13"/>
  <c r="K27" i="13"/>
  <c r="AA27" i="13"/>
  <c r="Q28" i="13"/>
  <c r="G29" i="13"/>
  <c r="M30" i="13"/>
  <c r="C31" i="13"/>
  <c r="S31" i="13"/>
  <c r="I32" i="13"/>
  <c r="Y32" i="13"/>
  <c r="O33" i="13"/>
  <c r="AA33" i="13"/>
  <c r="S34" i="13"/>
  <c r="C35" i="13"/>
  <c r="L35" i="13"/>
  <c r="M36" i="13"/>
  <c r="Y10" i="13"/>
  <c r="K13" i="13"/>
  <c r="L17" i="13"/>
  <c r="E20" i="13"/>
  <c r="Q22" i="13"/>
  <c r="C25" i="13"/>
  <c r="O27" i="13"/>
  <c r="AA29" i="13"/>
  <c r="M32" i="13"/>
  <c r="D35" i="13"/>
  <c r="N36" i="13"/>
  <c r="C10" i="13"/>
  <c r="Z18" i="13"/>
  <c r="H23" i="13"/>
  <c r="T25" i="13"/>
  <c r="F28" i="13"/>
  <c r="H31" i="13"/>
  <c r="C34" i="13"/>
  <c r="F36" i="13"/>
  <c r="AA10" i="13"/>
  <c r="S17" i="13"/>
  <c r="I23" i="13"/>
  <c r="I31" i="13"/>
  <c r="T33" i="13"/>
  <c r="N34" i="13"/>
  <c r="O35" i="13"/>
  <c r="Z36" i="13"/>
  <c r="M9" i="13"/>
  <c r="G11" i="13"/>
  <c r="Y11" i="13"/>
  <c r="S13" i="13"/>
  <c r="K14" i="13"/>
  <c r="H15" i="13"/>
  <c r="E16" i="13"/>
  <c r="T17" i="13"/>
  <c r="M18" i="13"/>
  <c r="C19" i="13"/>
  <c r="S19" i="13"/>
  <c r="I20" i="13"/>
  <c r="Y20" i="13"/>
  <c r="O21" i="13"/>
  <c r="E22" i="13"/>
  <c r="K23" i="13"/>
  <c r="AA23" i="13"/>
  <c r="Q24" i="13"/>
  <c r="G25" i="13"/>
  <c r="M26" i="13"/>
  <c r="C27" i="13"/>
  <c r="S27" i="13"/>
  <c r="I28" i="13"/>
  <c r="Y28" i="13"/>
  <c r="O29" i="13"/>
  <c r="E30" i="13"/>
  <c r="K31" i="13"/>
  <c r="AA31" i="13"/>
  <c r="Q32" i="13"/>
  <c r="G33" i="13"/>
  <c r="F34" i="13"/>
  <c r="O34" i="13"/>
  <c r="G35" i="13"/>
  <c r="P35" i="13"/>
  <c r="Y35" i="13"/>
  <c r="I36" i="13"/>
  <c r="R36" i="13"/>
  <c r="AA36" i="13"/>
  <c r="S9" i="13"/>
  <c r="K10" i="13"/>
  <c r="H11" i="13"/>
  <c r="E12" i="13"/>
  <c r="T13" i="13"/>
  <c r="Q14" i="13"/>
  <c r="I15" i="13"/>
  <c r="F16" i="13"/>
  <c r="C17" i="13"/>
  <c r="Q18" i="13"/>
  <c r="G19" i="13"/>
  <c r="M20" i="13"/>
  <c r="C21" i="13"/>
  <c r="S21" i="13"/>
  <c r="I22" i="13"/>
  <c r="Y22" i="13"/>
  <c r="O23" i="13"/>
  <c r="E24" i="13"/>
  <c r="K25" i="13"/>
  <c r="AA25" i="13"/>
  <c r="Q26" i="13"/>
  <c r="G27" i="13"/>
  <c r="M28" i="13"/>
  <c r="C29" i="13"/>
  <c r="S29" i="13"/>
  <c r="I30" i="13"/>
  <c r="Y30" i="13"/>
  <c r="O31" i="13"/>
  <c r="E32" i="13"/>
  <c r="K33" i="13"/>
  <c r="G34" i="13"/>
  <c r="P34" i="13"/>
  <c r="Y34" i="13"/>
  <c r="H35" i="13"/>
  <c r="Q35" i="13"/>
  <c r="AA35" i="13"/>
  <c r="S36" i="13"/>
  <c r="H34" i="13"/>
  <c r="Z34" i="13"/>
  <c r="S35" i="13"/>
  <c r="K36" i="13"/>
  <c r="C36" i="13"/>
  <c r="D36" i="13"/>
  <c r="M8" i="13"/>
  <c r="Q11" i="13"/>
  <c r="Z14" i="13"/>
  <c r="I18" i="13"/>
  <c r="AA21" i="13"/>
  <c r="I26" i="13"/>
  <c r="G31" i="13"/>
  <c r="C33" i="13"/>
  <c r="E36" i="13"/>
  <c r="K9" i="13"/>
  <c r="O12" i="13"/>
  <c r="L13" i="13"/>
  <c r="I14" i="13"/>
  <c r="M17" i="13"/>
  <c r="P19" i="13"/>
  <c r="B22" i="13"/>
  <c r="N24" i="13"/>
  <c r="Z26" i="13"/>
  <c r="L29" i="13"/>
  <c r="S33" i="13"/>
  <c r="E35" i="13"/>
  <c r="Y36" i="13"/>
  <c r="I10" i="13"/>
  <c r="G15" i="13"/>
  <c r="K18" i="13"/>
  <c r="G20" i="13"/>
  <c r="C22" i="13"/>
  <c r="E25" i="13"/>
  <c r="Q27" i="13"/>
  <c r="S30" i="13"/>
  <c r="O32" i="13"/>
  <c r="G36" i="13"/>
  <c r="D7" i="13"/>
  <c r="Z7" i="13"/>
  <c r="N7" i="13"/>
  <c r="G7" i="13"/>
  <c r="F7" i="13"/>
  <c r="M7" i="13"/>
  <c r="P7" i="13"/>
  <c r="I7" i="13"/>
  <c r="S7" i="13"/>
  <c r="H7" i="13"/>
  <c r="R7" i="13"/>
  <c r="C7" i="13"/>
  <c r="AA7" i="13"/>
  <c r="K7" i="13"/>
  <c r="E7" i="13"/>
  <c r="Q7" i="13"/>
  <c r="B7" i="13"/>
  <c r="L7" i="13"/>
  <c r="T7" i="13"/>
  <c r="O7" i="13"/>
  <c r="Y7" i="13"/>
  <c r="G14" i="3" l="1"/>
  <c r="F14" i="3"/>
  <c r="E14" i="3"/>
  <c r="D14" i="3"/>
  <c r="D8" i="3"/>
  <c r="E8" i="3"/>
  <c r="F8" i="3"/>
  <c r="G8" i="3"/>
  <c r="D9" i="3"/>
  <c r="E9" i="3"/>
  <c r="F9" i="3"/>
  <c r="G9" i="3"/>
  <c r="D10" i="3"/>
  <c r="E10" i="3"/>
  <c r="F10" i="3"/>
  <c r="G10" i="3"/>
  <c r="D11" i="3"/>
  <c r="E11" i="3"/>
  <c r="F11" i="3"/>
  <c r="G11" i="3"/>
  <c r="D12" i="3"/>
  <c r="E12" i="3"/>
  <c r="F12" i="3"/>
  <c r="G12" i="3"/>
  <c r="D13" i="3"/>
  <c r="E13" i="3"/>
  <c r="F13" i="3"/>
  <c r="G13" i="3"/>
  <c r="D17" i="3"/>
  <c r="E17" i="3"/>
  <c r="F17" i="3"/>
  <c r="G17" i="3"/>
  <c r="D18" i="3"/>
  <c r="E18" i="3"/>
  <c r="F18" i="3"/>
  <c r="G18" i="3"/>
  <c r="D19" i="3"/>
  <c r="E19" i="3"/>
  <c r="F19" i="3"/>
  <c r="G19" i="3"/>
  <c r="D20" i="3"/>
  <c r="E20" i="3"/>
  <c r="F20" i="3"/>
  <c r="G20" i="3"/>
  <c r="B8" i="9"/>
  <c r="B10" i="9"/>
  <c r="H10" i="9"/>
  <c r="I10" i="9"/>
  <c r="J10" i="9"/>
  <c r="K10" i="9"/>
  <c r="L10" i="9"/>
  <c r="M10" i="9"/>
  <c r="N10" i="9"/>
  <c r="O10" i="9"/>
  <c r="H11" i="9"/>
  <c r="I11" i="9"/>
  <c r="J11" i="9"/>
  <c r="K11" i="9"/>
  <c r="L11" i="9"/>
  <c r="M11" i="9"/>
  <c r="N11" i="9"/>
  <c r="O11" i="9"/>
  <c r="H12" i="9"/>
  <c r="I12" i="9"/>
  <c r="J12" i="9"/>
  <c r="K12" i="9"/>
  <c r="L12" i="9"/>
  <c r="M12" i="9"/>
  <c r="N12" i="9"/>
  <c r="O12" i="9"/>
  <c r="H13" i="9"/>
  <c r="I13" i="9"/>
  <c r="J13" i="9"/>
  <c r="K13" i="9"/>
  <c r="L13" i="9"/>
  <c r="M13" i="9"/>
  <c r="N13" i="9"/>
  <c r="O13" i="9"/>
  <c r="H14" i="9"/>
  <c r="I14" i="9"/>
  <c r="J14" i="9"/>
  <c r="K14" i="9"/>
  <c r="L14" i="9"/>
  <c r="M14" i="9"/>
  <c r="N14" i="9"/>
  <c r="O14" i="9"/>
  <c r="H15" i="9"/>
  <c r="I15" i="9"/>
  <c r="J15" i="9"/>
  <c r="K15" i="9"/>
  <c r="L15" i="9"/>
  <c r="M15" i="9"/>
  <c r="N15" i="9"/>
  <c r="O15" i="9"/>
  <c r="H16" i="9"/>
  <c r="I16" i="9"/>
  <c r="J16" i="9"/>
  <c r="K16" i="9"/>
  <c r="L16" i="9"/>
  <c r="M16" i="9"/>
  <c r="N16" i="9"/>
  <c r="O16" i="9"/>
  <c r="H17" i="9"/>
  <c r="I17" i="9"/>
  <c r="J17" i="9"/>
  <c r="K17" i="9"/>
  <c r="L17" i="9"/>
  <c r="M17" i="9"/>
  <c r="N17" i="9"/>
  <c r="O17" i="9"/>
  <c r="H18" i="9"/>
  <c r="I18" i="9"/>
  <c r="J18" i="9"/>
  <c r="K18" i="9"/>
  <c r="L18" i="9"/>
  <c r="M18" i="9"/>
  <c r="N18" i="9"/>
  <c r="O18" i="9"/>
  <c r="H19" i="9"/>
  <c r="I19" i="9"/>
  <c r="J19" i="9"/>
  <c r="K19" i="9"/>
  <c r="L19" i="9"/>
  <c r="M19" i="9"/>
  <c r="N19" i="9"/>
  <c r="O19" i="9"/>
  <c r="B20" i="9"/>
  <c r="B22" i="9"/>
  <c r="H22" i="9" l="1"/>
  <c r="H23" i="9"/>
  <c r="O22" i="9"/>
  <c r="N22" i="9"/>
  <c r="M22" i="9"/>
  <c r="L22" i="9"/>
  <c r="K22" i="9"/>
  <c r="J22" i="9"/>
  <c r="I22" i="9"/>
  <c r="I23" i="9"/>
  <c r="J23" i="9"/>
  <c r="K23" i="9"/>
  <c r="L23" i="9"/>
  <c r="M23" i="9"/>
  <c r="N23" i="9"/>
  <c r="O23" i="9"/>
  <c r="H24" i="9"/>
  <c r="I24" i="9"/>
  <c r="J24" i="9"/>
  <c r="K24" i="9"/>
  <c r="L24" i="9"/>
  <c r="M24" i="9"/>
  <c r="N24" i="9"/>
  <c r="O24" i="9"/>
  <c r="H25" i="9"/>
  <c r="I25" i="9"/>
  <c r="J25" i="9"/>
  <c r="K25" i="9"/>
  <c r="L25" i="9"/>
  <c r="M25" i="9"/>
  <c r="N25" i="9"/>
  <c r="O25" i="9"/>
  <c r="H26" i="9"/>
  <c r="I26" i="9"/>
  <c r="J26" i="9"/>
  <c r="K26" i="9"/>
  <c r="L26" i="9"/>
  <c r="M26" i="9"/>
  <c r="N26" i="9"/>
  <c r="O26" i="9"/>
  <c r="H27" i="9"/>
  <c r="I27" i="9"/>
  <c r="J27" i="9"/>
  <c r="K27" i="9"/>
  <c r="L27" i="9"/>
  <c r="M27" i="9"/>
  <c r="N27" i="9"/>
  <c r="O27" i="9"/>
  <c r="H28" i="9"/>
  <c r="I28" i="9"/>
  <c r="J28" i="9"/>
  <c r="K28" i="9"/>
  <c r="L28" i="9"/>
  <c r="M28" i="9"/>
  <c r="N28" i="9"/>
  <c r="O28" i="9"/>
  <c r="H29" i="9"/>
  <c r="I29" i="9"/>
  <c r="J29" i="9"/>
  <c r="K29" i="9"/>
  <c r="L29" i="9"/>
  <c r="M29" i="9"/>
  <c r="N29" i="9"/>
  <c r="O29" i="9"/>
  <c r="H30" i="9"/>
  <c r="I30" i="9"/>
  <c r="J30" i="9"/>
  <c r="K30" i="9"/>
  <c r="L30" i="9"/>
  <c r="M30" i="9"/>
  <c r="N30" i="9"/>
  <c r="O30" i="9"/>
  <c r="H31" i="9"/>
  <c r="I31" i="9"/>
  <c r="J31" i="9"/>
  <c r="K31" i="9"/>
  <c r="L31" i="9"/>
  <c r="M31" i="9"/>
  <c r="N31" i="9"/>
  <c r="O31" i="9"/>
  <c r="D53" i="2" l="1"/>
  <c r="D54" i="2"/>
  <c r="D55" i="2"/>
  <c r="D56" i="2"/>
  <c r="D57" i="2"/>
  <c r="D58" i="2"/>
  <c r="D37" i="2"/>
  <c r="D46" i="2"/>
  <c r="D47" i="2"/>
  <c r="D59" i="2"/>
  <c r="D38" i="2"/>
  <c r="D39" i="2"/>
  <c r="D60" i="2"/>
  <c r="D40" i="2"/>
  <c r="D41" i="2"/>
  <c r="D42" i="2"/>
  <c r="D43" i="2"/>
  <c r="D44" i="2"/>
  <c r="D45" i="2"/>
  <c r="D27" i="2"/>
  <c r="D71" i="2"/>
  <c r="D20" i="2"/>
  <c r="D61" i="2"/>
  <c r="D62" i="2"/>
  <c r="D63" i="2"/>
  <c r="D64" i="2"/>
  <c r="D65" i="2"/>
  <c r="D24" i="2"/>
  <c r="D66" i="2"/>
  <c r="D25" i="2"/>
  <c r="D68" i="2"/>
  <c r="D26" i="2"/>
  <c r="D72" i="2"/>
  <c r="D67" i="2"/>
  <c r="D74" i="2"/>
  <c r="D75" i="2"/>
  <c r="D76" i="2"/>
  <c r="D77" i="2"/>
  <c r="D78" i="2"/>
  <c r="D79" i="2"/>
  <c r="D80" i="2"/>
  <c r="D81" i="2"/>
  <c r="D82" i="2"/>
  <c r="D83" i="2"/>
  <c r="D84" i="2"/>
  <c r="D35" i="2"/>
  <c r="D36" i="2"/>
  <c r="D69" i="2"/>
  <c r="D87" i="2"/>
  <c r="D73" i="2"/>
  <c r="D70" i="2"/>
  <c r="D88" i="2"/>
  <c r="D85" i="2"/>
  <c r="D86" i="2"/>
  <c r="D91" i="2"/>
  <c r="D92" i="2"/>
  <c r="D89" i="2"/>
  <c r="D90" i="2"/>
  <c r="D93" i="2"/>
  <c r="D98" i="2"/>
  <c r="D99" i="2"/>
  <c r="D100" i="2"/>
  <c r="D101" i="2"/>
  <c r="D94" i="2"/>
  <c r="D95" i="2"/>
  <c r="D96" i="2"/>
  <c r="D102" i="2"/>
  <c r="D103" i="2"/>
  <c r="D97" i="2"/>
  <c r="D104" i="2"/>
  <c r="D105" i="2"/>
  <c r="D106" i="2"/>
  <c r="D107" i="2"/>
  <c r="D108" i="2"/>
  <c r="D109" i="2"/>
  <c r="D110" i="2"/>
  <c r="D115" i="2"/>
  <c r="D111" i="2"/>
  <c r="D112" i="2"/>
  <c r="D113" i="2"/>
  <c r="D114" i="2"/>
  <c r="D116" i="2"/>
  <c r="D7" i="2"/>
  <c r="D8" i="2"/>
  <c r="D9" i="2"/>
  <c r="D10" i="2"/>
  <c r="D11" i="2"/>
  <c r="D12" i="2"/>
  <c r="D13" i="2"/>
  <c r="D14" i="2"/>
  <c r="D15" i="2"/>
  <c r="D16" i="2"/>
  <c r="D17" i="2"/>
  <c r="D18" i="2"/>
  <c r="D19" i="2"/>
  <c r="D21" i="2"/>
  <c r="D22" i="2"/>
  <c r="D23" i="2"/>
  <c r="D28" i="2"/>
  <c r="D29" i="2"/>
  <c r="D30" i="2"/>
  <c r="D31" i="2"/>
  <c r="D32" i="2"/>
  <c r="D33" i="2"/>
  <c r="D34" i="2"/>
  <c r="D48" i="2"/>
  <c r="D49" i="2"/>
  <c r="D50" i="2"/>
  <c r="D51" i="2"/>
  <c r="D117" i="2"/>
  <c r="D118" i="2"/>
  <c r="D119" i="2"/>
  <c r="D120" i="2"/>
  <c r="D121" i="2"/>
  <c r="D122" i="2"/>
  <c r="D52" i="2"/>
  <c r="E118" i="2"/>
  <c r="E121" i="2"/>
  <c r="E120" i="2"/>
  <c r="E117" i="2"/>
  <c r="E122" i="2"/>
  <c r="E119" i="2"/>
  <c r="H58" i="2"/>
  <c r="H86" i="2"/>
  <c r="I63" i="2"/>
  <c r="I112" i="2"/>
  <c r="H83" i="2"/>
  <c r="I106" i="2"/>
  <c r="H79" i="2"/>
  <c r="H57" i="2"/>
  <c r="I82" i="2"/>
  <c r="I69" i="2"/>
  <c r="I48" i="2"/>
  <c r="H53" i="2"/>
  <c r="I31" i="2"/>
  <c r="H19" i="2"/>
  <c r="I42" i="2"/>
  <c r="H11" i="2"/>
  <c r="H40" i="2"/>
  <c r="I45" i="2"/>
  <c r="H85" i="2"/>
  <c r="I39" i="2"/>
  <c r="H118" i="2"/>
  <c r="H93" i="2"/>
  <c r="I67" i="2"/>
  <c r="I111" i="2"/>
  <c r="H89" i="2"/>
  <c r="H99" i="2"/>
  <c r="I121" i="2"/>
  <c r="I86" i="2"/>
  <c r="H66" i="2"/>
  <c r="H51" i="2"/>
  <c r="I43" i="2"/>
  <c r="H34" i="2"/>
  <c r="H45" i="2"/>
  <c r="I88" i="2"/>
  <c r="I118" i="2"/>
  <c r="I40" i="2"/>
  <c r="I120" i="2"/>
  <c r="H23" i="2"/>
  <c r="H102" i="2"/>
  <c r="H92" i="2"/>
  <c r="I11" i="2"/>
  <c r="H106" i="2"/>
  <c r="H8" i="2"/>
  <c r="H111" i="2"/>
  <c r="H80" i="2"/>
  <c r="I95" i="2"/>
  <c r="H65" i="2"/>
  <c r="I13" i="2"/>
  <c r="H41" i="2"/>
  <c r="H73" i="2"/>
  <c r="H71" i="2"/>
  <c r="I101" i="2"/>
  <c r="H81" i="2"/>
  <c r="H43" i="2"/>
  <c r="H120" i="2"/>
  <c r="I117" i="2"/>
  <c r="I18" i="2"/>
  <c r="H90" i="2"/>
  <c r="H50" i="2"/>
  <c r="I37" i="2"/>
  <c r="H32" i="2"/>
  <c r="H42" i="2"/>
  <c r="I77" i="2"/>
  <c r="I15" i="2"/>
  <c r="I105" i="2"/>
  <c r="H116" i="2"/>
  <c r="H60" i="2"/>
  <c r="I76" i="2"/>
  <c r="H113" i="2"/>
  <c r="H94" i="2"/>
  <c r="H112" i="2"/>
  <c r="I32" i="2"/>
  <c r="I70" i="2"/>
  <c r="I110" i="2"/>
  <c r="H104" i="2"/>
  <c r="H98" i="2"/>
  <c r="I98" i="2"/>
  <c r="H82" i="2"/>
  <c r="H74" i="2"/>
  <c r="I36" i="2"/>
  <c r="H121" i="2"/>
  <c r="I72" i="2"/>
  <c r="H115" i="2"/>
  <c r="I56" i="2"/>
  <c r="I104" i="2"/>
  <c r="H48" i="2"/>
  <c r="I113" i="2"/>
  <c r="I7" i="2"/>
  <c r="H10" i="2"/>
  <c r="H101" i="2"/>
  <c r="H44" i="2"/>
  <c r="I41" i="2"/>
  <c r="I87" i="2"/>
  <c r="H114" i="2"/>
  <c r="H108" i="2"/>
  <c r="I91" i="2"/>
  <c r="I61" i="2"/>
  <c r="H67" i="2"/>
  <c r="I28" i="2"/>
  <c r="I10" i="2"/>
  <c r="H95" i="2"/>
  <c r="I22" i="2"/>
  <c r="I119" i="2"/>
  <c r="H28" i="2"/>
  <c r="H37" i="2"/>
  <c r="H56" i="2"/>
  <c r="H31" i="2"/>
  <c r="I99" i="2"/>
  <c r="H47" i="2"/>
  <c r="H88" i="2"/>
  <c r="H91" i="2"/>
  <c r="I107" i="2"/>
  <c r="I73" i="2"/>
  <c r="H107" i="2"/>
  <c r="H77" i="2"/>
  <c r="H20" i="2"/>
  <c r="I33" i="2"/>
  <c r="I57" i="2"/>
  <c r="I51" i="2"/>
  <c r="I64" i="2"/>
  <c r="I109" i="2"/>
  <c r="I12" i="2"/>
  <c r="I89" i="2"/>
  <c r="I14" i="2"/>
  <c r="I122" i="2"/>
  <c r="H69" i="2"/>
  <c r="I84" i="2"/>
  <c r="H110" i="2"/>
  <c r="H103" i="2"/>
  <c r="I79" i="2"/>
  <c r="H84" i="2"/>
  <c r="I46" i="2"/>
  <c r="H109" i="2"/>
  <c r="I55" i="2"/>
  <c r="I90" i="2"/>
  <c r="I80" i="2"/>
  <c r="H72" i="2"/>
  <c r="H70" i="2"/>
  <c r="H25" i="2"/>
  <c r="H9" i="2"/>
  <c r="H119" i="2"/>
  <c r="H78" i="2"/>
  <c r="I68" i="2"/>
  <c r="I115" i="2"/>
  <c r="H61" i="2"/>
  <c r="H36" i="2"/>
  <c r="I96" i="2"/>
  <c r="H117" i="2"/>
  <c r="H35" i="2"/>
  <c r="I38" i="2"/>
  <c r="I66" i="2"/>
  <c r="H75" i="2"/>
  <c r="I9" i="2"/>
  <c r="I114" i="2"/>
  <c r="I102" i="2"/>
  <c r="I71" i="2"/>
  <c r="I65" i="2"/>
  <c r="H52" i="2"/>
  <c r="I24" i="2"/>
  <c r="H76" i="2"/>
  <c r="I94" i="2"/>
  <c r="I47" i="2"/>
  <c r="I19" i="2"/>
  <c r="H22" i="2"/>
  <c r="I78" i="2"/>
  <c r="I17" i="2"/>
  <c r="H105" i="2"/>
  <c r="I62" i="2"/>
  <c r="I35" i="2"/>
  <c r="H49" i="2"/>
  <c r="I103" i="2"/>
  <c r="I83" i="2"/>
  <c r="I49" i="2"/>
  <c r="H62" i="2"/>
  <c r="I44" i="2"/>
  <c r="I54" i="2"/>
  <c r="I29" i="2"/>
  <c r="H68" i="2"/>
  <c r="I100" i="2"/>
  <c r="H122" i="2"/>
  <c r="H21" i="2"/>
  <c r="I23" i="2"/>
  <c r="I16" i="2"/>
  <c r="I27" i="2"/>
  <c r="I50" i="2"/>
  <c r="I58" i="2"/>
  <c r="I21" i="2"/>
  <c r="I53" i="2"/>
  <c r="H24" i="2"/>
  <c r="I116" i="2"/>
  <c r="I25" i="2"/>
  <c r="I81" i="2"/>
  <c r="H46" i="2"/>
  <c r="I26" i="2"/>
  <c r="I74" i="2"/>
  <c r="I85" i="2"/>
  <c r="I93" i="2"/>
  <c r="I59" i="2"/>
  <c r="H97" i="2"/>
  <c r="I75" i="2"/>
  <c r="I60" i="2"/>
  <c r="P52" i="2"/>
  <c r="I30" i="2"/>
  <c r="H33" i="2"/>
  <c r="I97" i="2"/>
  <c r="I20" i="2"/>
  <c r="H59" i="2"/>
  <c r="H38" i="2"/>
  <c r="H54" i="2"/>
  <c r="I52" i="2"/>
  <c r="H63" i="2"/>
  <c r="H87" i="2"/>
  <c r="H96" i="2"/>
  <c r="I108" i="2"/>
  <c r="I34" i="2"/>
  <c r="I92" i="2"/>
  <c r="I8" i="2"/>
  <c r="H100" i="2"/>
  <c r="H15" i="2"/>
  <c r="H18" i="2"/>
  <c r="H7" i="2"/>
  <c r="H26" i="2"/>
  <c r="H14" i="2"/>
  <c r="H16" i="2"/>
  <c r="H39" i="2"/>
  <c r="H30" i="2"/>
  <c r="H13" i="2"/>
  <c r="H55" i="2"/>
  <c r="H17" i="2"/>
  <c r="H27" i="2"/>
  <c r="H12" i="2"/>
  <c r="H29" i="2"/>
  <c r="H64" i="2"/>
  <c r="Q52" i="2" l="1"/>
  <c r="O24" i="2"/>
  <c r="T106" i="2"/>
  <c r="N90" i="2"/>
  <c r="M97" i="2"/>
  <c r="U15" i="2"/>
  <c r="G45" i="2"/>
  <c r="P85" i="2"/>
  <c r="P60" i="2"/>
  <c r="R47" i="2"/>
  <c r="M92" i="2"/>
  <c r="R122" i="2"/>
  <c r="K12" i="2"/>
  <c r="F31" i="2"/>
  <c r="O103" i="2"/>
  <c r="U40" i="2"/>
  <c r="M65" i="2"/>
  <c r="C48" i="2"/>
  <c r="K71" i="2"/>
  <c r="P74" i="2"/>
  <c r="M60" i="2"/>
  <c r="T54" i="2"/>
  <c r="J72" i="2"/>
  <c r="M107" i="2"/>
  <c r="T49" i="2"/>
  <c r="U79" i="2"/>
  <c r="N54" i="2"/>
  <c r="J61" i="2"/>
  <c r="O63" i="2"/>
  <c r="J49" i="2"/>
  <c r="J59" i="2"/>
  <c r="F117" i="2"/>
  <c r="F36" i="2"/>
  <c r="U97" i="2"/>
  <c r="T85" i="2"/>
  <c r="T105" i="2"/>
  <c r="C118" i="2"/>
  <c r="C58" i="2"/>
  <c r="O49" i="2"/>
  <c r="F76" i="2"/>
  <c r="K74" i="2"/>
  <c r="T91" i="2"/>
  <c r="U22" i="2"/>
  <c r="U70" i="2"/>
  <c r="L62" i="2"/>
  <c r="N114" i="2"/>
  <c r="U37" i="2"/>
  <c r="L30" i="2"/>
  <c r="F52" i="2"/>
  <c r="R51" i="2"/>
  <c r="K64" i="2"/>
  <c r="P64" i="2"/>
  <c r="P61" i="2"/>
  <c r="N10" i="2"/>
  <c r="L32" i="2"/>
  <c r="U46" i="2"/>
  <c r="T65" i="2"/>
  <c r="G71" i="2"/>
  <c r="K72" i="2"/>
  <c r="F78" i="2"/>
  <c r="K32" i="2"/>
  <c r="K31" i="2"/>
  <c r="O61" i="2"/>
  <c r="C83" i="2"/>
  <c r="O54" i="2"/>
  <c r="F116" i="2"/>
  <c r="L110" i="2"/>
  <c r="F8" i="2"/>
  <c r="J55" i="2"/>
  <c r="N91" i="2"/>
  <c r="G36" i="2"/>
  <c r="P50" i="2"/>
  <c r="J29" i="2"/>
  <c r="N34" i="2"/>
  <c r="M96" i="2"/>
  <c r="L45" i="2"/>
  <c r="N111" i="2"/>
  <c r="G83" i="2"/>
  <c r="L50" i="2"/>
  <c r="R29" i="2"/>
  <c r="T20" i="2"/>
  <c r="J116" i="2"/>
  <c r="M101" i="2"/>
  <c r="O117" i="2"/>
  <c r="N85" i="2"/>
  <c r="P71" i="2"/>
  <c r="M16" i="2"/>
  <c r="U33" i="2"/>
  <c r="R107" i="2"/>
  <c r="J122" i="2"/>
  <c r="M80" i="2"/>
  <c r="R25" i="2"/>
  <c r="T93" i="2"/>
  <c r="L109" i="2"/>
  <c r="G20" i="2"/>
  <c r="U52" i="2"/>
  <c r="N112" i="2"/>
  <c r="F26" i="2"/>
  <c r="L27" i="2"/>
  <c r="L114" i="2"/>
  <c r="P98" i="2"/>
  <c r="O51" i="2"/>
  <c r="N73" i="2"/>
  <c r="T23" i="2"/>
  <c r="M95" i="2"/>
  <c r="P68" i="2"/>
  <c r="C39" i="2"/>
  <c r="P118" i="2"/>
  <c r="N87" i="2"/>
  <c r="G44" i="2"/>
  <c r="R9" i="2"/>
  <c r="F118" i="2"/>
  <c r="J91" i="2"/>
  <c r="P104" i="2"/>
  <c r="N113" i="2"/>
  <c r="P112" i="2"/>
  <c r="U111" i="2"/>
  <c r="G43" i="2"/>
  <c r="M10" i="2"/>
  <c r="C99" i="2"/>
  <c r="K23" i="2"/>
  <c r="T45" i="2"/>
  <c r="R43" i="2"/>
  <c r="C93" i="2"/>
  <c r="N26" i="2"/>
  <c r="T121" i="2"/>
  <c r="O35" i="2"/>
  <c r="R79" i="2"/>
  <c r="J9" i="2"/>
  <c r="S122" i="2"/>
  <c r="U80" i="2"/>
  <c r="R22" i="2"/>
  <c r="J70" i="2"/>
  <c r="O58" i="2"/>
  <c r="T114" i="2"/>
  <c r="R120" i="2"/>
  <c r="N101" i="2"/>
  <c r="G101" i="2"/>
  <c r="C82" i="2"/>
  <c r="R23" i="2"/>
  <c r="R114" i="2"/>
  <c r="T7" i="2"/>
  <c r="F11" i="2"/>
  <c r="J67" i="2"/>
  <c r="P111" i="2"/>
  <c r="F122" i="2"/>
  <c r="K16" i="2"/>
  <c r="P117" i="2"/>
  <c r="U62" i="2"/>
  <c r="G52" i="2"/>
  <c r="K26" i="2"/>
  <c r="U107" i="2"/>
  <c r="O40" i="2"/>
  <c r="C66" i="2"/>
  <c r="U68" i="2"/>
  <c r="M50" i="2"/>
  <c r="J119" i="2"/>
  <c r="J20" i="2"/>
  <c r="G30" i="2"/>
  <c r="G99" i="2"/>
  <c r="N13" i="2"/>
  <c r="G97" i="2"/>
  <c r="N77" i="2"/>
  <c r="U51" i="2"/>
  <c r="T59" i="2"/>
  <c r="G35" i="2"/>
  <c r="C42" i="2"/>
  <c r="K107" i="2"/>
  <c r="F79" i="2"/>
  <c r="U85" i="2"/>
  <c r="T12" i="2"/>
  <c r="C21" i="2"/>
  <c r="K22" i="2"/>
  <c r="O55" i="2"/>
  <c r="C95" i="2"/>
  <c r="N88" i="2"/>
  <c r="U77" i="2"/>
  <c r="K38" i="2"/>
  <c r="T14" i="2"/>
  <c r="C121" i="2"/>
  <c r="G111" i="2"/>
  <c r="N36" i="2"/>
  <c r="R24" i="2"/>
  <c r="T118" i="2"/>
  <c r="N75" i="2"/>
  <c r="J47" i="2"/>
  <c r="T35" i="2"/>
  <c r="R65" i="2"/>
  <c r="R52" i="2"/>
  <c r="P101" i="2"/>
  <c r="C79" i="2"/>
  <c r="J36" i="2"/>
  <c r="N99" i="2"/>
  <c r="C50" i="2"/>
  <c r="C113" i="2"/>
  <c r="P91" i="2"/>
  <c r="P73" i="2"/>
  <c r="T32" i="2"/>
  <c r="M94" i="2"/>
  <c r="L49" i="2"/>
  <c r="J115" i="2"/>
  <c r="P77" i="2"/>
  <c r="R26" i="2"/>
  <c r="L23" i="2"/>
  <c r="L53" i="2"/>
  <c r="N58" i="2"/>
  <c r="T22" i="2"/>
  <c r="K86" i="2"/>
  <c r="G12" i="2"/>
  <c r="G93" i="2"/>
  <c r="T74" i="2"/>
  <c r="P39" i="2"/>
  <c r="J68" i="2"/>
  <c r="U31" i="2"/>
  <c r="F50" i="2"/>
  <c r="O53" i="2"/>
  <c r="K43" i="2"/>
  <c r="L33" i="2"/>
  <c r="G118" i="2"/>
  <c r="L118" i="2"/>
  <c r="L121" i="2"/>
  <c r="O76" i="2"/>
  <c r="T10" i="2"/>
  <c r="U32" i="2"/>
  <c r="N23" i="2"/>
  <c r="N120" i="2"/>
  <c r="S36" i="2"/>
  <c r="O29" i="2"/>
  <c r="M119" i="2"/>
  <c r="J79" i="2"/>
  <c r="R13" i="2"/>
  <c r="C44" i="2"/>
  <c r="F42" i="2"/>
  <c r="K96" i="2"/>
  <c r="R71" i="2"/>
  <c r="G54" i="2"/>
  <c r="K91" i="2"/>
  <c r="P119" i="2"/>
  <c r="F21" i="2"/>
  <c r="M48" i="2"/>
  <c r="U69" i="2"/>
  <c r="G51" i="2"/>
  <c r="L54" i="2"/>
  <c r="T31" i="2"/>
  <c r="K117" i="2"/>
  <c r="O72" i="2"/>
  <c r="G62" i="2"/>
  <c r="G32" i="2"/>
  <c r="M43" i="2"/>
  <c r="C78" i="2"/>
  <c r="F72" i="2"/>
  <c r="U121" i="2"/>
  <c r="P87" i="2"/>
  <c r="T42" i="2"/>
  <c r="G79" i="2"/>
  <c r="P45" i="2"/>
  <c r="J18" i="2"/>
  <c r="N42" i="2"/>
  <c r="R10" i="2"/>
  <c r="C77" i="2"/>
  <c r="L25" i="2"/>
  <c r="T11" i="2"/>
  <c r="T80" i="2"/>
  <c r="M35" i="2"/>
  <c r="N116" i="2"/>
  <c r="F87" i="2"/>
  <c r="K17" i="2"/>
  <c r="U26" i="2"/>
  <c r="C87" i="2"/>
  <c r="U96" i="2"/>
  <c r="M32" i="2"/>
  <c r="M15" i="2"/>
  <c r="K113" i="2"/>
  <c r="G78" i="2"/>
  <c r="J15" i="2"/>
  <c r="C116" i="2"/>
  <c r="L76" i="2"/>
  <c r="P67" i="2"/>
  <c r="U67" i="2"/>
  <c r="L35" i="2"/>
  <c r="J71" i="2"/>
  <c r="L84" i="2"/>
  <c r="M116" i="2"/>
  <c r="F109" i="2"/>
  <c r="U113" i="2"/>
  <c r="T83" i="2"/>
  <c r="O122" i="2"/>
  <c r="U61" i="2"/>
  <c r="U55" i="2"/>
  <c r="U64" i="2"/>
  <c r="R108" i="2"/>
  <c r="O83" i="2"/>
  <c r="M7" i="2"/>
  <c r="L52" i="2"/>
  <c r="N48" i="2"/>
  <c r="P56" i="2"/>
  <c r="L122" i="2"/>
  <c r="C92" i="2"/>
  <c r="K61" i="2"/>
  <c r="L59" i="2"/>
  <c r="R73" i="2"/>
  <c r="P29" i="2"/>
  <c r="P20" i="2"/>
  <c r="P72" i="2"/>
  <c r="C35" i="2"/>
  <c r="L78" i="2"/>
  <c r="L20" i="2"/>
  <c r="K105" i="2"/>
  <c r="C112" i="2"/>
  <c r="T78" i="2"/>
  <c r="T51" i="2"/>
  <c r="J37" i="2"/>
  <c r="J23" i="2"/>
  <c r="J31" i="2"/>
  <c r="C63" i="2"/>
  <c r="R62" i="2"/>
  <c r="P80" i="2"/>
  <c r="J50" i="2"/>
  <c r="C81" i="2"/>
  <c r="P30" i="2"/>
  <c r="F70" i="2"/>
  <c r="L74" i="2"/>
  <c r="T110" i="2"/>
  <c r="L98" i="2"/>
  <c r="L112" i="2"/>
  <c r="J84" i="2"/>
  <c r="F24" i="2"/>
  <c r="M44" i="2"/>
  <c r="C107" i="2"/>
  <c r="R102" i="2"/>
  <c r="P108" i="2"/>
  <c r="J93" i="2"/>
  <c r="R16" i="2"/>
  <c r="P23" i="2"/>
  <c r="R53" i="2"/>
  <c r="O97" i="2"/>
  <c r="C106" i="2"/>
  <c r="S117" i="2"/>
  <c r="J85" i="2"/>
  <c r="N115" i="2"/>
  <c r="C10" i="2"/>
  <c r="K112" i="2"/>
  <c r="K28" i="2"/>
  <c r="M106" i="2"/>
  <c r="K100" i="2"/>
  <c r="J117" i="2"/>
  <c r="K69" i="2"/>
  <c r="C105" i="2"/>
  <c r="T39" i="2"/>
  <c r="R95" i="2"/>
  <c r="T73" i="2"/>
  <c r="N21" i="2"/>
  <c r="G84" i="2"/>
  <c r="C71" i="2"/>
  <c r="C47" i="2"/>
  <c r="R82" i="2"/>
  <c r="O110" i="2"/>
  <c r="K83" i="2"/>
  <c r="K70" i="2"/>
  <c r="P70" i="2"/>
  <c r="O75" i="2"/>
  <c r="O62" i="2"/>
  <c r="M99" i="2"/>
  <c r="R111" i="2"/>
  <c r="K9" i="2"/>
  <c r="P22" i="2"/>
  <c r="L75" i="2"/>
  <c r="C114" i="2"/>
  <c r="R98" i="2"/>
  <c r="O94" i="2"/>
  <c r="C111" i="2"/>
  <c r="T109" i="2"/>
  <c r="J27" i="2"/>
  <c r="M49" i="2"/>
  <c r="R48" i="2"/>
  <c r="E27" i="2"/>
  <c r="F48" i="2"/>
  <c r="O107" i="2"/>
  <c r="R56" i="2"/>
  <c r="T33" i="2"/>
  <c r="C33" i="2"/>
  <c r="C7" i="2"/>
  <c r="L113" i="2"/>
  <c r="K73" i="2"/>
  <c r="N53" i="2"/>
  <c r="O11" i="2"/>
  <c r="U72" i="2"/>
  <c r="M20" i="2"/>
  <c r="L89" i="2"/>
  <c r="M53" i="2"/>
  <c r="C91" i="2"/>
  <c r="L105" i="2"/>
  <c r="M56" i="2"/>
  <c r="J87" i="2"/>
  <c r="O121" i="2"/>
  <c r="L24" i="2"/>
  <c r="P46" i="2"/>
  <c r="R34" i="2"/>
  <c r="N104" i="2"/>
  <c r="K89" i="2"/>
  <c r="J69" i="2"/>
  <c r="R72" i="2"/>
  <c r="T63" i="2"/>
  <c r="K40" i="2"/>
  <c r="M59" i="2"/>
  <c r="L80" i="2"/>
  <c r="N35" i="2"/>
  <c r="T107" i="2"/>
  <c r="N72" i="2"/>
  <c r="U109" i="2"/>
  <c r="U92" i="2"/>
  <c r="G31" i="2"/>
  <c r="F103" i="2"/>
  <c r="G68" i="2"/>
  <c r="F112" i="2"/>
  <c r="R35" i="2"/>
  <c r="T34" i="2"/>
  <c r="J46" i="2"/>
  <c r="G55" i="2"/>
  <c r="J17" i="2"/>
  <c r="L69" i="2"/>
  <c r="O64" i="2"/>
  <c r="J111" i="2"/>
  <c r="G116" i="2"/>
  <c r="L95" i="2"/>
  <c r="U73" i="2"/>
  <c r="N33" i="2"/>
  <c r="T19" i="2"/>
  <c r="O78" i="2"/>
  <c r="R103" i="2"/>
  <c r="F88" i="2"/>
  <c r="C23" i="2"/>
  <c r="J86" i="2"/>
  <c r="U41" i="2"/>
  <c r="M58" i="2"/>
  <c r="M102" i="2"/>
  <c r="T28" i="2"/>
  <c r="U106" i="2"/>
  <c r="G96" i="2"/>
  <c r="T71" i="2"/>
  <c r="F80" i="2"/>
  <c r="N45" i="2"/>
  <c r="G18" i="2"/>
  <c r="R112" i="2"/>
  <c r="L93" i="2"/>
  <c r="N105" i="2"/>
  <c r="J75" i="2"/>
  <c r="L21" i="2"/>
  <c r="J89" i="2"/>
  <c r="F9" i="2"/>
  <c r="L34" i="2"/>
  <c r="F17" i="2"/>
  <c r="K15" i="2"/>
  <c r="U9" i="2"/>
  <c r="M45" i="2"/>
  <c r="G21" i="2"/>
  <c r="F44" i="2"/>
  <c r="M29" i="2"/>
  <c r="F10" i="2"/>
  <c r="L102" i="2"/>
  <c r="T58" i="2"/>
  <c r="U100" i="2"/>
  <c r="O48" i="2"/>
  <c r="F111" i="2"/>
  <c r="O106" i="2"/>
  <c r="N96" i="2"/>
  <c r="G63" i="2"/>
  <c r="C104" i="2"/>
  <c r="P24" i="2"/>
  <c r="G95" i="2"/>
  <c r="L100" i="2"/>
  <c r="C29" i="2"/>
  <c r="L87" i="2"/>
  <c r="C25" i="2"/>
  <c r="K51" i="2"/>
  <c r="J14" i="2"/>
  <c r="K13" i="2"/>
  <c r="C68" i="2"/>
  <c r="R44" i="2"/>
  <c r="R57" i="2"/>
  <c r="G91" i="2"/>
  <c r="R11" i="2"/>
  <c r="G115" i="2"/>
  <c r="K90" i="2"/>
  <c r="T69" i="2"/>
  <c r="L72" i="2"/>
  <c r="T30" i="2"/>
  <c r="C115" i="2"/>
  <c r="O80" i="2"/>
  <c r="C72" i="2"/>
  <c r="J51" i="2"/>
  <c r="N79" i="2"/>
  <c r="C76" i="2"/>
  <c r="P44" i="2"/>
  <c r="L38" i="2"/>
  <c r="P122" i="2"/>
  <c r="J24" i="2"/>
  <c r="J97" i="2"/>
  <c r="L116" i="2"/>
  <c r="U34" i="2"/>
  <c r="N65" i="2"/>
  <c r="G73" i="2"/>
  <c r="C119" i="2"/>
  <c r="L31" i="2"/>
  <c r="M115" i="2"/>
  <c r="L90" i="2"/>
  <c r="N37" i="2"/>
  <c r="M8" i="2"/>
  <c r="P96" i="2"/>
  <c r="G39" i="2"/>
  <c r="K29" i="2"/>
  <c r="T60" i="2"/>
  <c r="G110" i="2"/>
  <c r="R116" i="2"/>
  <c r="L94" i="2"/>
  <c r="C98" i="2"/>
  <c r="T116" i="2"/>
  <c r="U21" i="2"/>
  <c r="M39" i="2"/>
  <c r="K59" i="2"/>
  <c r="U25" i="2"/>
  <c r="K99" i="2"/>
  <c r="J99" i="2"/>
  <c r="M38" i="2"/>
  <c r="U65" i="2"/>
  <c r="U82" i="2"/>
  <c r="R59" i="2"/>
  <c r="U108" i="2"/>
  <c r="R17" i="2"/>
  <c r="M63" i="2"/>
  <c r="C103" i="2"/>
  <c r="P105" i="2"/>
  <c r="P121" i="2"/>
  <c r="G47" i="2"/>
  <c r="N81" i="2"/>
  <c r="G22" i="2"/>
  <c r="O79" i="2"/>
  <c r="O95" i="2"/>
  <c r="N49" i="2"/>
  <c r="T76" i="2"/>
  <c r="T90" i="2"/>
  <c r="M34" i="2"/>
  <c r="L70" i="2"/>
  <c r="C61" i="2"/>
  <c r="G34" i="2"/>
  <c r="K110" i="2"/>
  <c r="F84" i="2"/>
  <c r="M42" i="2"/>
  <c r="R64" i="2"/>
  <c r="L39" i="2"/>
  <c r="L107" i="2"/>
  <c r="F98" i="2"/>
  <c r="J8" i="2"/>
  <c r="U99" i="2"/>
  <c r="N109" i="2"/>
  <c r="K122" i="2"/>
  <c r="J73" i="2"/>
  <c r="J121" i="2"/>
  <c r="T88" i="2"/>
  <c r="J34" i="2"/>
  <c r="R115" i="2"/>
  <c r="P49" i="2"/>
  <c r="C51" i="2"/>
  <c r="N84" i="2"/>
  <c r="N9" i="2"/>
  <c r="M9" i="2"/>
  <c r="R121" i="2"/>
  <c r="M85" i="2"/>
  <c r="K25" i="2"/>
  <c r="F73" i="2"/>
  <c r="J39" i="2"/>
  <c r="T108" i="2"/>
  <c r="F37" i="2"/>
  <c r="F23" i="2"/>
  <c r="N31" i="2"/>
  <c r="F22" i="2"/>
  <c r="C31" i="2"/>
  <c r="N16" i="2"/>
  <c r="U19" i="2"/>
  <c r="K52" i="2"/>
  <c r="C22" i="2"/>
  <c r="N97" i="2"/>
  <c r="K111" i="2"/>
  <c r="N118" i="2"/>
  <c r="T113" i="2"/>
  <c r="P34" i="2"/>
  <c r="O22" i="2"/>
  <c r="G72" i="2"/>
  <c r="N18" i="2"/>
  <c r="F64" i="2"/>
  <c r="J7" i="2"/>
  <c r="T62" i="2"/>
  <c r="T117" i="2"/>
  <c r="T104" i="2"/>
  <c r="F121" i="2"/>
  <c r="R104" i="2"/>
  <c r="L56" i="2"/>
  <c r="T94" i="2"/>
  <c r="M62" i="2"/>
  <c r="J22" i="2"/>
  <c r="C90" i="2"/>
  <c r="J57" i="2"/>
  <c r="M64" i="2"/>
  <c r="M89" i="2"/>
  <c r="P89" i="2"/>
  <c r="T56" i="2"/>
  <c r="L51" i="2"/>
  <c r="U88" i="2"/>
  <c r="J11" i="2"/>
  <c r="F63" i="2"/>
  <c r="R33" i="2"/>
  <c r="K82" i="2"/>
  <c r="R84" i="2"/>
  <c r="R117" i="2"/>
  <c r="O44" i="2"/>
  <c r="U105" i="2"/>
  <c r="C97" i="2"/>
  <c r="O87" i="2"/>
  <c r="R106" i="2"/>
  <c r="L44" i="2"/>
  <c r="J118" i="2"/>
  <c r="K37" i="2"/>
  <c r="F18" i="2"/>
  <c r="F47" i="2"/>
  <c r="N64" i="2"/>
  <c r="J12" i="2"/>
  <c r="P120" i="2"/>
  <c r="O7" i="2"/>
  <c r="M69" i="2"/>
  <c r="U76" i="2"/>
  <c r="C27" i="2"/>
  <c r="G120" i="2"/>
  <c r="G64" i="2"/>
  <c r="R7" i="2"/>
  <c r="J58" i="2"/>
  <c r="F40" i="2"/>
  <c r="T72" i="2"/>
  <c r="K116" i="2"/>
  <c r="G61" i="2"/>
  <c r="F15" i="2"/>
  <c r="K53" i="2"/>
  <c r="M28" i="2"/>
  <c r="P106" i="2"/>
  <c r="N7" i="2"/>
  <c r="L29" i="2"/>
  <c r="N39" i="2"/>
  <c r="F95" i="2"/>
  <c r="G106" i="2"/>
  <c r="N40" i="2"/>
  <c r="M57" i="2"/>
  <c r="R74" i="2"/>
  <c r="M90" i="2"/>
  <c r="P110" i="2"/>
  <c r="T101" i="2"/>
  <c r="N32" i="2"/>
  <c r="K119" i="2"/>
  <c r="P41" i="2"/>
  <c r="K79" i="2"/>
  <c r="F49" i="2"/>
  <c r="J114" i="2"/>
  <c r="C9" i="2"/>
  <c r="K60" i="2"/>
  <c r="R101" i="2"/>
  <c r="G74" i="2"/>
  <c r="K19" i="2"/>
  <c r="P25" i="2"/>
  <c r="N28" i="2"/>
  <c r="G104" i="2"/>
  <c r="P21" i="2"/>
  <c r="N67" i="2"/>
  <c r="R31" i="2"/>
  <c r="R92" i="2"/>
  <c r="O65" i="2"/>
  <c r="G113" i="2"/>
  <c r="G46" i="2"/>
  <c r="F69" i="2"/>
  <c r="C108" i="2"/>
  <c r="C74" i="2"/>
  <c r="C110" i="2"/>
  <c r="R58" i="2"/>
  <c r="K81" i="2"/>
  <c r="L46" i="2"/>
  <c r="K109" i="2"/>
  <c r="M23" i="2"/>
  <c r="L19" i="2"/>
  <c r="T70" i="2"/>
  <c r="M66" i="2"/>
  <c r="T57" i="2"/>
  <c r="R97" i="2"/>
  <c r="C20" i="2"/>
  <c r="L67" i="2"/>
  <c r="P114" i="2"/>
  <c r="O34" i="2"/>
  <c r="P42" i="2"/>
  <c r="M120" i="2"/>
  <c r="O92" i="2"/>
  <c r="O39" i="2"/>
  <c r="F106" i="2"/>
  <c r="N106" i="2"/>
  <c r="F91" i="2"/>
  <c r="C26" i="2"/>
  <c r="P79" i="2"/>
  <c r="L43" i="2"/>
  <c r="O82" i="2"/>
  <c r="R77" i="2"/>
  <c r="O36" i="2"/>
  <c r="G82" i="2"/>
  <c r="L91" i="2"/>
  <c r="P51" i="2"/>
  <c r="O50" i="2"/>
  <c r="G42" i="2"/>
  <c r="U7" i="2"/>
  <c r="O74" i="2"/>
  <c r="T25" i="2"/>
  <c r="N63" i="2"/>
  <c r="L99" i="2"/>
  <c r="M54" i="2"/>
  <c r="P33" i="2"/>
  <c r="O120" i="2"/>
  <c r="K18" i="2"/>
  <c r="G117" i="2"/>
  <c r="F74" i="2"/>
  <c r="J96" i="2"/>
  <c r="J98" i="2"/>
  <c r="P78" i="2"/>
  <c r="R78" i="2"/>
  <c r="K115" i="2"/>
  <c r="C70" i="2"/>
  <c r="C30" i="2"/>
  <c r="G11" i="2"/>
  <c r="G28" i="2"/>
  <c r="M41" i="2"/>
  <c r="R32" i="2"/>
  <c r="M36" i="2"/>
  <c r="P32" i="2"/>
  <c r="U101" i="2"/>
  <c r="R15" i="2"/>
  <c r="T29" i="2"/>
  <c r="K21" i="2"/>
  <c r="U18" i="2"/>
  <c r="R96" i="2"/>
  <c r="J30" i="2"/>
  <c r="G29" i="2"/>
  <c r="L85" i="2"/>
  <c r="R91" i="2"/>
  <c r="P103" i="2"/>
  <c r="J112" i="2"/>
  <c r="P82" i="2"/>
  <c r="N62" i="2"/>
  <c r="G114" i="2"/>
  <c r="M88" i="2"/>
  <c r="T43" i="2"/>
  <c r="P62" i="2"/>
  <c r="N56" i="2"/>
  <c r="T47" i="2"/>
  <c r="C102" i="2"/>
  <c r="T111" i="2"/>
  <c r="T36" i="2"/>
  <c r="K103" i="2"/>
  <c r="N82" i="2"/>
  <c r="G9" i="2"/>
  <c r="L119" i="2"/>
  <c r="F119" i="2"/>
  <c r="U11" i="2"/>
  <c r="O70" i="2"/>
  <c r="G48" i="2"/>
  <c r="O91" i="2"/>
  <c r="J63" i="2"/>
  <c r="U81" i="2"/>
  <c r="K95" i="2"/>
  <c r="J41" i="2"/>
  <c r="G75" i="2"/>
  <c r="M21" i="2"/>
  <c r="N43" i="2"/>
  <c r="P115" i="2"/>
  <c r="O96" i="2"/>
  <c r="M17" i="2"/>
  <c r="M52" i="2"/>
  <c r="G38" i="2"/>
  <c r="L26" i="2"/>
  <c r="C55" i="2"/>
  <c r="G37" i="2"/>
  <c r="P94" i="2"/>
  <c r="U36" i="2"/>
  <c r="F93" i="2"/>
  <c r="O99" i="2"/>
  <c r="F19" i="2"/>
  <c r="T61" i="2"/>
  <c r="U57" i="2"/>
  <c r="M37" i="2"/>
  <c r="E35" i="2"/>
  <c r="K49" i="2"/>
  <c r="G109" i="2"/>
  <c r="T38" i="2"/>
  <c r="M51" i="2"/>
  <c r="N15" i="2"/>
  <c r="L77" i="2"/>
  <c r="U60" i="2"/>
  <c r="T102" i="2"/>
  <c r="L101" i="2"/>
  <c r="O30" i="2"/>
  <c r="F105" i="2"/>
  <c r="F96" i="2"/>
  <c r="N122" i="2"/>
  <c r="U29" i="2"/>
  <c r="U114" i="2"/>
  <c r="N71" i="2"/>
  <c r="T92" i="2"/>
  <c r="C60" i="2"/>
  <c r="O102" i="2"/>
  <c r="F54" i="2"/>
  <c r="P35" i="2"/>
  <c r="M13" i="2"/>
  <c r="M55" i="2"/>
  <c r="L58" i="2"/>
  <c r="M122" i="2"/>
  <c r="L57" i="2"/>
  <c r="O27" i="2"/>
  <c r="K35" i="2"/>
  <c r="O42" i="2"/>
  <c r="M79" i="2"/>
  <c r="U112" i="2"/>
  <c r="M103" i="2"/>
  <c r="T40" i="2"/>
  <c r="O37" i="2"/>
  <c r="R66" i="2"/>
  <c r="M84" i="2"/>
  <c r="J105" i="2"/>
  <c r="R61" i="2"/>
  <c r="R46" i="2"/>
  <c r="O16" i="2"/>
  <c r="M104" i="2"/>
  <c r="J106" i="2"/>
  <c r="M30" i="2"/>
  <c r="J42" i="2"/>
  <c r="F33" i="2"/>
  <c r="C28" i="2"/>
  <c r="O89" i="2"/>
  <c r="C53" i="2"/>
  <c r="F29" i="2"/>
  <c r="R113" i="2"/>
  <c r="R118" i="2"/>
  <c r="G100" i="2"/>
  <c r="T52" i="2"/>
  <c r="U86" i="2"/>
  <c r="R55" i="2"/>
  <c r="L28" i="2"/>
  <c r="G17" i="2"/>
  <c r="M33" i="2"/>
  <c r="L73" i="2"/>
  <c r="T48" i="2"/>
  <c r="T55" i="2"/>
  <c r="K10" i="2"/>
  <c r="O15" i="2"/>
  <c r="L48" i="2"/>
  <c r="P76" i="2"/>
  <c r="O81" i="2"/>
  <c r="O23" i="2"/>
  <c r="U75" i="2"/>
  <c r="P97" i="2"/>
  <c r="P116" i="2"/>
  <c r="L92" i="2"/>
  <c r="U45" i="2"/>
  <c r="C122" i="2"/>
  <c r="L86" i="2"/>
  <c r="O114" i="2"/>
  <c r="O19" i="2"/>
  <c r="L117" i="2"/>
  <c r="S27" i="2"/>
  <c r="J109" i="2"/>
  <c r="N47" i="2"/>
  <c r="L108" i="2"/>
  <c r="R36" i="2"/>
  <c r="U39" i="2"/>
  <c r="K66" i="2"/>
  <c r="O59" i="2"/>
  <c r="G58" i="2"/>
  <c r="U117" i="2"/>
  <c r="N68" i="2"/>
  <c r="F13" i="2"/>
  <c r="T41" i="2"/>
  <c r="P53" i="2"/>
  <c r="O90" i="2"/>
  <c r="L106" i="2"/>
  <c r="C32" i="2"/>
  <c r="O9" i="2"/>
  <c r="R28" i="2"/>
  <c r="O88" i="2"/>
  <c r="F57" i="2"/>
  <c r="O57" i="2"/>
  <c r="T98" i="2"/>
  <c r="U20" i="2"/>
  <c r="G108" i="2"/>
  <c r="P54" i="2"/>
  <c r="J74" i="2"/>
  <c r="U94" i="2"/>
  <c r="U38" i="2"/>
  <c r="P86" i="2"/>
  <c r="M68" i="2"/>
  <c r="U49" i="2"/>
  <c r="T96" i="2"/>
  <c r="L41" i="2"/>
  <c r="J94" i="2"/>
  <c r="C100" i="2"/>
  <c r="N59" i="2"/>
  <c r="G57" i="2"/>
  <c r="R38" i="2"/>
  <c r="U122" i="2"/>
  <c r="G98" i="2"/>
  <c r="F39" i="2"/>
  <c r="P75" i="2"/>
  <c r="L37" i="2"/>
  <c r="F110" i="2"/>
  <c r="P95" i="2"/>
  <c r="N8" i="2"/>
  <c r="K41" i="2"/>
  <c r="K67" i="2"/>
  <c r="F7" i="2"/>
  <c r="K45" i="2"/>
  <c r="L47" i="2"/>
  <c r="J107" i="2"/>
  <c r="R8" i="2"/>
  <c r="K54" i="2"/>
  <c r="M75" i="2"/>
  <c r="P66" i="2"/>
  <c r="G8" i="2"/>
  <c r="N66" i="2"/>
  <c r="T37" i="2"/>
  <c r="C12" i="2"/>
  <c r="F114" i="2"/>
  <c r="F34" i="2"/>
  <c r="L22" i="2"/>
  <c r="P26" i="2"/>
  <c r="M71" i="2"/>
  <c r="P100" i="2"/>
  <c r="C13" i="2"/>
  <c r="U102" i="2"/>
  <c r="T53" i="2"/>
  <c r="G94" i="2"/>
  <c r="F16" i="2"/>
  <c r="J38" i="2"/>
  <c r="C14" i="2"/>
  <c r="T21" i="2"/>
  <c r="T75" i="2"/>
  <c r="M31" i="2"/>
  <c r="O113" i="2"/>
  <c r="O26" i="2"/>
  <c r="P69" i="2"/>
  <c r="O45" i="2"/>
  <c r="P65" i="2"/>
  <c r="C73" i="2"/>
  <c r="L63" i="2"/>
  <c r="C15" i="2"/>
  <c r="J62" i="2"/>
  <c r="R30" i="2"/>
  <c r="P55" i="2"/>
  <c r="U28" i="2"/>
  <c r="P28" i="2"/>
  <c r="K30" i="2"/>
  <c r="T122" i="2"/>
  <c r="F66" i="2"/>
  <c r="T15" i="2"/>
  <c r="F51" i="2"/>
  <c r="U118" i="2"/>
  <c r="P59" i="2"/>
  <c r="P81" i="2"/>
  <c r="R19" i="2"/>
  <c r="T13" i="2"/>
  <c r="C120" i="2"/>
  <c r="K57" i="2"/>
  <c r="K114" i="2"/>
  <c r="T119" i="2"/>
  <c r="G7" i="2"/>
  <c r="S118" i="2"/>
  <c r="C89" i="2"/>
  <c r="K14" i="2"/>
  <c r="P92" i="2"/>
  <c r="K50" i="2"/>
  <c r="C59" i="2"/>
  <c r="K120" i="2"/>
  <c r="L88" i="2"/>
  <c r="F89" i="2"/>
  <c r="K118" i="2"/>
  <c r="L115" i="2"/>
  <c r="T8" i="2"/>
  <c r="K80" i="2"/>
  <c r="R89" i="2"/>
  <c r="T46" i="2"/>
  <c r="U17" i="2"/>
  <c r="F20" i="2"/>
  <c r="N51" i="2"/>
  <c r="C38" i="2"/>
  <c r="N102" i="2"/>
  <c r="L64" i="2"/>
  <c r="F43" i="2"/>
  <c r="J77" i="2"/>
  <c r="U71" i="2"/>
  <c r="K92" i="2"/>
  <c r="K75" i="2"/>
  <c r="U74" i="2"/>
  <c r="F56" i="2"/>
  <c r="O32" i="2"/>
  <c r="C17" i="2"/>
  <c r="S120" i="2"/>
  <c r="O41" i="2"/>
  <c r="C85" i="2"/>
  <c r="K78" i="2"/>
  <c r="J110" i="2"/>
  <c r="L60" i="2"/>
  <c r="G33" i="2"/>
  <c r="O98" i="2"/>
  <c r="N46" i="2"/>
  <c r="M118" i="2"/>
  <c r="C49" i="2"/>
  <c r="N55" i="2"/>
  <c r="U110" i="2"/>
  <c r="C69" i="2"/>
  <c r="N44" i="2"/>
  <c r="O112" i="2"/>
  <c r="J53" i="2"/>
  <c r="K65" i="2"/>
  <c r="P93" i="2"/>
  <c r="P63" i="2"/>
  <c r="C56" i="2"/>
  <c r="M76" i="2"/>
  <c r="N95" i="2"/>
  <c r="O118" i="2"/>
  <c r="M78" i="2"/>
  <c r="F71" i="2"/>
  <c r="L96" i="2"/>
  <c r="M46" i="2"/>
  <c r="R80" i="2"/>
  <c r="C64" i="2"/>
  <c r="G90" i="2"/>
  <c r="T87" i="2"/>
  <c r="J16" i="2"/>
  <c r="C16" i="2"/>
  <c r="K87" i="2"/>
  <c r="O119" i="2"/>
  <c r="K62" i="2"/>
  <c r="N69" i="2"/>
  <c r="J35" i="2"/>
  <c r="F108" i="2"/>
  <c r="K101" i="2"/>
  <c r="G105" i="2"/>
  <c r="F59" i="2"/>
  <c r="U12" i="2"/>
  <c r="L65" i="2"/>
  <c r="C86" i="2"/>
  <c r="K33" i="2"/>
  <c r="O33" i="2"/>
  <c r="T103" i="2"/>
  <c r="O38" i="2"/>
  <c r="K24" i="2"/>
  <c r="N50" i="2"/>
  <c r="L104" i="2"/>
  <c r="J19" i="2"/>
  <c r="G87" i="2"/>
  <c r="K63" i="2"/>
  <c r="R37" i="2"/>
  <c r="C40" i="2"/>
  <c r="F41" i="2"/>
  <c r="N38" i="2"/>
  <c r="C52" i="2"/>
  <c r="K42" i="2"/>
  <c r="T86" i="2"/>
  <c r="L82" i="2"/>
  <c r="P109" i="2"/>
  <c r="F92" i="2"/>
  <c r="P31" i="2"/>
  <c r="K93" i="2"/>
  <c r="U47" i="2"/>
  <c r="M81" i="2"/>
  <c r="K77" i="2"/>
  <c r="K76" i="2"/>
  <c r="C43" i="2"/>
  <c r="T79" i="2"/>
  <c r="C88" i="2"/>
  <c r="T17" i="2"/>
  <c r="N92" i="2"/>
  <c r="L103" i="2"/>
  <c r="N11" i="2"/>
  <c r="U93" i="2"/>
  <c r="R54" i="2"/>
  <c r="F102" i="2"/>
  <c r="F35" i="2"/>
  <c r="G27" i="2"/>
  <c r="T95" i="2"/>
  <c r="F61" i="2"/>
  <c r="L79" i="2"/>
  <c r="O77" i="2"/>
  <c r="F85" i="2"/>
  <c r="N76" i="2"/>
  <c r="O104" i="2"/>
  <c r="U30" i="2"/>
  <c r="N100" i="2"/>
  <c r="O10" i="2"/>
  <c r="N22" i="2"/>
  <c r="C24" i="2"/>
  <c r="T82" i="2"/>
  <c r="J103" i="2"/>
  <c r="M72" i="2"/>
  <c r="F30" i="2"/>
  <c r="R83" i="2"/>
  <c r="P58" i="2"/>
  <c r="O109" i="2"/>
  <c r="K88" i="2"/>
  <c r="J101" i="2"/>
  <c r="T67" i="2"/>
  <c r="U8" i="2"/>
  <c r="G119" i="2"/>
  <c r="T64" i="2"/>
  <c r="O21" i="2"/>
  <c r="F82" i="2"/>
  <c r="O66" i="2"/>
  <c r="G19" i="2"/>
  <c r="J90" i="2"/>
  <c r="M19" i="2"/>
  <c r="C84" i="2"/>
  <c r="O25" i="2"/>
  <c r="G80" i="2"/>
  <c r="F65" i="2"/>
  <c r="F32" i="2"/>
  <c r="M105" i="2"/>
  <c r="N12" i="2"/>
  <c r="N119" i="2"/>
  <c r="U83" i="2"/>
  <c r="F55" i="2"/>
  <c r="R20" i="2"/>
  <c r="P43" i="2"/>
  <c r="J40" i="2"/>
  <c r="O111" i="2"/>
  <c r="K106" i="2"/>
  <c r="G14" i="2"/>
  <c r="P57" i="2"/>
  <c r="U48" i="2"/>
  <c r="C34" i="2"/>
  <c r="P40" i="2"/>
  <c r="U103" i="2"/>
  <c r="L36" i="2"/>
  <c r="L55" i="2"/>
  <c r="M82" i="2"/>
  <c r="C101" i="2"/>
  <c r="J43" i="2"/>
  <c r="G25" i="2"/>
  <c r="C109" i="2"/>
  <c r="U23" i="2"/>
  <c r="G13" i="2"/>
  <c r="U95" i="2"/>
  <c r="L71" i="2"/>
  <c r="F25" i="2"/>
  <c r="F27" i="2"/>
  <c r="N52" i="2"/>
  <c r="R69" i="2"/>
  <c r="M111" i="2"/>
  <c r="P99" i="2"/>
  <c r="T24" i="2"/>
  <c r="M70" i="2"/>
  <c r="P48" i="2"/>
  <c r="N94" i="2"/>
  <c r="U104" i="2"/>
  <c r="R21" i="2"/>
  <c r="N17" i="2"/>
  <c r="O71" i="2"/>
  <c r="O13" i="2"/>
  <c r="G76" i="2"/>
  <c r="T89" i="2"/>
  <c r="F68" i="2"/>
  <c r="C62" i="2"/>
  <c r="O105" i="2"/>
  <c r="M113" i="2"/>
  <c r="N121" i="2"/>
  <c r="G56" i="2"/>
  <c r="F58" i="2"/>
  <c r="J81" i="2"/>
  <c r="N57" i="2"/>
  <c r="C36" i="2"/>
  <c r="C18" i="2"/>
  <c r="N27" i="2"/>
  <c r="C117" i="2"/>
  <c r="U27" i="2"/>
  <c r="K8" i="2"/>
  <c r="T84" i="2"/>
  <c r="O101" i="2"/>
  <c r="G70" i="2"/>
  <c r="N98" i="2"/>
  <c r="J45" i="2"/>
  <c r="G10" i="2"/>
  <c r="R81" i="2"/>
  <c r="N24" i="2"/>
  <c r="O14" i="2"/>
  <c r="F86" i="2"/>
  <c r="G60" i="2"/>
  <c r="J80" i="2"/>
  <c r="K98" i="2"/>
  <c r="G15" i="2"/>
  <c r="F104" i="2"/>
  <c r="C41" i="2"/>
  <c r="J28" i="2"/>
  <c r="G26" i="2"/>
  <c r="K27" i="2"/>
  <c r="J44" i="2"/>
  <c r="C75" i="2"/>
  <c r="M112" i="2"/>
  <c r="J60" i="2"/>
  <c r="G50" i="2"/>
  <c r="F53" i="2"/>
  <c r="M98" i="2"/>
  <c r="N83" i="2"/>
  <c r="S119" i="2"/>
  <c r="J33" i="2"/>
  <c r="O17" i="2"/>
  <c r="K11" i="2"/>
  <c r="N70" i="2"/>
  <c r="O31" i="2"/>
  <c r="R110" i="2"/>
  <c r="F107" i="2"/>
  <c r="G92" i="2"/>
  <c r="N78" i="2"/>
  <c r="K44" i="2"/>
  <c r="K121" i="2"/>
  <c r="M40" i="2"/>
  <c r="U10" i="2"/>
  <c r="U43" i="2"/>
  <c r="O12" i="2"/>
  <c r="G122" i="2"/>
  <c r="F100" i="2"/>
  <c r="K85" i="2"/>
  <c r="T68" i="2"/>
  <c r="M93" i="2"/>
  <c r="R99" i="2"/>
  <c r="C65" i="2"/>
  <c r="M108" i="2"/>
  <c r="G77" i="2"/>
  <c r="F75" i="2"/>
  <c r="O60" i="2"/>
  <c r="O115" i="2"/>
  <c r="L68" i="2"/>
  <c r="R109" i="2"/>
  <c r="U53" i="2"/>
  <c r="O68" i="2"/>
  <c r="J64" i="2"/>
  <c r="C67" i="2"/>
  <c r="M83" i="2"/>
  <c r="L40" i="2"/>
  <c r="M114" i="2"/>
  <c r="M121" i="2"/>
  <c r="S121" i="2"/>
  <c r="N103" i="2"/>
  <c r="U50" i="2"/>
  <c r="R40" i="2"/>
  <c r="R93" i="2"/>
  <c r="J95" i="2"/>
  <c r="R68" i="2"/>
  <c r="K47" i="2"/>
  <c r="F99" i="2"/>
  <c r="G121" i="2"/>
  <c r="O116" i="2"/>
  <c r="U91" i="2"/>
  <c r="P90" i="2"/>
  <c r="L66" i="2"/>
  <c r="U84" i="2"/>
  <c r="P47" i="2"/>
  <c r="O69" i="2"/>
  <c r="R119" i="2"/>
  <c r="R100" i="2"/>
  <c r="G89" i="2"/>
  <c r="E36" i="2"/>
  <c r="P84" i="2"/>
  <c r="J13" i="2"/>
  <c r="N41" i="2"/>
  <c r="J92" i="2"/>
  <c r="F83" i="2"/>
  <c r="K58" i="2"/>
  <c r="K46" i="2"/>
  <c r="R41" i="2"/>
  <c r="J82" i="2"/>
  <c r="F113" i="2"/>
  <c r="U66" i="2"/>
  <c r="U115" i="2"/>
  <c r="F81" i="2"/>
  <c r="R14" i="2"/>
  <c r="U119" i="2"/>
  <c r="K7" i="2"/>
  <c r="U90" i="2"/>
  <c r="M24" i="2"/>
  <c r="R63" i="2"/>
  <c r="C45" i="2"/>
  <c r="U14" i="2"/>
  <c r="K20" i="2"/>
  <c r="R90" i="2"/>
  <c r="T99" i="2"/>
  <c r="M12" i="2"/>
  <c r="U24" i="2"/>
  <c r="M117" i="2"/>
  <c r="C57" i="2"/>
  <c r="T97" i="2"/>
  <c r="O85" i="2"/>
  <c r="P27" i="2"/>
  <c r="O52" i="2"/>
  <c r="G112" i="2"/>
  <c r="G86" i="2"/>
  <c r="K94" i="2"/>
  <c r="O43" i="2"/>
  <c r="J76" i="2"/>
  <c r="R12" i="2"/>
  <c r="R85" i="2"/>
  <c r="U54" i="2"/>
  <c r="M11" i="2"/>
  <c r="T16" i="2"/>
  <c r="R88" i="2"/>
  <c r="O86" i="2"/>
  <c r="J65" i="2"/>
  <c r="K34" i="2"/>
  <c r="J104" i="2"/>
  <c r="R87" i="2"/>
  <c r="R94" i="2"/>
  <c r="G40" i="2"/>
  <c r="F12" i="2"/>
  <c r="S35" i="2"/>
  <c r="L42" i="2"/>
  <c r="F120" i="2"/>
  <c r="C8" i="2"/>
  <c r="F14" i="2"/>
  <c r="G16" i="2"/>
  <c r="G65" i="2"/>
  <c r="F28" i="2"/>
  <c r="R76" i="2"/>
  <c r="G41" i="2"/>
  <c r="F97" i="2"/>
  <c r="O20" i="2"/>
  <c r="J26" i="2"/>
  <c r="T50" i="2"/>
  <c r="U120" i="2"/>
  <c r="U13" i="2"/>
  <c r="O46" i="2"/>
  <c r="N89" i="2"/>
  <c r="T100" i="2"/>
  <c r="F45" i="2"/>
  <c r="J52" i="2"/>
  <c r="F90" i="2"/>
  <c r="C54" i="2"/>
  <c r="G107" i="2"/>
  <c r="U44" i="2"/>
  <c r="G67" i="2"/>
  <c r="F60" i="2"/>
  <c r="U16" i="2"/>
  <c r="O18" i="2"/>
  <c r="L83" i="2"/>
  <c r="R67" i="2"/>
  <c r="G81" i="2"/>
  <c r="N107" i="2"/>
  <c r="P113" i="2"/>
  <c r="F46" i="2"/>
  <c r="O93" i="2"/>
  <c r="T81" i="2"/>
  <c r="R39" i="2"/>
  <c r="G59" i="2"/>
  <c r="R27" i="2"/>
  <c r="R45" i="2"/>
  <c r="M86" i="2"/>
  <c r="M91" i="2"/>
  <c r="P88" i="2"/>
  <c r="J10" i="2"/>
  <c r="R49" i="2"/>
  <c r="J48" i="2"/>
  <c r="G103" i="2"/>
  <c r="U89" i="2"/>
  <c r="J108" i="2"/>
  <c r="M100" i="2"/>
  <c r="O73" i="2"/>
  <c r="P36" i="2"/>
  <c r="U59" i="2"/>
  <c r="F101" i="2"/>
  <c r="O84" i="2"/>
  <c r="N86" i="2"/>
  <c r="R60" i="2"/>
  <c r="K97" i="2"/>
  <c r="T66" i="2"/>
  <c r="M67" i="2"/>
  <c r="M109" i="2"/>
  <c r="T9" i="2"/>
  <c r="K68" i="2"/>
  <c r="F94" i="2"/>
  <c r="U42" i="2"/>
  <c r="O28" i="2"/>
  <c r="T112" i="2"/>
  <c r="T77" i="2"/>
  <c r="T26" i="2"/>
  <c r="J54" i="2"/>
  <c r="J83" i="2"/>
  <c r="R75" i="2"/>
  <c r="N60" i="2"/>
  <c r="N30" i="2"/>
  <c r="R70" i="2"/>
  <c r="F77" i="2"/>
  <c r="O56" i="2"/>
  <c r="K55" i="2"/>
  <c r="G85" i="2"/>
  <c r="T18" i="2"/>
  <c r="O47" i="2"/>
  <c r="J21" i="2"/>
  <c r="P37" i="2"/>
  <c r="J78" i="2"/>
  <c r="G69" i="2"/>
  <c r="R18" i="2"/>
  <c r="M47" i="2"/>
  <c r="R50" i="2"/>
  <c r="M87" i="2"/>
  <c r="O67" i="2"/>
  <c r="M27" i="2"/>
  <c r="C94" i="2"/>
  <c r="G88" i="2"/>
  <c r="U116" i="2"/>
  <c r="R86" i="2"/>
  <c r="P19" i="2"/>
  <c r="T120" i="2"/>
  <c r="T44" i="2"/>
  <c r="C11" i="2"/>
  <c r="U98" i="2"/>
  <c r="K102" i="2"/>
  <c r="P107" i="2"/>
  <c r="N108" i="2"/>
  <c r="L120" i="2"/>
  <c r="M22" i="2"/>
  <c r="J66" i="2"/>
  <c r="U58" i="2"/>
  <c r="J113" i="2"/>
  <c r="K104" i="2"/>
  <c r="F62" i="2"/>
  <c r="M26" i="2"/>
  <c r="R42" i="2"/>
  <c r="J32" i="2"/>
  <c r="J100" i="2"/>
  <c r="C80" i="2"/>
  <c r="P83" i="2"/>
  <c r="J102" i="2"/>
  <c r="U56" i="2"/>
  <c r="F67" i="2"/>
  <c r="G53" i="2"/>
  <c r="K108" i="2"/>
  <c r="F38" i="2"/>
  <c r="G102" i="2"/>
  <c r="N80" i="2"/>
  <c r="O8" i="2"/>
  <c r="N93" i="2"/>
  <c r="M77" i="2"/>
  <c r="C19" i="2"/>
  <c r="J25" i="2"/>
  <c r="N20" i="2"/>
  <c r="U78" i="2"/>
  <c r="T115" i="2"/>
  <c r="L61" i="2"/>
  <c r="G66" i="2"/>
  <c r="O108" i="2"/>
  <c r="P38" i="2"/>
  <c r="C37" i="2"/>
  <c r="N29" i="2"/>
  <c r="R105" i="2"/>
  <c r="K36" i="2"/>
  <c r="K84" i="2"/>
  <c r="N19" i="2"/>
  <c r="C96" i="2"/>
  <c r="F115" i="2"/>
  <c r="P102" i="2"/>
  <c r="M18" i="2"/>
  <c r="L97" i="2"/>
  <c r="U35" i="2"/>
  <c r="K39" i="2"/>
  <c r="U63" i="2"/>
  <c r="U87" i="2"/>
  <c r="T27" i="2"/>
  <c r="J120" i="2"/>
  <c r="C46" i="2"/>
  <c r="G23" i="2"/>
  <c r="L111" i="2"/>
  <c r="M73" i="2"/>
  <c r="K48" i="2"/>
  <c r="J56" i="2"/>
  <c r="G49" i="2"/>
  <c r="G24" i="2"/>
  <c r="K56" i="2"/>
  <c r="N117" i="2"/>
  <c r="L81" i="2"/>
  <c r="O100" i="2"/>
  <c r="J88" i="2"/>
  <c r="M14" i="2"/>
  <c r="N14" i="2"/>
  <c r="N25" i="2"/>
  <c r="M25" i="2"/>
  <c r="M61" i="2"/>
  <c r="N61" i="2"/>
  <c r="M74" i="2"/>
  <c r="N74" i="2"/>
  <c r="N110" i="2"/>
  <c r="M110" i="2"/>
  <c r="S95" i="2"/>
  <c r="S74" i="2"/>
  <c r="E68" i="2"/>
  <c r="E40" i="2"/>
  <c r="E90" i="2"/>
  <c r="S72" i="2"/>
  <c r="P17" i="2"/>
  <c r="E39" i="2"/>
  <c r="S90" i="2"/>
  <c r="S24" i="2"/>
  <c r="E81" i="2"/>
  <c r="E34" i="2"/>
  <c r="E19" i="2"/>
  <c r="E31" i="2"/>
  <c r="E80" i="2"/>
  <c r="E22" i="2"/>
  <c r="E51" i="2"/>
  <c r="E67" i="2"/>
  <c r="S26" i="2"/>
  <c r="S8" i="2"/>
  <c r="E13" i="2"/>
  <c r="S110" i="2"/>
  <c r="E50" i="2"/>
  <c r="S109" i="2"/>
  <c r="S55" i="2"/>
  <c r="E30" i="2"/>
  <c r="S32" i="2"/>
  <c r="E59" i="2"/>
  <c r="E33" i="2"/>
  <c r="S42" i="2"/>
  <c r="S67" i="2"/>
  <c r="E56" i="2"/>
  <c r="E104" i="2"/>
  <c r="E92" i="2"/>
  <c r="E116" i="2"/>
  <c r="E47" i="2"/>
  <c r="E89" i="2"/>
  <c r="S22" i="2"/>
  <c r="E60" i="2"/>
  <c r="E108" i="2"/>
  <c r="S63" i="2"/>
  <c r="E20" i="2"/>
  <c r="S50" i="2"/>
  <c r="E16" i="2"/>
  <c r="E72" i="2"/>
  <c r="E95" i="2"/>
  <c r="E79" i="2"/>
  <c r="E96" i="2"/>
  <c r="E73" i="2"/>
  <c r="S93" i="2"/>
  <c r="S75" i="2"/>
  <c r="S105" i="2"/>
  <c r="E29" i="2"/>
  <c r="E88" i="2"/>
  <c r="E54" i="2"/>
  <c r="S25" i="2"/>
  <c r="S78" i="2"/>
  <c r="E62" i="2"/>
  <c r="E14" i="2"/>
  <c r="S60" i="2"/>
  <c r="S65" i="2"/>
  <c r="L17" i="2"/>
  <c r="E42" i="2"/>
  <c r="S13" i="2"/>
  <c r="E82" i="2"/>
  <c r="E7" i="2"/>
  <c r="S44" i="2"/>
  <c r="S53" i="2"/>
  <c r="S112" i="2"/>
  <c r="S70" i="2"/>
  <c r="S99" i="2"/>
  <c r="E98" i="2"/>
  <c r="S116" i="2"/>
  <c r="E21" i="2"/>
  <c r="S52" i="2"/>
  <c r="S85" i="2"/>
  <c r="E32" i="2"/>
  <c r="E9" i="2"/>
  <c r="S54" i="2"/>
  <c r="S62" i="2"/>
  <c r="P11" i="2"/>
  <c r="E75" i="2"/>
  <c r="S29" i="2"/>
  <c r="S92" i="2"/>
  <c r="S28" i="2"/>
  <c r="S21" i="2"/>
  <c r="E93" i="2"/>
  <c r="S46" i="2"/>
  <c r="E41" i="2"/>
  <c r="E84" i="2"/>
  <c r="E8" i="2"/>
  <c r="S43" i="2"/>
  <c r="S19" i="2"/>
  <c r="P12" i="2"/>
  <c r="L13" i="2"/>
  <c r="P7" i="2"/>
  <c r="P10" i="2"/>
  <c r="S77" i="2"/>
  <c r="P8" i="2"/>
  <c r="S114" i="2"/>
  <c r="E100" i="2"/>
  <c r="S91" i="2"/>
  <c r="E102" i="2"/>
  <c r="E53" i="2"/>
  <c r="E45" i="2"/>
  <c r="L18" i="2"/>
  <c r="E64" i="2"/>
  <c r="E37" i="2"/>
  <c r="S84" i="2"/>
  <c r="E17" i="2"/>
  <c r="E48" i="2"/>
  <c r="E44" i="2"/>
  <c r="E78" i="2"/>
  <c r="S79" i="2"/>
  <c r="S10" i="2"/>
  <c r="S86" i="2"/>
  <c r="S103" i="2"/>
  <c r="E26" i="2"/>
  <c r="S83" i="2"/>
  <c r="S73" i="2"/>
  <c r="L14" i="2"/>
  <c r="S101" i="2"/>
  <c r="E38" i="2"/>
  <c r="S7" i="2"/>
  <c r="E113" i="2"/>
  <c r="S30" i="2"/>
  <c r="S64" i="2"/>
  <c r="S66" i="2"/>
  <c r="E85" i="2"/>
  <c r="S11" i="2"/>
  <c r="P14" i="2"/>
  <c r="E86" i="2"/>
  <c r="E103" i="2"/>
  <c r="E110" i="2"/>
  <c r="S15" i="2"/>
  <c r="E112" i="2"/>
  <c r="L8" i="2"/>
  <c r="E65" i="2"/>
  <c r="S20" i="2"/>
  <c r="S41" i="2"/>
  <c r="E71" i="2"/>
  <c r="S97" i="2"/>
  <c r="E70" i="2"/>
  <c r="E24" i="2"/>
  <c r="E63" i="2"/>
  <c r="S98" i="2"/>
  <c r="S82" i="2"/>
  <c r="E105" i="2"/>
  <c r="S81" i="2"/>
  <c r="S33" i="2"/>
  <c r="S47" i="2"/>
  <c r="S58" i="2"/>
  <c r="L12" i="2"/>
  <c r="E58" i="2"/>
  <c r="E10" i="2"/>
  <c r="E52" i="2"/>
  <c r="E49" i="2"/>
  <c r="E77" i="2"/>
  <c r="S89" i="2"/>
  <c r="S14" i="2"/>
  <c r="S48" i="2"/>
  <c r="E23" i="2"/>
  <c r="L7" i="2"/>
  <c r="S107" i="2"/>
  <c r="S106" i="2"/>
  <c r="S87" i="2"/>
  <c r="E94" i="2"/>
  <c r="S76" i="2"/>
  <c r="S34" i="2"/>
  <c r="P18" i="2"/>
  <c r="E76" i="2"/>
  <c r="E12" i="2"/>
  <c r="L10" i="2"/>
  <c r="E87" i="2"/>
  <c r="E101" i="2"/>
  <c r="S68" i="2"/>
  <c r="P9" i="2"/>
  <c r="E109" i="2"/>
  <c r="S40" i="2"/>
  <c r="P16" i="2"/>
  <c r="S100" i="2"/>
  <c r="S88" i="2"/>
  <c r="S12" i="2"/>
  <c r="E106" i="2"/>
  <c r="E57" i="2"/>
  <c r="E114" i="2"/>
  <c r="E28" i="2"/>
  <c r="S57" i="2"/>
  <c r="S111" i="2"/>
  <c r="S71" i="2"/>
  <c r="S39" i="2"/>
  <c r="S16" i="2"/>
  <c r="E25" i="2"/>
  <c r="S69" i="2"/>
  <c r="S96" i="2"/>
  <c r="S94" i="2"/>
  <c r="S108" i="2"/>
  <c r="E83" i="2"/>
  <c r="E69" i="2"/>
  <c r="E15" i="2"/>
  <c r="S38" i="2"/>
  <c r="E99" i="2"/>
  <c r="E55" i="2"/>
  <c r="P13" i="2"/>
  <c r="S80" i="2"/>
  <c r="L11" i="2"/>
  <c r="S104" i="2"/>
  <c r="S56" i="2"/>
  <c r="E115" i="2"/>
  <c r="S37" i="2"/>
  <c r="S17" i="2"/>
  <c r="E11" i="2"/>
  <c r="P15" i="2"/>
  <c r="S113" i="2"/>
  <c r="E107" i="2"/>
  <c r="E66" i="2"/>
  <c r="E46" i="2"/>
  <c r="E111" i="2"/>
  <c r="S23" i="2"/>
  <c r="E43" i="2"/>
  <c r="E97" i="2"/>
  <c r="S115" i="2"/>
  <c r="S51" i="2"/>
  <c r="E61" i="2"/>
  <c r="L15" i="2"/>
  <c r="S18" i="2"/>
  <c r="S31" i="2"/>
  <c r="S45" i="2"/>
  <c r="E91" i="2"/>
  <c r="E74" i="2"/>
  <c r="S9" i="2"/>
  <c r="S61" i="2"/>
  <c r="S102" i="2"/>
  <c r="L9" i="2"/>
  <c r="S49" i="2"/>
  <c r="E18" i="2"/>
  <c r="L16" i="2"/>
  <c r="D23" i="4" l="1"/>
  <c r="C23" i="4"/>
  <c r="C21" i="4"/>
  <c r="B6" i="4"/>
  <c r="Q13" i="2"/>
  <c r="Q58" i="2"/>
  <c r="Q92" i="2"/>
  <c r="Q88" i="2"/>
  <c r="Q63" i="2"/>
  <c r="Q27" i="2"/>
  <c r="Q102" i="2"/>
  <c r="Q53" i="2"/>
  <c r="Q93" i="2"/>
  <c r="Q81" i="2"/>
  <c r="Q59" i="2"/>
  <c r="Q42" i="2"/>
  <c r="Q37" i="2"/>
  <c r="Q114" i="2"/>
  <c r="Q83" i="2"/>
  <c r="Q28" i="2"/>
  <c r="Q16" i="2"/>
  <c r="Q34" i="2"/>
  <c r="Q116" i="2"/>
  <c r="Q55" i="2"/>
  <c r="Q97" i="2"/>
  <c r="Q107" i="2"/>
  <c r="Q115" i="2"/>
  <c r="Q76" i="2"/>
  <c r="Q113" i="2"/>
  <c r="Q65" i="2"/>
  <c r="Q9" i="2"/>
  <c r="Q69" i="2"/>
  <c r="Q21" i="2"/>
  <c r="Q25" i="2"/>
  <c r="Q49" i="2"/>
  <c r="Q84" i="2"/>
  <c r="Q15" i="2"/>
  <c r="Q31" i="2"/>
  <c r="Q62" i="2"/>
  <c r="Q109" i="2"/>
  <c r="Q14" i="2"/>
  <c r="Q8" i="2"/>
  <c r="Q41" i="2"/>
  <c r="Q10" i="2"/>
  <c r="Q48" i="2"/>
  <c r="Q82" i="2"/>
  <c r="Q47" i="2"/>
  <c r="Q110" i="2"/>
  <c r="Q40" i="2"/>
  <c r="Q103" i="2"/>
  <c r="Q39" i="2"/>
  <c r="Q7" i="2"/>
  <c r="Q100" i="2"/>
  <c r="Q23" i="2"/>
  <c r="Q90" i="2"/>
  <c r="Q108" i="2"/>
  <c r="Q12" i="2"/>
  <c r="Q26" i="2"/>
  <c r="Q77" i="2"/>
  <c r="Q106" i="2"/>
  <c r="Q73" i="2"/>
  <c r="Q91" i="2"/>
  <c r="Q32" i="2"/>
  <c r="Q30" i="2"/>
  <c r="Q80" i="2"/>
  <c r="Q101" i="2"/>
  <c r="Q121" i="2"/>
  <c r="Q105" i="2"/>
  <c r="Q57" i="2"/>
  <c r="Q24" i="2"/>
  <c r="Q18" i="2"/>
  <c r="Q99" i="2"/>
  <c r="Q71" i="2"/>
  <c r="Q72" i="2"/>
  <c r="Q35" i="2"/>
  <c r="Q20" i="2"/>
  <c r="Q29" i="2"/>
  <c r="Q66" i="2"/>
  <c r="Q50" i="2"/>
  <c r="Q56" i="2"/>
  <c r="Q46" i="2"/>
  <c r="Q78" i="2"/>
  <c r="Q38" i="2"/>
  <c r="Q120" i="2"/>
  <c r="Q36" i="2"/>
  <c r="Q67" i="2"/>
  <c r="Q96" i="2"/>
  <c r="Q61" i="2"/>
  <c r="Q33" i="2"/>
  <c r="Q64" i="2"/>
  <c r="Q117" i="2"/>
  <c r="Q111" i="2"/>
  <c r="Q122" i="2"/>
  <c r="Q45" i="2"/>
  <c r="Q51" i="2"/>
  <c r="Q44" i="2"/>
  <c r="C20" i="4" s="1"/>
  <c r="Q87" i="2"/>
  <c r="Q95" i="2"/>
  <c r="Q17" i="2"/>
  <c r="Q22" i="2"/>
  <c r="Q19" i="2"/>
  <c r="Q74" i="2"/>
  <c r="Q112" i="2"/>
  <c r="Q86" i="2"/>
  <c r="Q104" i="2"/>
  <c r="Q119" i="2"/>
  <c r="Q70" i="2"/>
  <c r="Q75" i="2"/>
  <c r="Q79" i="2"/>
  <c r="Q118" i="2"/>
  <c r="Q60" i="2"/>
  <c r="Q68" i="2"/>
  <c r="Q85" i="2"/>
  <c r="Q11" i="2"/>
  <c r="Q54" i="2"/>
  <c r="Q94" i="2"/>
  <c r="Q89" i="2"/>
  <c r="Q43" i="2"/>
  <c r="Q98" i="2"/>
</calcChain>
</file>

<file path=xl/comments1.xml><?xml version="1.0" encoding="utf-8"?>
<comments xmlns="http://schemas.openxmlformats.org/spreadsheetml/2006/main">
  <authors>
    <author>Windows User</author>
  </authors>
  <commentList>
    <comment ref="P6" authorId="0">
      <text>
        <r>
          <rPr>
            <b/>
            <sz val="9"/>
            <color indexed="81"/>
            <rFont val="Tahoma"/>
            <family val="2"/>
          </rPr>
          <t xml:space="preserve">Windows User:
TEXT AS VALUE, TRANSFORM, INTO DATE
</t>
        </r>
        <r>
          <rPr>
            <sz val="9"/>
            <color indexed="81"/>
            <rFont val="Tahoma"/>
            <family val="2"/>
          </rPr>
          <t xml:space="preserve">
</t>
        </r>
      </text>
    </comment>
  </commentList>
</comments>
</file>

<file path=xl/sharedStrings.xml><?xml version="1.0" encoding="utf-8"?>
<sst xmlns="http://schemas.openxmlformats.org/spreadsheetml/2006/main" count="1732" uniqueCount="782">
  <si>
    <t>Date Time</t>
  </si>
  <si>
    <t>Event</t>
  </si>
  <si>
    <t>Survey</t>
  </si>
  <si>
    <t>Actual</t>
  </si>
  <si>
    <t>Prior</t>
  </si>
  <si>
    <t>Revised</t>
  </si>
  <si>
    <t>Relevance</t>
  </si>
  <si>
    <t>Ticker</t>
  </si>
  <si>
    <t>03/27/2015 08:30</t>
  </si>
  <si>
    <t>US</t>
  </si>
  <si>
    <t>1)</t>
  </si>
  <si>
    <t>GDP Annualized QoQ</t>
  </si>
  <si>
    <t>4Q T</t>
  </si>
  <si>
    <t>--</t>
  </si>
  <si>
    <t>GDP CQOQ Index</t>
  </si>
  <si>
    <t>2)</t>
  </si>
  <si>
    <t>Personal Consumption</t>
  </si>
  <si>
    <t>GDPCTOT% Index</t>
  </si>
  <si>
    <t>3)</t>
  </si>
  <si>
    <t>GDP Price Index</t>
  </si>
  <si>
    <t>GDP PIQQ Index</t>
  </si>
  <si>
    <t>4)</t>
  </si>
  <si>
    <t>Core PCE QoQ</t>
  </si>
  <si>
    <t>GDPCPCEC Index</t>
  </si>
  <si>
    <t>03/27/2015 10:00</t>
  </si>
  <si>
    <t>5)</t>
  </si>
  <si>
    <t>U. of Mich. Sentiment</t>
  </si>
  <si>
    <t>Mar F</t>
  </si>
  <si>
    <t>CONSSENT Index</t>
  </si>
  <si>
    <t>6)</t>
  </si>
  <si>
    <t>U. of Mich. Current Conditions</t>
  </si>
  <si>
    <t>CONSCURR Index</t>
  </si>
  <si>
    <t>7)</t>
  </si>
  <si>
    <t>U. of Mich. Expectations</t>
  </si>
  <si>
    <t>CONSEXP Index</t>
  </si>
  <si>
    <t>8)</t>
  </si>
  <si>
    <t>U. of Mich. 1 Yr Inflation</t>
  </si>
  <si>
    <t>CONSPXMD Index</t>
  </si>
  <si>
    <t>9)</t>
  </si>
  <si>
    <t>U. of Mich. 5-10 Yr Inflation</t>
  </si>
  <si>
    <t>CONSP5MD Index</t>
  </si>
  <si>
    <t>03/30/2015 08:30</t>
  </si>
  <si>
    <t>10)</t>
  </si>
  <si>
    <t>Personal Income</t>
  </si>
  <si>
    <t>Feb</t>
  </si>
  <si>
    <t>PITLCHNG Index</t>
  </si>
  <si>
    <t>11)</t>
  </si>
  <si>
    <t>Personal Spending</t>
  </si>
  <si>
    <t>PCE CRCH Index</t>
  </si>
  <si>
    <t>12)</t>
  </si>
  <si>
    <t>Inflation Adjusted Personal Spending</t>
  </si>
  <si>
    <t>PCE CHNC Index</t>
  </si>
  <si>
    <t>13)</t>
  </si>
  <si>
    <t>PCE Deflator MoM</t>
  </si>
  <si>
    <t>PCE DEFM Index</t>
  </si>
  <si>
    <t>14)</t>
  </si>
  <si>
    <t>PCE Deflator YoY</t>
  </si>
  <si>
    <t>PCE DEFY Index</t>
  </si>
  <si>
    <t>15)</t>
  </si>
  <si>
    <t>PCE Core MoM</t>
  </si>
  <si>
    <t>PCE CMOM Index</t>
  </si>
  <si>
    <t>16)</t>
  </si>
  <si>
    <t>PCE Core YoY</t>
  </si>
  <si>
    <t>PCE CYOY Index</t>
  </si>
  <si>
    <t>03/30/2015 10:00</t>
  </si>
  <si>
    <t>17)</t>
  </si>
  <si>
    <t>Pending Home Sales MoM</t>
  </si>
  <si>
    <t>USPHTMOM Index</t>
  </si>
  <si>
    <t>18)</t>
  </si>
  <si>
    <t>Pending Home Sales NSA YoY</t>
  </si>
  <si>
    <t>USPHTYOY Index</t>
  </si>
  <si>
    <t>03/30/2015 10:30</t>
  </si>
  <si>
    <t>19)</t>
  </si>
  <si>
    <t>Dallas Fed Manf. Activity</t>
  </si>
  <si>
    <t>Mar</t>
  </si>
  <si>
    <t>DFEDGBA Index</t>
  </si>
  <si>
    <t>03/31/2015 09:00</t>
  </si>
  <si>
    <t>20)</t>
  </si>
  <si>
    <t>ISM Milwaukee</t>
  </si>
  <si>
    <t>MAPMINDX Index</t>
  </si>
  <si>
    <t>21)</t>
  </si>
  <si>
    <t>S&amp;P/CS 20 City MoM SA</t>
  </si>
  <si>
    <t>Jan</t>
  </si>
  <si>
    <t>SPCS20SM Index</t>
  </si>
  <si>
    <t>22)</t>
  </si>
  <si>
    <t>S&amp;P/CS Composite-20 YoY</t>
  </si>
  <si>
    <t>SPCS20Y% Index</t>
  </si>
  <si>
    <t>23)</t>
  </si>
  <si>
    <t>S&amp;P/CaseShiller 20-City Index NSA</t>
  </si>
  <si>
    <t>SPCS20 Index</t>
  </si>
  <si>
    <t>24)</t>
  </si>
  <si>
    <t>S&amp;P/Case-Shiller US HPI MoM</t>
  </si>
  <si>
    <t>SPCSUSQS Index</t>
  </si>
  <si>
    <t>25)</t>
  </si>
  <si>
    <t>S&amp;P/Case-Shiller US HPI YoY</t>
  </si>
  <si>
    <t>SPCSUSAY Index</t>
  </si>
  <si>
    <t>26)</t>
  </si>
  <si>
    <t>S&amp;P/Case-Shiller US HPI NSA</t>
  </si>
  <si>
    <t>SPCSUSA Index</t>
  </si>
  <si>
    <t>03/31/2015 09:45</t>
  </si>
  <si>
    <t>27)</t>
  </si>
  <si>
    <t>Chicago Purchasing Manager</t>
  </si>
  <si>
    <t>CHPMINDX Index</t>
  </si>
  <si>
    <t>03/31/2015 10:00</t>
  </si>
  <si>
    <t>28)</t>
  </si>
  <si>
    <t>Consumer Confidence Index</t>
  </si>
  <si>
    <t>CONCCONF Index</t>
  </si>
  <si>
    <t>03/31/2015</t>
  </si>
  <si>
    <t>29)</t>
  </si>
  <si>
    <t>Revisions: Wholesale Inventory and Sales Report</t>
  </si>
  <si>
    <t>04/01/2015 07:00</t>
  </si>
  <si>
    <t>30)</t>
  </si>
  <si>
    <t>MBA Mortgage Applications</t>
  </si>
  <si>
    <t>MBAVCHNG Index</t>
  </si>
  <si>
    <t>04/01/2015 08:15</t>
  </si>
  <si>
    <t>31)</t>
  </si>
  <si>
    <t>ADP Employment Change</t>
  </si>
  <si>
    <t>ADP CHNG Index</t>
  </si>
  <si>
    <t>04/01/2015 09:45</t>
  </si>
  <si>
    <t>32)</t>
  </si>
  <si>
    <t>Markit US Manufacturing PMI</t>
  </si>
  <si>
    <t>MPMIUSMA Index</t>
  </si>
  <si>
    <t>04/01/2015 10:00</t>
  </si>
  <si>
    <t>33)</t>
  </si>
  <si>
    <t>Construction Spending MoM</t>
  </si>
  <si>
    <t>CNSTTMOM Index</t>
  </si>
  <si>
    <t>34)</t>
  </si>
  <si>
    <t>ISM Manufacturing</t>
  </si>
  <si>
    <t>NAPMPMI Index</t>
  </si>
  <si>
    <t>35)</t>
  </si>
  <si>
    <t>ISM Prices Paid</t>
  </si>
  <si>
    <t>NAPMPRIC Index</t>
  </si>
  <si>
    <t>04/01/2015</t>
  </si>
  <si>
    <t>36)</t>
  </si>
  <si>
    <t>Wards Total Vehicle Sales</t>
  </si>
  <si>
    <t>SAARTOTL Index</t>
  </si>
  <si>
    <t>37)</t>
  </si>
  <si>
    <t>Wards Domestic Vehicle Sales</t>
  </si>
  <si>
    <t>SAARDTOT Index</t>
  </si>
  <si>
    <t>04/02/2015 07:30</t>
  </si>
  <si>
    <t>38)</t>
  </si>
  <si>
    <t>Challenger Job Cuts YoY</t>
  </si>
  <si>
    <t>CHALYOY% Index</t>
  </si>
  <si>
    <t>04/02/2015 08:30</t>
  </si>
  <si>
    <t>39)</t>
  </si>
  <si>
    <t>Revisions: Initial Jobless Claims</t>
  </si>
  <si>
    <t>40)</t>
  </si>
  <si>
    <t>Initial Jobless Claims</t>
  </si>
  <si>
    <t>INJCJC Index</t>
  </si>
  <si>
    <t>41)</t>
  </si>
  <si>
    <t>Continuing Claims</t>
  </si>
  <si>
    <t>INJCSP Index</t>
  </si>
  <si>
    <t>42)</t>
  </si>
  <si>
    <t>Trade Balance</t>
  </si>
  <si>
    <t>USTBTOT Index</t>
  </si>
  <si>
    <t>04/02/2015 09:45</t>
  </si>
  <si>
    <t>43)</t>
  </si>
  <si>
    <t>Bloomberg Consumer Comfort</t>
  </si>
  <si>
    <t>COMFCOMF Index</t>
  </si>
  <si>
    <t>44)</t>
  </si>
  <si>
    <t>ISM New York</t>
  </si>
  <si>
    <t>NYPMCURR Index</t>
  </si>
  <si>
    <t>04/02/2015 10:00</t>
  </si>
  <si>
    <t>45)</t>
  </si>
  <si>
    <t>Factory Orders</t>
  </si>
  <si>
    <t>TMNOCHNG Index</t>
  </si>
  <si>
    <t>46)</t>
  </si>
  <si>
    <t>U.S. Durables Lowers Jan. Factory Orders to -0.6%: Bloomberg</t>
  </si>
  <si>
    <t>04/03/2015 08:30</t>
  </si>
  <si>
    <t>47)</t>
  </si>
  <si>
    <t>Change in Nonfarm Payrolls</t>
  </si>
  <si>
    <t>NFP TCH Index</t>
  </si>
  <si>
    <t>48)</t>
  </si>
  <si>
    <t>Two-Month Payroll Net Revision</t>
  </si>
  <si>
    <t>ECONGECC Index</t>
  </si>
  <si>
    <t>49)</t>
  </si>
  <si>
    <t>Change in Private Payrolls</t>
  </si>
  <si>
    <t>NFP PCH Index</t>
  </si>
  <si>
    <t>50)</t>
  </si>
  <si>
    <t>Change in Manufact. Payrolls</t>
  </si>
  <si>
    <t>USMMMNCH Index</t>
  </si>
  <si>
    <t>51)</t>
  </si>
  <si>
    <t>Unemployment Rate</t>
  </si>
  <si>
    <t>USURTOT Index</t>
  </si>
  <si>
    <t>52)</t>
  </si>
  <si>
    <t>Average Hourly Earnings MoM</t>
  </si>
  <si>
    <t>AHE MOM% Index</t>
  </si>
  <si>
    <t>53)</t>
  </si>
  <si>
    <t>Average Hourly Earnings YoY</t>
  </si>
  <si>
    <t>AHE YOY% Index</t>
  </si>
  <si>
    <t>54)</t>
  </si>
  <si>
    <t>Average Weekly Hours All Employees</t>
  </si>
  <si>
    <t>AWH TOTL Index</t>
  </si>
  <si>
    <t>55)</t>
  </si>
  <si>
    <t>Underemployment Rate</t>
  </si>
  <si>
    <t>USUDMAER Index</t>
  </si>
  <si>
    <t>56)</t>
  </si>
  <si>
    <t>Change in Household Employment</t>
  </si>
  <si>
    <t>USEMNCHG Index</t>
  </si>
  <si>
    <t>57)</t>
  </si>
  <si>
    <t>Labor Force Participation Rate</t>
  </si>
  <si>
    <t>PRUSTOT Index</t>
  </si>
  <si>
    <t>04/06/2015 09:45</t>
  </si>
  <si>
    <t>58)</t>
  </si>
  <si>
    <t>Markit US Composite PMI</t>
  </si>
  <si>
    <t>MPMIUSCA Index</t>
  </si>
  <si>
    <t>59)</t>
  </si>
  <si>
    <t>Markit US Services PMI</t>
  </si>
  <si>
    <t>MPMIUSSA Index</t>
  </si>
  <si>
    <t>04/06/2015 10:00</t>
  </si>
  <si>
    <t>60)</t>
  </si>
  <si>
    <t>Labor Market Conditions Index Change</t>
  </si>
  <si>
    <t>LMCILMCC Index</t>
  </si>
  <si>
    <t>61)</t>
  </si>
  <si>
    <t>ISM Non-Manf. Composite</t>
  </si>
  <si>
    <t>NAPMNMI Index</t>
  </si>
  <si>
    <t>04/07/2015 10:00</t>
  </si>
  <si>
    <t>62)</t>
  </si>
  <si>
    <t>IBD/TIPP Economic Optimism</t>
  </si>
  <si>
    <t>Apr</t>
  </si>
  <si>
    <t>ECONUSIB Index</t>
  </si>
  <si>
    <t>63)</t>
  </si>
  <si>
    <t>JOLTS Job Openings</t>
  </si>
  <si>
    <t>JOLTTOTL Index</t>
  </si>
  <si>
    <t>04/07/2015 15:00</t>
  </si>
  <si>
    <t>64)</t>
  </si>
  <si>
    <t>Consumer Credit</t>
  </si>
  <si>
    <t>CICRTOT Index</t>
  </si>
  <si>
    <t>04/08/2015 07:00</t>
  </si>
  <si>
    <t>65)</t>
  </si>
  <si>
    <t>04/08/2015 14:00</t>
  </si>
  <si>
    <t>66)</t>
  </si>
  <si>
    <t>U.S. Fed Releases Minutes from March 17-18 FOMC Meeting</t>
  </si>
  <si>
    <t>04/09/2015 08:30</t>
  </si>
  <si>
    <t>67)</t>
  </si>
  <si>
    <t>68)</t>
  </si>
  <si>
    <t>04/09/2015 09:45</t>
  </si>
  <si>
    <t>69)</t>
  </si>
  <si>
    <t>04/09/2015 10:00</t>
  </si>
  <si>
    <t>70)</t>
  </si>
  <si>
    <t>Wholesale Inventories MoM</t>
  </si>
  <si>
    <t>MWINCHNG Index</t>
  </si>
  <si>
    <t>71)</t>
  </si>
  <si>
    <t>Wholesale Trade Sales MoM</t>
  </si>
  <si>
    <t>MWSLCHNG Index</t>
  </si>
  <si>
    <t>04/10/2015 08:30</t>
  </si>
  <si>
    <t>72)</t>
  </si>
  <si>
    <t>Import Price Index MoM</t>
  </si>
  <si>
    <t>IMP1CHNG Index</t>
  </si>
  <si>
    <t>73)</t>
  </si>
  <si>
    <t>Import Price Index YoY</t>
  </si>
  <si>
    <t>IMP1YOY% Index</t>
  </si>
  <si>
    <t>04/10/2015 14:00</t>
  </si>
  <si>
    <t>74)</t>
  </si>
  <si>
    <t>Monthly Budget Statement</t>
  </si>
  <si>
    <t>FDDSSD Index</t>
  </si>
  <si>
    <t>04/14/2015 08:30</t>
  </si>
  <si>
    <t>75)</t>
  </si>
  <si>
    <t>Retail Sales Advance MoM</t>
  </si>
  <si>
    <t>RSTAMOM Index</t>
  </si>
  <si>
    <t>76)</t>
  </si>
  <si>
    <t>Retail Sales Ex Auto MoM</t>
  </si>
  <si>
    <t>RSTAXMOM Index</t>
  </si>
  <si>
    <t>77)</t>
  </si>
  <si>
    <t>Retail Sales Ex Auto and Gas</t>
  </si>
  <si>
    <t>RSTAXAG% Index</t>
  </si>
  <si>
    <t>78)</t>
  </si>
  <si>
    <t>Retail Sales Control Group</t>
  </si>
  <si>
    <t>RSTAXAGM Index</t>
  </si>
  <si>
    <t>79)</t>
  </si>
  <si>
    <t>PPI Final Demand MoM</t>
  </si>
  <si>
    <t>FDIDFDMO Index</t>
  </si>
  <si>
    <t>80)</t>
  </si>
  <si>
    <t>PPI Ex Food and Energy MoM</t>
  </si>
  <si>
    <t>FDIDSGMO Index</t>
  </si>
  <si>
    <t>81)</t>
  </si>
  <si>
    <t>PPI Ex Food, Energy, Trade MoM</t>
  </si>
  <si>
    <t>FDIDSGUM Index</t>
  </si>
  <si>
    <t>82)</t>
  </si>
  <si>
    <t>PPI Final Demand YoY</t>
  </si>
  <si>
    <t>FDIUFDYO Index</t>
  </si>
  <si>
    <t>83)</t>
  </si>
  <si>
    <t>PPI Ex Food and Energy YoY</t>
  </si>
  <si>
    <t>FDIUSGYO Index</t>
  </si>
  <si>
    <t>84)</t>
  </si>
  <si>
    <t>PPI Ex Food, Energy, Trade YoY</t>
  </si>
  <si>
    <t>FDIUSGUY Index</t>
  </si>
  <si>
    <t>04/14/2015 09:00</t>
  </si>
  <si>
    <t>85)</t>
  </si>
  <si>
    <t>NFIB Small Business Optimism</t>
  </si>
  <si>
    <t>SBOITOTL Index</t>
  </si>
  <si>
    <t>04/14/2015 10:00</t>
  </si>
  <si>
    <t>86)</t>
  </si>
  <si>
    <t>Business Inventories</t>
  </si>
  <si>
    <t>MTIBCHNG Index</t>
  </si>
  <si>
    <t>87)</t>
  </si>
  <si>
    <t>Revisions: Wholesale Inventories</t>
  </si>
  <si>
    <t>04/15/2015 07:00</t>
  </si>
  <si>
    <t>88)</t>
  </si>
  <si>
    <t>04/15/2015 08:30</t>
  </si>
  <si>
    <t>89)</t>
  </si>
  <si>
    <t>Empire Manufacturing</t>
  </si>
  <si>
    <t>EMPRGBCI Index</t>
  </si>
  <si>
    <t>04/15/2015 09:15</t>
  </si>
  <si>
    <t>90)</t>
  </si>
  <si>
    <t>Industrial Production MoM</t>
  </si>
  <si>
    <t>IP CHNG Index</t>
  </si>
  <si>
    <t>91)</t>
  </si>
  <si>
    <t>Capacity Utilization</t>
  </si>
  <si>
    <t>CPTICHNG Index</t>
  </si>
  <si>
    <t>92)</t>
  </si>
  <si>
    <t>Manufacturing (SIC) Production</t>
  </si>
  <si>
    <t>IPMGCHNG Index</t>
  </si>
  <si>
    <t>04/15/2015 10:00</t>
  </si>
  <si>
    <t>93)</t>
  </si>
  <si>
    <t>NAHB Housing Market Index</t>
  </si>
  <si>
    <t>USHBMIDX Index</t>
  </si>
  <si>
    <t>04/15/2015 14:00</t>
  </si>
  <si>
    <t>94)</t>
  </si>
  <si>
    <t>U.S. Federal Reserve Releases Beige Book</t>
  </si>
  <si>
    <t>04/15/2015 16:00</t>
  </si>
  <si>
    <t>95)</t>
  </si>
  <si>
    <t>Net Long-term TIC Flows</t>
  </si>
  <si>
    <t>FRNTTOTL Index</t>
  </si>
  <si>
    <t>96)</t>
  </si>
  <si>
    <t>Total Net TIC Flows</t>
  </si>
  <si>
    <t>FRNTTNET Index</t>
  </si>
  <si>
    <t>04/16/2015 08:30</t>
  </si>
  <si>
    <t>97)</t>
  </si>
  <si>
    <t>Housing Starts</t>
  </si>
  <si>
    <t>NHSPSTOT Index</t>
  </si>
  <si>
    <t>98)</t>
  </si>
  <si>
    <t>Housing Starts MoM</t>
  </si>
  <si>
    <t>NHCHSTCH Index</t>
  </si>
  <si>
    <t>99)</t>
  </si>
  <si>
    <t>Building Permits</t>
  </si>
  <si>
    <t>NHSPATOT Index</t>
  </si>
  <si>
    <t>100)</t>
  </si>
  <si>
    <t>Building Permits MoM</t>
  </si>
  <si>
    <t>NHCHATCH Index</t>
  </si>
  <si>
    <t>101)</t>
  </si>
  <si>
    <t>102)</t>
  </si>
  <si>
    <t>04/16/2015 09:45</t>
  </si>
  <si>
    <t>103)</t>
  </si>
  <si>
    <t>104)</t>
  </si>
  <si>
    <t>Bloomberg Economic Expectations</t>
  </si>
  <si>
    <t>COMFBTWR Index</t>
  </si>
  <si>
    <t>04/16/2015 10:00</t>
  </si>
  <si>
    <t>105)</t>
  </si>
  <si>
    <t>Philadelphia Fed Business Outlook</t>
  </si>
  <si>
    <t>OUTFGAF Index</t>
  </si>
  <si>
    <t>04/17/2015 08:30</t>
  </si>
  <si>
    <t>106)</t>
  </si>
  <si>
    <t>Real Avg Weekly Earnings YoY</t>
  </si>
  <si>
    <t>REALYRAE Index</t>
  </si>
  <si>
    <t>107)</t>
  </si>
  <si>
    <t>CPI MoM</t>
  </si>
  <si>
    <t>CPI CHNG Index</t>
  </si>
  <si>
    <t>108)</t>
  </si>
  <si>
    <t>CPI Ex Food and Energy MoM</t>
  </si>
  <si>
    <t>CPUPXCHG Index</t>
  </si>
  <si>
    <t>109)</t>
  </si>
  <si>
    <t>CPI YoY</t>
  </si>
  <si>
    <t>CPI YOY Index</t>
  </si>
  <si>
    <t>110)</t>
  </si>
  <si>
    <t>CPI Ex Food and Energy YoY</t>
  </si>
  <si>
    <t>CPI XYOY Index</t>
  </si>
  <si>
    <t>111)</t>
  </si>
  <si>
    <t>CPI Index NSA</t>
  </si>
  <si>
    <t>CPURNSA Index</t>
  </si>
  <si>
    <t>112)</t>
  </si>
  <si>
    <t>CPI Core Index SA</t>
  </si>
  <si>
    <t>CPUPAXFE Index</t>
  </si>
  <si>
    <t>04/17/2015 10:00</t>
  </si>
  <si>
    <t>113)</t>
  </si>
  <si>
    <t>Apr P</t>
  </si>
  <si>
    <t>114)</t>
  </si>
  <si>
    <t>115)</t>
  </si>
  <si>
    <t>Leading Index</t>
  </si>
  <si>
    <t>LEI CHNG Index</t>
  </si>
  <si>
    <t>116)</t>
  </si>
  <si>
    <t>117)</t>
  </si>
  <si>
    <t>118)</t>
  </si>
  <si>
    <t>04/20/2015 08:30</t>
  </si>
  <si>
    <t>119)</t>
  </si>
  <si>
    <t>Chicago Fed Nat Activity Index</t>
  </si>
  <si>
    <t>CFNAI Index</t>
  </si>
  <si>
    <t>04/22/2015 07:00</t>
  </si>
  <si>
    <t>120)</t>
  </si>
  <si>
    <t>04/22/2015 09:00</t>
  </si>
  <si>
    <t>121)</t>
  </si>
  <si>
    <t>FHFA House Price Index MoM</t>
  </si>
  <si>
    <t>HPIMMOM% Index</t>
  </si>
  <si>
    <t>04/22/2015 10:00</t>
  </si>
  <si>
    <t>122)</t>
  </si>
  <si>
    <t>Existing Home Sales</t>
  </si>
  <si>
    <t>ETSLTOTL Index</t>
  </si>
  <si>
    <t>123)</t>
  </si>
  <si>
    <t>Existing Home Sales MoM</t>
  </si>
  <si>
    <t>ETSLMOM Index</t>
  </si>
  <si>
    <t>04/23/2015 08:30</t>
  </si>
  <si>
    <t>124)</t>
  </si>
  <si>
    <t>125)</t>
  </si>
  <si>
    <t>04/23/2015 09:45</t>
  </si>
  <si>
    <t>126)</t>
  </si>
  <si>
    <t>127)</t>
  </si>
  <si>
    <t>04/23/2015 10:00</t>
  </si>
  <si>
    <t>128)</t>
  </si>
  <si>
    <t>New Home Sales</t>
  </si>
  <si>
    <t>NHSLTOT Index</t>
  </si>
  <si>
    <t>129)</t>
  </si>
  <si>
    <t>New Home Sales MoM</t>
  </si>
  <si>
    <t>NHSLCHNG Index</t>
  </si>
  <si>
    <t>04/23/2015 11:00</t>
  </si>
  <si>
    <t>130)</t>
  </si>
  <si>
    <t>Kansas City Fed Manf. Activity</t>
  </si>
  <si>
    <t>KCLSSACI Index</t>
  </si>
  <si>
    <t>04/24/2015 08:30</t>
  </si>
  <si>
    <t>131)</t>
  </si>
  <si>
    <t>Durable Goods Orders</t>
  </si>
  <si>
    <t>DGNOCHNG Index</t>
  </si>
  <si>
    <t>132)</t>
  </si>
  <si>
    <t>Durables Ex Transportation</t>
  </si>
  <si>
    <t>DGNOXTCH Index</t>
  </si>
  <si>
    <t>133)</t>
  </si>
  <si>
    <t>Cap Goods Orders Nondef Ex Air</t>
  </si>
  <si>
    <t>CGNOXAI% Index</t>
  </si>
  <si>
    <t>134)</t>
  </si>
  <si>
    <t>Cap Goods Ship Nondef Ex Air</t>
  </si>
  <si>
    <t>CGSHXAI% Index</t>
  </si>
  <si>
    <t>04/27/2015 09:45</t>
  </si>
  <si>
    <t>135)</t>
  </si>
  <si>
    <t>136)</t>
  </si>
  <si>
    <t>04/27/2015 10:30</t>
  </si>
  <si>
    <t>137)</t>
  </si>
  <si>
    <t>Download time: 27MAR2015_17:09:23.684</t>
  </si>
  <si>
    <t>Column1</t>
  </si>
  <si>
    <t>Long Comp Name</t>
  </si>
  <si>
    <t>PX LAST</t>
  </si>
  <si>
    <t>DES NOTES</t>
  </si>
  <si>
    <t>INPUT TICKER</t>
  </si>
  <si>
    <t>SEASONALITY AND TRANSFORMATION</t>
  </si>
  <si>
    <t>Search for:</t>
  </si>
  <si>
    <t>OBSERVATION PERIOD</t>
  </si>
  <si>
    <t>INDX FREQ</t>
  </si>
  <si>
    <t>ECO RELEASE TIME</t>
  </si>
  <si>
    <t>ECO RELEASE DT</t>
  </si>
  <si>
    <t>SCALING FORMAT</t>
  </si>
  <si>
    <t>RELEVANCE VALUE</t>
  </si>
  <si>
    <t>REGION OR COUNTRY</t>
  </si>
  <si>
    <t>NAME</t>
  </si>
  <si>
    <t>CR OBSERVATION DATE</t>
  </si>
  <si>
    <t>PRIOR OBSERVATION DATE</t>
  </si>
  <si>
    <t>INJCJCNS Index</t>
  </si>
  <si>
    <t>NFP T Index</t>
  </si>
  <si>
    <t>NFP TYCH Index</t>
  </si>
  <si>
    <t>NFP TMOM Index</t>
  </si>
  <si>
    <t>NFP TYOY Index</t>
  </si>
  <si>
    <t>CONCCYOY Index</t>
  </si>
  <si>
    <t>verb</t>
  </si>
  <si>
    <t>to</t>
  </si>
  <si>
    <t>value</t>
  </si>
  <si>
    <t>in</t>
  </si>
  <si>
    <t>period</t>
  </si>
  <si>
    <t>Indicator</t>
  </si>
  <si>
    <t>Date</t>
  </si>
  <si>
    <t>Month</t>
  </si>
  <si>
    <t>first quarter</t>
  </si>
  <si>
    <t>second quarter</t>
  </si>
  <si>
    <t>third quarter</t>
  </si>
  <si>
    <t>fourth quarter</t>
  </si>
  <si>
    <t>the week ended on</t>
  </si>
  <si>
    <t>January</t>
  </si>
  <si>
    <t>February</t>
  </si>
  <si>
    <t>March</t>
  </si>
  <si>
    <t>April</t>
  </si>
  <si>
    <t>May</t>
  </si>
  <si>
    <t>June</t>
  </si>
  <si>
    <t>July</t>
  </si>
  <si>
    <t>August</t>
  </si>
  <si>
    <t>September</t>
  </si>
  <si>
    <t>October</t>
  </si>
  <si>
    <t>November</t>
  </si>
  <si>
    <t>December</t>
  </si>
  <si>
    <t>rose</t>
  </si>
  <si>
    <t>declined</t>
  </si>
  <si>
    <t>RELEASE DATE</t>
  </si>
  <si>
    <t>BN SURVEY MEDIAN</t>
  </si>
  <si>
    <t>QUOTE PRIOR MID</t>
  </si>
  <si>
    <t>EURUSD CURNCY</t>
  </si>
  <si>
    <t>PREV CLOSE VAL</t>
  </si>
  <si>
    <t>CHG NET 1D</t>
  </si>
  <si>
    <t>CHG PCT 1D</t>
  </si>
  <si>
    <t>USDJPY CURNCY</t>
  </si>
  <si>
    <t>USDCNY CURNCY</t>
  </si>
  <si>
    <t>CLA COMDTY</t>
  </si>
  <si>
    <t>WTI ACTIVE CONTRACT</t>
  </si>
  <si>
    <t>COA COMDTY</t>
  </si>
  <si>
    <t>BRENT ACTIVE CONTRACT</t>
  </si>
  <si>
    <t>XAU CURNCY</t>
  </si>
  <si>
    <t>GOLD SPOT</t>
  </si>
  <si>
    <t>GOLD ACTIVE CONTRACT</t>
  </si>
  <si>
    <t>GCA COMDTY</t>
  </si>
  <si>
    <t>SPX Index</t>
  </si>
  <si>
    <t>INDX_MOST_DOWN</t>
  </si>
  <si>
    <t>INDX_MOST_UP</t>
  </si>
  <si>
    <t>CCMP Index</t>
  </si>
  <si>
    <t>INDU Index</t>
  </si>
  <si>
    <t>Market Cap Min.</t>
  </si>
  <si>
    <t>TICKER</t>
  </si>
  <si>
    <t>PX ASK</t>
  </si>
  <si>
    <t>PX VOLUME</t>
  </si>
  <si>
    <t>PX VOLUME 1D</t>
  </si>
  <si>
    <t>GBPUSD CURNCY</t>
  </si>
  <si>
    <t>CHFUSD CURNCY</t>
  </si>
  <si>
    <t>USDAUD CURNCY</t>
  </si>
  <si>
    <t>CUR MKT CAP</t>
  </si>
  <si>
    <t>*Override item</t>
  </si>
  <si>
    <t>LAST PRICE</t>
  </si>
  <si>
    <t>CHANGE</t>
  </si>
  <si>
    <t>CURRENT MARKET CAPITALIZATION (USD MILLION)</t>
  </si>
  <si>
    <t>VOLUME</t>
  </si>
  <si>
    <t>VOLUME 1D</t>
  </si>
  <si>
    <t>LAST QUOTE</t>
  </si>
  <si>
    <t>PREVIOUS CLOSE QUOTE</t>
  </si>
  <si>
    <t>NET CHANGE 1D</t>
  </si>
  <si>
    <t>% CHANGE 1D</t>
  </si>
  <si>
    <t>USD:JPY</t>
  </si>
  <si>
    <t>USD:CNY</t>
  </si>
  <si>
    <t>USD:AUD</t>
  </si>
  <si>
    <t>GBP:USD</t>
  </si>
  <si>
    <t>EUR:USD</t>
  </si>
  <si>
    <t>CHF:USD</t>
  </si>
  <si>
    <t>Today</t>
  </si>
  <si>
    <t>Next Business Day</t>
  </si>
  <si>
    <t>This Week</t>
  </si>
  <si>
    <t>Next 30 Days</t>
  </si>
  <si>
    <t>University of Michigan Consumer Sentiment Index</t>
  </si>
  <si>
    <t>UMich Expected Change in Prices During the Next 5-10 Years: Median</t>
  </si>
  <si>
    <t>UMich Expected Change in Prices During the Next Year: Median</t>
  </si>
  <si>
    <t>University of Michigan Consumer Expectations Index</t>
  </si>
  <si>
    <t>University of Michigan Current Economic Conditions Index</t>
  </si>
  <si>
    <t>US CPI Urban Consumers MoM SA</t>
  </si>
  <si>
    <t>US CPI Urban Consumers Less Food &amp; Energy MoM SA</t>
  </si>
  <si>
    <t>US CPI Urban Consumers YoY NSA</t>
  </si>
  <si>
    <t>US CPI Urban Consumers Less Food &amp; Energy YoY NSA</t>
  </si>
  <si>
    <t>US CPI Urban Consumers Less Food &amp; Energy SA</t>
  </si>
  <si>
    <t>US CPI Urban Consumers NSA</t>
  </si>
  <si>
    <t>Conference Board US Leading Index MoM</t>
  </si>
  <si>
    <t>Chicago Fed National Activity Index</t>
  </si>
  <si>
    <t>Mortgage Bankers Association US Mortgage Market Indx Weekly % Change SA Old Meth</t>
  </si>
  <si>
    <t>FHFA US House Price Index Purchase Only MoM% SA</t>
  </si>
  <si>
    <t>US Existing Homes Sales SAAR</t>
  </si>
  <si>
    <t>US Existing Homes Sales MoM SA</t>
  </si>
  <si>
    <t>Bloomberg US Weekly Consumer Comfort Index</t>
  </si>
  <si>
    <t>US Initial Jobless Claims SA</t>
  </si>
  <si>
    <t>US Continuing Jobless Claims SA</t>
  </si>
  <si>
    <t>Markit US Manufacturing PMI SA</t>
  </si>
  <si>
    <t>Kansas City Federal Reserve SA Composite Index</t>
  </si>
  <si>
    <t>US New One Family Houses Sold Annual Total SAAR</t>
  </si>
  <si>
    <t>US New One Family Houses Sold Annual Total MoM SA</t>
  </si>
  <si>
    <t>US Durable Goods New Orders Industries MoM SA</t>
  </si>
  <si>
    <t>US Durable Goods New Orders Total ex Transportation MoM SA</t>
  </si>
  <si>
    <t>Capital Goods New Orders Nondefense Ex Aircraft &amp; Parts MoM</t>
  </si>
  <si>
    <t>Capital Goods Shipments Ex Air %</t>
  </si>
  <si>
    <t>Markit US Composite PMI SA</t>
  </si>
  <si>
    <t>Markit US Services PMI Business Activity SA</t>
  </si>
  <si>
    <t>Dallas Fed Manufacturing Outlook Level Of General Business Activity</t>
  </si>
  <si>
    <t>S&amp;P/Case-Shiller Composite-20 Home Price Index Not Seasonally Adjusted</t>
  </si>
  <si>
    <t>S&amp;P/Case-Shiller Composite-20 City Home Price Index YoY</t>
  </si>
  <si>
    <t>S&amp;P/Case-Shiller United States Home Price Index Monthly Data YoY % Change NSA</t>
  </si>
  <si>
    <t>S&amp;P/Case-Shiller United States Home Price Index Monthly Data NSA</t>
  </si>
  <si>
    <t>S&amp;P/Case-Shiller Composite-20 City Home Price Index SA MOM % Change</t>
  </si>
  <si>
    <t>S&amp;P/Case-Shiller United States Home Price Index Monthly Data MoM % Change SA</t>
  </si>
  <si>
    <t>Conference Board Consumer Confidence SA 1985=100</t>
  </si>
  <si>
    <t>US Pending Home Sales Index MoM SA</t>
  </si>
  <si>
    <t>US Pending Home Sales Index YoY NSA</t>
  </si>
  <si>
    <t>GDP US Chained 2009 Dollars QoQ SAAR</t>
  </si>
  <si>
    <t>US GDP Price Index QoQ SAAR</t>
  </si>
  <si>
    <t>GDP US Personal Consumption Chained 2009 Dlrs % Change from Previous Period SAAR</t>
  </si>
  <si>
    <t>US GDP Personal Consumption Core Price Index QoQ % SAAR</t>
  </si>
  <si>
    <t>US Personal Income MoM SA</t>
  </si>
  <si>
    <t>US Personal Consumption Expenditures Nominal Dollars MoM SA</t>
  </si>
  <si>
    <t>US Personal Consumption Expenditure Core Price Index MoM SA</t>
  </si>
  <si>
    <t>US Personal Consumption Expenditure Core Price Index YoY SA</t>
  </si>
  <si>
    <t>US Personal Consumption Expenditures Chain Type Price Index YoY SA</t>
  </si>
  <si>
    <t>US Personal Consumption Expenditures Chain Type Price Index MoM SA</t>
  </si>
  <si>
    <t>US Personal Consumption Expenditures Chained 2009 Dollars MoM SA</t>
  </si>
  <si>
    <t>MNI Chicago Business Barometer (sa)</t>
  </si>
  <si>
    <t>ISM Milwaukee Purchasers Manufacturing Index</t>
  </si>
  <si>
    <t>ISM Manufacturing PMI SA</t>
  </si>
  <si>
    <t>Census Bureau US Construction Spending MoM SA</t>
  </si>
  <si>
    <t>ISM Manufacturing Report on Business Prices Index NSA</t>
  </si>
  <si>
    <t>US Auto Sales Total Annualized SA</t>
  </si>
  <si>
    <t>US Auto Sales Domestic Vehicles Annualized SA</t>
  </si>
  <si>
    <t>NEW YORK PURCHASING MANAGER Current Business Conditions SA</t>
  </si>
  <si>
    <t>US Manufacturers New Orders Total MoM SA</t>
  </si>
  <si>
    <t>US Trade Balance of Goods and Services SA</t>
  </si>
  <si>
    <t>ISM Non-Manufacturing NMI NSA</t>
  </si>
  <si>
    <t>US IBD/TIPP Index of Economic Optimism</t>
  </si>
  <si>
    <t>ADP National Employment Report SA Private Nonfarm Level Change</t>
  </si>
  <si>
    <t>Challenger US Job Cut Announcements Year Over Year Percent Change</t>
  </si>
  <si>
    <t>Federal Reserve Consumer Credit Total Net Change SA</t>
  </si>
  <si>
    <t>US Employees on Nonfarm Payrolls Total MoM Net Change SA</t>
  </si>
  <si>
    <t>U-3 US Unemployment Rate Total in Labor Force Seasonally Adjusted</t>
  </si>
  <si>
    <t>US Employees on Nonfarm Payrolls Manufacturing Industry Monthly Net Change SA</t>
  </si>
  <si>
    <t>US Employees on Nonfarm Payrolls Total Private MoM Net Change SA</t>
  </si>
  <si>
    <t>US Average Hourly Earnings All Employees Total Private Monthly Percentage Change</t>
  </si>
  <si>
    <t>US Average Hourly Earnings All Employees Total Private Yearly Percent Change SA</t>
  </si>
  <si>
    <t>US Average Weekly Hours All Employees Total Private SA</t>
  </si>
  <si>
    <t>US Employment Total in Labor Force Net Change SA</t>
  </si>
  <si>
    <t>U-6 Unemployment Rate Unemployed &amp; Margin &amp; Part Time as % Labor Force &amp; Margin</t>
  </si>
  <si>
    <t>US Labor Force Participation Rate Total SA</t>
  </si>
  <si>
    <t>Net Revisions to Nonfarm Payrolls</t>
  </si>
  <si>
    <t>Merchant Wholesalers Inventories Total Monthly % Change</t>
  </si>
  <si>
    <t>Merchant Wholesalers Sales Total Monthly % Change SA</t>
  </si>
  <si>
    <t>Average Monthly Change in Fed Labor Market Conditions Index - LMCI 19</t>
  </si>
  <si>
    <t>US Job Openings By Industry Total SA</t>
  </si>
  <si>
    <t>US Treasury Federal Budget Debt Summary Deficit Or Surplus NSA</t>
  </si>
  <si>
    <t>NFIB Small Business Optimism Index</t>
  </si>
  <si>
    <t>US Import Price Index by End Use All MoM NSA</t>
  </si>
  <si>
    <t>US Import Price Index by End Use All YoY NSA</t>
  </si>
  <si>
    <t>Adjusted Retail &amp; Food Services Sales SA Total Monthly % Change</t>
  </si>
  <si>
    <t>Adjusted Retail Sales Less Autos SA Monthly % Change</t>
  </si>
  <si>
    <t>Adjusted Retail Sales Less Autos and Gas Stations SA MoM Percent Change</t>
  </si>
  <si>
    <t>Adj Retail Sales Less Food Auto Dealers &amp; Build Materials &amp; Gas Stations MoM%</t>
  </si>
  <si>
    <t>US Manufacturing &amp; Trade Inventories Total MoM SA</t>
  </si>
  <si>
    <t>US PPI Final Demand MoM SA</t>
  </si>
  <si>
    <t>US PPI Final Demand YoY NSA</t>
  </si>
  <si>
    <t>US PPI Final Demand Less Foods and Energy MoM SA</t>
  </si>
  <si>
    <t>US PPI Final Demand Less Foods and Energy YoY NSA</t>
  </si>
  <si>
    <t>US PPI Final Demand Less Foods Energy and Trade Services MoM</t>
  </si>
  <si>
    <t>US PPI Final Demand Less Foods Energy and Trade Services NSA YoY</t>
  </si>
  <si>
    <t>US Industrial Production MoM 2007=100 SA</t>
  </si>
  <si>
    <t>US Capacity Utilization % of Total Capacity SA</t>
  </si>
  <si>
    <t>US Industrial Production Industry Groups Manufacturing MoM SA</t>
  </si>
  <si>
    <t>US Empire State Manufacturing Survey General Business Conditions SA</t>
  </si>
  <si>
    <t>US Foreign Net Transactions</t>
  </si>
  <si>
    <t>US Treasury International Capital Net Monthly Inflows Total</t>
  </si>
  <si>
    <t>National Association of Home Builders Market Index SA</t>
  </si>
  <si>
    <t>US New Privately Owned Housing Units Started by Structure Total SAAR</t>
  </si>
  <si>
    <t>Private Housing Authorized by Bldg Permits by Type Total SAAR</t>
  </si>
  <si>
    <t>Private Housing Units Started by Structure Total Monthly % Change SA</t>
  </si>
  <si>
    <t>Private Total Housing Authorized by Building Permits MoM SA</t>
  </si>
  <si>
    <t>Bloomberg US National Economy Expectations Diffusion Index</t>
  </si>
  <si>
    <t>Philadelphia Fed Business Outlook Survey Diffusion Index General Conditions</t>
  </si>
  <si>
    <t>US Initial Jobless Claims NSA</t>
  </si>
  <si>
    <t>US Employees on Nonfarm Payrolls Total SA</t>
  </si>
  <si>
    <t>US Employees on Nonfarm Payrolls Total Net Change SA From Year Ago</t>
  </si>
  <si>
    <t>US Employees on Nonfarm Payrolls Total SA MoM% Change</t>
  </si>
  <si>
    <t>US Employees on Nonfarm Payrolls Total SA Year Over Year Percent Change</t>
  </si>
  <si>
    <t>Conference Board Consumer Confidence SA 1985=100 YOY</t>
  </si>
  <si>
    <t>Release Date:</t>
  </si>
  <si>
    <t>Release Time:</t>
  </si>
  <si>
    <t>SUPERTEL HOS</t>
  </si>
  <si>
    <t>AXPW    UR</t>
  </si>
  <si>
    <t>AXION POWER</t>
  </si>
  <si>
    <t>VPCO    UR</t>
  </si>
  <si>
    <t>VAPOR CORP</t>
  </si>
  <si>
    <t>MOKO    UQ</t>
  </si>
  <si>
    <t>MOKO SOCIL M</t>
  </si>
  <si>
    <t>TROV    UR</t>
  </si>
  <si>
    <t>TROVAGENE IN</t>
  </si>
  <si>
    <t>KUTV    UQ</t>
  </si>
  <si>
    <t>KU6 MEDIA-AD</t>
  </si>
  <si>
    <t>OSN     UR</t>
  </si>
  <si>
    <t>OSSEN INNOVA</t>
  </si>
  <si>
    <t>XBIT    UW</t>
  </si>
  <si>
    <t>XBIOTECH INC</t>
  </si>
  <si>
    <t>CBYL    UQ</t>
  </si>
  <si>
    <t>CARBYLAN THE</t>
  </si>
  <si>
    <t>ADAT    UR</t>
  </si>
  <si>
    <t>AUTHENTIDATE</t>
  </si>
  <si>
    <t>ATHERSYS INC</t>
  </si>
  <si>
    <t>IPDN    UR</t>
  </si>
  <si>
    <t>PROFESSIONAL</t>
  </si>
  <si>
    <t>DSCO    UR</t>
  </si>
  <si>
    <t>DISCOVERY LA</t>
  </si>
  <si>
    <t>FNRG    UR</t>
  </si>
  <si>
    <t>FORCEFIELD E</t>
  </si>
  <si>
    <t>GNMK    UQ</t>
  </si>
  <si>
    <t>GENMARK DIAG</t>
  </si>
  <si>
    <t>NVDQ    UQ</t>
  </si>
  <si>
    <t>NOVADAQ TECH</t>
  </si>
  <si>
    <t>PBIB    UR</t>
  </si>
  <si>
    <t>PORTER BANCO</t>
  </si>
  <si>
    <t>XPLR    UR</t>
  </si>
  <si>
    <t>XPLORE TECHN</t>
  </si>
  <si>
    <t>SZYM    UW</t>
  </si>
  <si>
    <t>SOLAZYME INC</t>
  </si>
  <si>
    <t>ESCR    UW</t>
  </si>
  <si>
    <t>ESCALERA RES</t>
  </si>
  <si>
    <t>volatility 30d</t>
  </si>
  <si>
    <t>MEXBOL Index</t>
  </si>
  <si>
    <t>IBOV Index</t>
  </si>
  <si>
    <t>COLCAP Index</t>
  </si>
  <si>
    <t>UKX Index</t>
  </si>
  <si>
    <t>CAC Index</t>
  </si>
  <si>
    <t>DAX Index</t>
  </si>
  <si>
    <t>NKI Index</t>
  </si>
  <si>
    <t>HSI Index</t>
  </si>
  <si>
    <t>FIX MARKET FOR NON AMERICAN MARKETS IN MOST</t>
  </si>
  <si>
    <t>4.45MLN</t>
  </si>
  <si>
    <t>8.05MLN</t>
  </si>
  <si>
    <t>MOST UP &amp; DOWN</t>
  </si>
  <si>
    <t>Select Index</t>
  </si>
  <si>
    <t>USD:COP</t>
  </si>
  <si>
    <t>USDCOP CURNCY</t>
  </si>
  <si>
    <t>CURRENCIES AND COMMODITIES</t>
  </si>
  <si>
    <t>FIX DEFINITIONS THAT ARE IN A BAD FORMAT</t>
  </si>
  <si>
    <t>ADD MORE CURRENCIES</t>
  </si>
  <si>
    <t>ADD MORE COMMODITIES</t>
  </si>
  <si>
    <t>ADD FUTURES</t>
  </si>
  <si>
    <t>INDEXES</t>
  </si>
  <si>
    <t>ECO RELEASES</t>
  </si>
  <si>
    <t>USD BILLIONS</t>
  </si>
  <si>
    <t>ID ISIN</t>
  </si>
  <si>
    <t>SECURITY TYP</t>
  </si>
  <si>
    <t>CRNCY ADJ MKT CAP</t>
  </si>
  <si>
    <t>COUNTRY</t>
  </si>
  <si>
    <t>CNTRY OF RISK</t>
  </si>
  <si>
    <t>EQY REC CONS</t>
  </si>
  <si>
    <t>BETA RAW OVERRIDABLE</t>
  </si>
  <si>
    <t>SHORT INT RATIO</t>
  </si>
  <si>
    <t>CRNCY</t>
  </si>
  <si>
    <t>TRAIL 12M EPS</t>
  </si>
  <si>
    <t>CHG PCT 1M</t>
  </si>
  <si>
    <t>CHG PCT 3M</t>
  </si>
  <si>
    <t>CHG PCT 6M</t>
  </si>
  <si>
    <t>CHG PCT 1YR</t>
  </si>
  <si>
    <t>PE RATIO</t>
  </si>
  <si>
    <t>EQY DVD YLD IND</t>
  </si>
  <si>
    <t>GROSS MARGIN</t>
  </si>
  <si>
    <t>EBITDA MARGIN</t>
  </si>
  <si>
    <t>OPER MARGIN</t>
  </si>
  <si>
    <t>PROF MARGIN</t>
  </si>
  <si>
    <t>LT DEBT TO TOT EQY</t>
  </si>
  <si>
    <t>INTEREST COVERAGE RATIO</t>
  </si>
  <si>
    <t>XOM US Equity</t>
  </si>
  <si>
    <t>GE US Equity</t>
  </si>
  <si>
    <t>CVX US Equity</t>
  </si>
  <si>
    <t>UTX US Equity</t>
  </si>
  <si>
    <t>MMM US Equity</t>
  </si>
  <si>
    <t>BA US Equity</t>
  </si>
  <si>
    <t>DD US Equity</t>
  </si>
  <si>
    <t>CAT US Equity</t>
  </si>
  <si>
    <t>AAPL US Equity</t>
  </si>
  <si>
    <t>MSFT US Equity</t>
  </si>
  <si>
    <t>JNJ US Equity</t>
  </si>
  <si>
    <t>WMT US Equity</t>
  </si>
  <si>
    <t>JPM US Equity</t>
  </si>
  <si>
    <t>PG US Equity</t>
  </si>
  <si>
    <t>PFE US Equity</t>
  </si>
  <si>
    <t>VZ US Equity</t>
  </si>
  <si>
    <t>DIS US Equity</t>
  </si>
  <si>
    <t>KO US Equity</t>
  </si>
  <si>
    <t>MRK US Equity</t>
  </si>
  <si>
    <t>IBM US Equity</t>
  </si>
  <si>
    <t>V US Equity</t>
  </si>
  <si>
    <t>INTC US Equity</t>
  </si>
  <si>
    <t>HD US Equity</t>
  </si>
  <si>
    <t>CSCO US Equity</t>
  </si>
  <si>
    <t>UNH US Equity</t>
  </si>
  <si>
    <t>MCD US Equity</t>
  </si>
  <si>
    <t>GS US Equity</t>
  </si>
  <si>
    <t>NKE US Equity</t>
  </si>
  <si>
    <t>AXP US Equity</t>
  </si>
  <si>
    <t>TRV US Equity</t>
  </si>
  <si>
    <t>SECURITY ANALISYS</t>
  </si>
  <si>
    <t>LT DEBT TO TOT CAP</t>
  </si>
  <si>
    <t>ID BB GLOBAL</t>
  </si>
  <si>
    <t>SHORT NAME</t>
  </si>
  <si>
    <t>ENTER TICKER</t>
  </si>
  <si>
    <t>SPX INDEX</t>
  </si>
  <si>
    <t>Actual Value:</t>
  </si>
  <si>
    <t>ECONOMIC RELEASE DETAIL</t>
  </si>
  <si>
    <t>*Bloomberg Definition</t>
  </si>
  <si>
    <t>Last Value:</t>
  </si>
  <si>
    <t>*Example for INDU Index Securities</t>
  </si>
  <si>
    <t>As Of:</t>
  </si>
  <si>
    <t>ADD IPOS</t>
  </si>
  <si>
    <t xml:space="preserve">ADD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</si>
</sst>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43" formatCode="_(* #,##0.00_);_(* \(#,##0.00\);_(* &quot;-&quot;??_);_(@_)"/>
    <numFmt numFmtId="164" formatCode="0.0000%"/>
    <numFmt numFmtId="165" formatCode="_(* #,##0_);_(* \(#,##0\);_(* &quot;-&quot;??_);_(@_)"/>
    <numFmt numFmtId="166" formatCode="0.0000"/>
  </numFmts>
  <fonts count="3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b/>
      <i/>
      <sz val="11"/>
      <color theme="1"/>
      <name val="Calibri"/>
      <family val="2"/>
      <scheme val="minor"/>
    </font>
    <font>
      <b/>
      <i/>
      <sz val="11"/>
      <color theme="3"/>
      <name val="Calibri"/>
      <family val="2"/>
      <scheme val="minor"/>
    </font>
    <font>
      <sz val="9"/>
      <color indexed="81"/>
      <name val="Tahoma"/>
      <family val="2"/>
    </font>
    <font>
      <b/>
      <sz val="9"/>
      <color indexed="81"/>
      <name val="Tahoma"/>
      <family val="2"/>
    </font>
    <font>
      <i/>
      <sz val="11"/>
      <color rgb="FFFF0000"/>
      <name val="Calibri"/>
      <family val="2"/>
      <scheme val="minor"/>
    </font>
    <font>
      <sz val="11"/>
      <color rgb="FF000000"/>
      <name val="Calibri"/>
      <family val="2"/>
    </font>
    <font>
      <sz val="11"/>
      <color theme="1"/>
      <name val="Calibri Light"/>
      <family val="2"/>
    </font>
    <font>
      <b/>
      <i/>
      <sz val="11"/>
      <color theme="1"/>
      <name val="Calibri Light"/>
      <family val="2"/>
    </font>
    <font>
      <i/>
      <sz val="11"/>
      <color theme="1"/>
      <name val="Calibri Light"/>
      <family val="2"/>
    </font>
    <font>
      <b/>
      <sz val="11"/>
      <color theme="1"/>
      <name val="Calibri Light"/>
      <family val="2"/>
    </font>
    <font>
      <b/>
      <sz val="11"/>
      <color rgb="FF00B050"/>
      <name val="Calibri Light"/>
      <family val="2"/>
    </font>
    <font>
      <b/>
      <sz val="11"/>
      <color rgb="FFFF0000"/>
      <name val="Calibri Light"/>
      <family val="2"/>
    </font>
    <font>
      <u/>
      <sz val="16"/>
      <color theme="1"/>
      <name val="Calibri Light"/>
      <family val="2"/>
    </font>
    <font>
      <sz val="10"/>
      <name val="Arial"/>
      <family val="2"/>
    </font>
    <font>
      <b/>
      <sz val="10"/>
      <name val="Calibri"/>
      <family val="2"/>
    </font>
    <font>
      <sz val="10"/>
      <name val="Calibri"/>
      <family val="2"/>
    </font>
    <font>
      <i/>
      <sz val="10"/>
      <name val="Calibri"/>
      <family val="2"/>
    </font>
    <font>
      <b/>
      <sz val="11"/>
      <color indexed="9"/>
      <name val="Calibri"/>
      <family val="2"/>
    </font>
    <font>
      <b/>
      <sz val="10"/>
      <color indexed="9"/>
      <name val="Arial"/>
      <family val="2"/>
    </font>
    <font>
      <b/>
      <i/>
      <sz val="10"/>
      <name val="Calibr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6" tint="0.79998168889431442"/>
        <bgColor indexed="64"/>
      </patternFill>
    </fill>
    <fill>
      <patternFill patternType="solid">
        <fgColor rgb="FF4F81BD"/>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style="thin">
        <color auto="1"/>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8">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32" fillId="0" borderId="0"/>
    <xf numFmtId="0" fontId="36" fillId="37" borderId="0"/>
    <xf numFmtId="0" fontId="37" fillId="37" borderId="11">
      <alignment horizontal="right"/>
    </xf>
  </cellStyleXfs>
  <cellXfs count="99">
    <xf numFmtId="0" fontId="0" fillId="0" borderId="0" xfId="0"/>
    <xf numFmtId="0" fontId="0" fillId="0" borderId="0" xfId="0" applyAlignment="1">
      <alignment wrapText="1"/>
    </xf>
    <xf numFmtId="10" fontId="0" fillId="0" borderId="0" xfId="0" applyNumberFormat="1" applyAlignment="1">
      <alignment wrapText="1"/>
    </xf>
    <xf numFmtId="9" fontId="0" fillId="0" borderId="0" xfId="0" applyNumberFormat="1" applyAlignment="1">
      <alignment wrapText="1"/>
    </xf>
    <xf numFmtId="16" fontId="0" fillId="0" borderId="0" xfId="0" applyNumberFormat="1" applyAlignment="1">
      <alignment wrapText="1"/>
    </xf>
    <xf numFmtId="11" fontId="0" fillId="0" borderId="0" xfId="0" applyNumberFormat="1" applyAlignment="1">
      <alignment wrapText="1"/>
    </xf>
    <xf numFmtId="0" fontId="18" fillId="0" borderId="0" xfId="0" applyFont="1"/>
    <xf numFmtId="0" fontId="0" fillId="33" borderId="0" xfId="0" applyFill="1" applyAlignment="1">
      <alignment wrapText="1"/>
    </xf>
    <xf numFmtId="0" fontId="5" fillId="34" borderId="0" xfId="0" applyFont="1" applyFill="1" applyAlignment="1">
      <alignment horizontal="center" vertical="center"/>
    </xf>
    <xf numFmtId="0" fontId="16" fillId="34" borderId="0" xfId="0" applyFont="1" applyFill="1" applyAlignment="1">
      <alignment horizontal="center" vertical="center"/>
    </xf>
    <xf numFmtId="43" fontId="16" fillId="34" borderId="0" xfId="1" applyFont="1" applyFill="1" applyAlignment="1">
      <alignment horizontal="center" vertical="center"/>
    </xf>
    <xf numFmtId="43" fontId="16" fillId="34" borderId="0" xfId="1" applyNumberFormat="1" applyFont="1" applyFill="1" applyAlignment="1">
      <alignment horizontal="center" vertical="center"/>
    </xf>
    <xf numFmtId="14" fontId="16" fillId="34" borderId="0" xfId="0" applyNumberFormat="1" applyFont="1" applyFill="1" applyAlignment="1">
      <alignment horizontal="center" vertical="center"/>
    </xf>
    <xf numFmtId="14" fontId="16" fillId="35" borderId="0" xfId="0" applyNumberFormat="1" applyFont="1" applyFill="1" applyAlignment="1">
      <alignment horizontal="center" vertical="center"/>
    </xf>
    <xf numFmtId="0" fontId="19" fillId="34" borderId="0" xfId="0" applyFont="1" applyFill="1" applyAlignment="1">
      <alignment horizontal="center" vertical="center"/>
    </xf>
    <xf numFmtId="0" fontId="20" fillId="0" borderId="0" xfId="0" applyFont="1" applyFill="1" applyAlignment="1">
      <alignment horizontal="center" vertical="center"/>
    </xf>
    <xf numFmtId="0" fontId="19" fillId="0" borderId="0" xfId="0" applyFont="1" applyAlignment="1">
      <alignment horizontal="center" vertical="center"/>
    </xf>
    <xf numFmtId="43" fontId="19" fillId="0" borderId="0" xfId="1" applyFont="1" applyAlignment="1">
      <alignment horizontal="center" vertical="center"/>
    </xf>
    <xf numFmtId="43" fontId="19" fillId="0" borderId="0" xfId="1" applyNumberFormat="1" applyFont="1" applyAlignment="1">
      <alignment horizontal="center" vertical="center"/>
    </xf>
    <xf numFmtId="14" fontId="19" fillId="0" borderId="0" xfId="0" applyNumberFormat="1" applyFont="1" applyAlignment="1">
      <alignment horizontal="center" vertical="center"/>
    </xf>
    <xf numFmtId="0" fontId="5" fillId="0" borderId="0" xfId="0" applyFont="1" applyFill="1" applyAlignment="1">
      <alignment vertical="center"/>
    </xf>
    <xf numFmtId="0" fontId="0" fillId="0" borderId="0" xfId="0" applyAlignment="1">
      <alignment vertical="center"/>
    </xf>
    <xf numFmtId="0" fontId="18" fillId="0" borderId="0" xfId="0" applyFont="1" applyAlignment="1">
      <alignment vertical="center"/>
    </xf>
    <xf numFmtId="43" fontId="0" fillId="0" borderId="0" xfId="1" applyFont="1" applyAlignment="1">
      <alignment vertical="center"/>
    </xf>
    <xf numFmtId="14" fontId="0" fillId="0" borderId="0" xfId="0" applyNumberFormat="1" applyAlignment="1">
      <alignment vertical="center"/>
    </xf>
    <xf numFmtId="0" fontId="0" fillId="0" borderId="0" xfId="0" applyFill="1" applyAlignment="1">
      <alignment vertical="center"/>
    </xf>
    <xf numFmtId="0" fontId="5" fillId="0" borderId="0" xfId="0" applyFont="1" applyFill="1" applyAlignment="1">
      <alignment vertical="center" wrapText="1"/>
    </xf>
    <xf numFmtId="43" fontId="16" fillId="0" borderId="0" xfId="1" applyNumberFormat="1" applyFont="1" applyAlignment="1">
      <alignment vertical="center"/>
    </xf>
    <xf numFmtId="164" fontId="0" fillId="0" borderId="0" xfId="43" applyNumberFormat="1" applyFont="1"/>
    <xf numFmtId="166" fontId="0" fillId="0" borderId="0" xfId="0" applyNumberFormat="1"/>
    <xf numFmtId="166" fontId="0" fillId="0" borderId="0" xfId="1" applyNumberFormat="1" applyFont="1"/>
    <xf numFmtId="0" fontId="19" fillId="0" borderId="0" xfId="0" applyFont="1"/>
    <xf numFmtId="0" fontId="18" fillId="36" borderId="0" xfId="0" applyFont="1" applyFill="1" applyAlignment="1">
      <alignment horizontal="center" vertical="center" wrapText="1"/>
    </xf>
    <xf numFmtId="0" fontId="0" fillId="0" borderId="10" xfId="0" applyBorder="1"/>
    <xf numFmtId="0" fontId="18" fillId="0" borderId="10" xfId="0" applyFont="1" applyBorder="1"/>
    <xf numFmtId="14" fontId="16" fillId="8" borderId="8" xfId="16" applyNumberFormat="1" applyFont="1" applyAlignment="1">
      <alignment horizontal="center" vertical="center"/>
    </xf>
    <xf numFmtId="0" fontId="18" fillId="0" borderId="0" xfId="0" applyFont="1" applyFill="1" applyAlignment="1">
      <alignment vertical="center"/>
    </xf>
    <xf numFmtId="43" fontId="0" fillId="0" borderId="0" xfId="1" applyFont="1" applyFill="1" applyAlignment="1">
      <alignment vertical="center"/>
    </xf>
    <xf numFmtId="0" fontId="16" fillId="0" borderId="0" xfId="0" applyFont="1" applyFill="1" applyAlignment="1">
      <alignment vertical="center"/>
    </xf>
    <xf numFmtId="14" fontId="0" fillId="0" borderId="0" xfId="0" applyNumberFormat="1" applyFill="1" applyAlignment="1">
      <alignment vertical="center"/>
    </xf>
    <xf numFmtId="43" fontId="16" fillId="0" borderId="0" xfId="1" applyNumberFormat="1" applyFont="1" applyFill="1" applyAlignment="1">
      <alignment vertical="center"/>
    </xf>
    <xf numFmtId="0" fontId="0" fillId="0" borderId="0" xfId="0" applyFont="1" applyAlignment="1">
      <alignment vertical="top"/>
    </xf>
    <xf numFmtId="14" fontId="0" fillId="0" borderId="0" xfId="0" applyNumberFormat="1" applyAlignment="1">
      <alignment horizontal="left"/>
    </xf>
    <xf numFmtId="14" fontId="18" fillId="0" borderId="0" xfId="0" applyNumberFormat="1" applyFont="1"/>
    <xf numFmtId="0" fontId="23" fillId="0" borderId="0" xfId="0" applyFont="1" applyFill="1" applyAlignment="1">
      <alignment horizontal="left"/>
    </xf>
    <xf numFmtId="0" fontId="0" fillId="0" borderId="0" xfId="0" applyFill="1" applyAlignment="1">
      <alignment horizontal="left"/>
    </xf>
    <xf numFmtId="0" fontId="23" fillId="0" borderId="0" xfId="0" applyFont="1" applyFill="1"/>
    <xf numFmtId="0" fontId="0" fillId="0" borderId="0" xfId="0" applyFill="1"/>
    <xf numFmtId="0" fontId="25" fillId="34" borderId="0" xfId="0" applyFont="1" applyFill="1"/>
    <xf numFmtId="0" fontId="26" fillId="34" borderId="0" xfId="0" applyFont="1" applyFill="1"/>
    <xf numFmtId="0" fontId="25" fillId="0" borderId="0" xfId="0" applyFont="1"/>
    <xf numFmtId="0" fontId="26" fillId="0" borderId="0" xfId="0" applyFont="1"/>
    <xf numFmtId="0" fontId="27" fillId="0" borderId="0" xfId="0" applyFont="1"/>
    <xf numFmtId="0" fontId="25" fillId="8" borderId="8" xfId="16" applyFont="1"/>
    <xf numFmtId="0" fontId="27" fillId="0" borderId="0" xfId="0" applyFont="1" applyAlignment="1">
      <alignment horizontal="center"/>
    </xf>
    <xf numFmtId="0" fontId="28" fillId="33" borderId="0" xfId="0" applyFont="1" applyFill="1" applyAlignment="1">
      <alignment horizontal="center"/>
    </xf>
    <xf numFmtId="0" fontId="27" fillId="36" borderId="0" xfId="0" applyFont="1" applyFill="1" applyAlignment="1">
      <alignment horizontal="center" vertical="center" wrapText="1"/>
    </xf>
    <xf numFmtId="0" fontId="29" fillId="0" borderId="0" xfId="0" applyFont="1"/>
    <xf numFmtId="10" fontId="25" fillId="0" borderId="0" xfId="43" applyNumberFormat="1" applyFont="1"/>
    <xf numFmtId="165" fontId="25" fillId="0" borderId="0" xfId="1" applyNumberFormat="1" applyFont="1"/>
    <xf numFmtId="0" fontId="25" fillId="0" borderId="10" xfId="0" applyFont="1" applyBorder="1"/>
    <xf numFmtId="0" fontId="26" fillId="0" borderId="10" xfId="0" applyFont="1" applyBorder="1"/>
    <xf numFmtId="0" fontId="30" fillId="0" borderId="0" xfId="0" applyFont="1"/>
    <xf numFmtId="0" fontId="31" fillId="34" borderId="0" xfId="0" applyFont="1" applyFill="1" applyAlignment="1">
      <alignment horizontal="left"/>
    </xf>
    <xf numFmtId="0" fontId="25" fillId="0" borderId="0" xfId="0" applyFont="1" applyFill="1"/>
    <xf numFmtId="0" fontId="31" fillId="0" borderId="0" xfId="0" applyFont="1" applyFill="1" applyAlignment="1">
      <alignment horizontal="left"/>
    </xf>
    <xf numFmtId="0" fontId="26" fillId="0" borderId="0" xfId="0" applyFont="1" applyFill="1"/>
    <xf numFmtId="43" fontId="25" fillId="0" borderId="0" xfId="1" applyNumberFormat="1" applyFont="1"/>
    <xf numFmtId="43" fontId="25" fillId="0" borderId="0" xfId="1" applyFont="1"/>
    <xf numFmtId="14" fontId="33" fillId="0" borderId="0" xfId="45" applyNumberFormat="1" applyFont="1" applyAlignment="1">
      <alignment horizontal="center"/>
    </xf>
    <xf numFmtId="0" fontId="34" fillId="0" borderId="0" xfId="45" applyFont="1"/>
    <xf numFmtId="0" fontId="34" fillId="0" borderId="0" xfId="45" applyFont="1" applyAlignment="1">
      <alignment horizontal="center"/>
    </xf>
    <xf numFmtId="0" fontId="35" fillId="0" borderId="0" xfId="45" applyFont="1" applyAlignment="1">
      <alignment horizontal="center"/>
    </xf>
    <xf numFmtId="0" fontId="34" fillId="0" borderId="0" xfId="0" applyFont="1"/>
    <xf numFmtId="44" fontId="34" fillId="0" borderId="0" xfId="44" applyFont="1"/>
    <xf numFmtId="44" fontId="34" fillId="0" borderId="0" xfId="44" applyFont="1" applyAlignment="1">
      <alignment horizontal="center"/>
    </xf>
    <xf numFmtId="43" fontId="34" fillId="0" borderId="0" xfId="1" applyFont="1" applyAlignment="1">
      <alignment horizontal="center"/>
    </xf>
    <xf numFmtId="2" fontId="34" fillId="0" borderId="0" xfId="1" applyNumberFormat="1" applyFont="1" applyAlignment="1">
      <alignment horizontal="center"/>
    </xf>
    <xf numFmtId="10" fontId="34" fillId="0" borderId="0" xfId="43" applyNumberFormat="1" applyFont="1"/>
    <xf numFmtId="43" fontId="34" fillId="0" borderId="0" xfId="1" applyNumberFormat="1" applyFont="1"/>
    <xf numFmtId="0" fontId="32" fillId="0" borderId="0" xfId="0" applyFont="1"/>
    <xf numFmtId="0" fontId="34" fillId="36" borderId="0" xfId="45" applyFont="1" applyFill="1" applyAlignment="1">
      <alignment horizontal="center" vertical="center" wrapText="1"/>
    </xf>
    <xf numFmtId="0" fontId="1" fillId="8" borderId="12" xfId="16" applyFont="1" applyBorder="1" applyAlignment="1">
      <alignment horizontal="left"/>
    </xf>
    <xf numFmtId="0" fontId="1" fillId="8" borderId="13" xfId="16" applyFont="1" applyBorder="1" applyAlignment="1">
      <alignment horizontal="left"/>
    </xf>
    <xf numFmtId="0" fontId="1" fillId="8" borderId="14" xfId="16" applyFont="1" applyBorder="1" applyAlignment="1">
      <alignment horizontal="left"/>
    </xf>
    <xf numFmtId="0" fontId="0" fillId="0" borderId="15" xfId="0" applyFont="1" applyBorder="1" applyAlignment="1">
      <alignment horizontal="left" vertical="top" wrapText="1"/>
    </xf>
    <xf numFmtId="0" fontId="0" fillId="0" borderId="16" xfId="0" applyFont="1" applyBorder="1" applyAlignment="1">
      <alignment horizontal="left" vertical="top" wrapText="1"/>
    </xf>
    <xf numFmtId="0" fontId="0" fillId="0" borderId="17" xfId="0" applyFont="1" applyBorder="1" applyAlignment="1">
      <alignment horizontal="left" vertical="top" wrapText="1"/>
    </xf>
    <xf numFmtId="0" fontId="0" fillId="0" borderId="18" xfId="0" applyFont="1" applyBorder="1" applyAlignment="1">
      <alignment horizontal="left" vertical="top" wrapText="1"/>
    </xf>
    <xf numFmtId="0" fontId="0" fillId="0" borderId="0"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18" fillId="0" borderId="20" xfId="0" applyFont="1" applyBorder="1" applyAlignment="1">
      <alignment horizontal="left" vertical="top" wrapText="1"/>
    </xf>
    <xf numFmtId="0" fontId="18" fillId="0" borderId="21" xfId="0" applyFont="1" applyBorder="1" applyAlignment="1">
      <alignment horizontal="left" vertical="top" wrapText="1"/>
    </xf>
    <xf numFmtId="0" fontId="18" fillId="0" borderId="22" xfId="0" applyFont="1" applyBorder="1" applyAlignment="1">
      <alignment horizontal="left" vertical="top" wrapText="1"/>
    </xf>
    <xf numFmtId="0" fontId="16" fillId="0" borderId="0" xfId="0" applyFont="1"/>
    <xf numFmtId="2" fontId="19" fillId="0" borderId="0" xfId="1" applyNumberFormat="1" applyFont="1" applyAlignment="1">
      <alignment horizontal="right"/>
    </xf>
    <xf numFmtId="2" fontId="19" fillId="0" borderId="0" xfId="1" applyNumberFormat="1" applyFont="1" applyAlignment="1">
      <alignment horizontal="left"/>
    </xf>
    <xf numFmtId="0" fontId="38" fillId="0" borderId="0" xfId="45" applyFont="1"/>
  </cellXfs>
  <cellStyles count="48">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blp_column_header" xfId="46"/>
    <cellStyle name="Calculation" xfId="12" builtinId="22" customBuiltin="1"/>
    <cellStyle name="Check Cell" xfId="14" builtinId="23" customBuiltin="1"/>
    <cellStyle name="Comma" xfId="1" builtinId="3"/>
    <cellStyle name="Currency" xfId="44" builtinId="4"/>
    <cellStyle name="Explanatory Text" xfId="17" builtinId="53" customBuiltin="1"/>
    <cellStyle name="fa_column_header_bottom" xfId="47"/>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cellStyle name="Note" xfId="16" builtinId="10" customBuiltin="1"/>
    <cellStyle name="Output" xfId="11" builtinId="21" customBuiltin="1"/>
    <cellStyle name="Percent" xfId="43" builtinId="5"/>
    <cellStyle name="Title" xfId="2" builtinId="15" customBuiltin="1"/>
    <cellStyle name="Total" xfId="18" builtinId="25" customBuiltin="1"/>
    <cellStyle name="Warning Text" xfId="15" builtinId="11" customBuiltin="1"/>
  </cellStyles>
  <dxfs count="12">
    <dxf>
      <font>
        <color rgb="FF006100"/>
      </font>
      <fill>
        <patternFill>
          <bgColor rgb="FFC6EFCE"/>
        </patternFill>
      </fill>
    </dxf>
    <dxf>
      <font>
        <color rgb="FF9C6500"/>
      </font>
      <fill>
        <patternFill>
          <bgColor rgb="FFFFEB9C"/>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bloomberg.rtd">
      <tp>
        <v>307.5</v>
        <stp/>
        <stp>##V3_BDPV12</stp>
        <stp>INJCJCNS Index</stp>
        <stp>PX LAST</stp>
        <stp>[GMIC Info Template.xlsm]ECO Calendar!R117C7</stp>
        <tr r="G117" s="2"/>
      </tp>
      <tp>
        <v>55.555599999999998</v>
        <stp/>
        <stp>##V3_BDPV12</stp>
        <stp>SPCS20 Index</stp>
        <stp>RELEVANCE VALUE</stp>
        <stp>[GMIC Info Template.xlsm]ECO Calendar!R38C19</stp>
        <tr r="S38" s="2"/>
      </tp>
      <tp>
        <v>50</v>
        <stp/>
        <stp>##V3_BDPV12</stp>
        <stp>COMFBTWR Index</stp>
        <stp>PX LAST</stp>
        <stp>[GMIC Info Template.xlsm]ECO Calendar!R115C7</stp>
        <tr r="G115" s="2"/>
      </tp>
      <tp>
        <v>16.666699999999999</v>
        <stp/>
        <stp>##V3_BDPV12</stp>
        <stp>NYPMCURR Index</stp>
        <stp>RELEVANCE VALUE</stp>
        <stp>[GMIC Info Template.xlsm]ECO Calendar!R66C19</stp>
        <tr r="S66" s="2"/>
      </tp>
      <tp>
        <v>52.381</v>
        <stp/>
        <stp>##V3_BDPV12</stp>
        <stp>NHSLCHNG Index</stp>
        <stp>RELEVANCE VALUE</stp>
        <stp>[GMIC Info Template.xlsm]ECO Calendar!R30C19</stp>
        <tr r="S30" s="2"/>
      </tp>
      <tp t="s">
        <v>3/31/2015</v>
        <stp/>
        <stp>##V3_BDPV12</stp>
        <stp>USHBMIDX Index</stp>
        <stp>PRIOR OBSERVATION DATE</stp>
        <stp>[GMIC Info Template.xlsm]ECO Calendar!R110C14</stp>
        <tr r="N110" s="2"/>
      </tp>
      <tp t="s">
        <v>8:30:00 AM</v>
        <stp/>
        <stp>##V3_BDPV12</stp>
        <stp>PCE CRCH Index</stp>
        <stp>ECO RELEASE TIME</stp>
        <stp>[GMIC Info Template.xlsm]ECO Calendar!R53C18</stp>
        <tr r="R53" s="2"/>
      </tp>
      <tp t="s">
        <v>Monthly</v>
        <stp/>
        <stp>##V3_BDPV12</stp>
        <stp>DGNOXTCH Index</stp>
        <stp>INDX FREQ</stp>
        <stp>[GMIC Info Template.xlsm]ECO Calendar!R32C15</stp>
        <tr r="O32" s="2"/>
      </tp>
      <tp t="s">
        <v>VAPOR CORP</v>
        <stp/>
        <stp>##V3_BDPV12</stp>
        <stp>VPCO US EQUITY</stp>
        <stp>NAME</stp>
        <stp>[GMIC Info Template.xlsm]Most Up &amp; Down!R12C9</stp>
        <tr r="I12" s="9"/>
      </tp>
      <tp>
        <v>13.424248881312591</v>
        <stp/>
        <stp>##V3_BDPV12</stp>
        <stp>MRK US Equity</stp>
        <stp>OPER MARGIN</stp>
        <stp>[GMIC Info Template.xlsm]Security Analysis!R20C23</stp>
        <tr r="W20" s="13"/>
      </tp>
      <tp t="s">
        <v>Chicago Fed National Activity Index</v>
        <stp/>
        <stp>##V3_BDPV12</stp>
        <stp>CFNAI Index</stp>
        <stp>Long Comp Name</stp>
        <stp>[GMIC Info Template.xlsm]ECO Calendar!R19C3</stp>
        <tr r="C19" s="2"/>
      </tp>
      <tp t="s">
        <v>Monthly</v>
        <stp/>
        <stp>##V3_BDPV12</stp>
        <stp>USEMNCHG Index</stp>
        <stp>INDX FREQ</stp>
        <stp>[GMIC Info Template.xlsm]ECO Calendar!R81C15</stp>
        <tr r="O81" s="2"/>
      </tp>
      <tp t="s">
        <v>PORTER BANCORP INC</v>
        <stp/>
        <stp>##V3_BDPV12</stp>
        <stp>PBIB US EQUITY</stp>
        <stp>NAME</stp>
        <stp>[GMIC Info Template.xlsm]Most Up &amp; Down!R28C9</stp>
        <tr r="I28" s="9"/>
      </tp>
      <tp t="s">
        <v>TRAVELERS COS IN</v>
        <stp/>
        <stp>##V3_BDPV12</stp>
        <stp>TRV US Equity</stp>
        <stp>SHORT NAME</stp>
        <stp>[GMIC Info Template.xlsm]Security Analysis!R36C2</stp>
        <tr r="B36" s="13"/>
      </tp>
      <tp t="s">
        <v>UNITED TECH CORP</v>
        <stp/>
        <stp>##V3_BDPV12</stp>
        <stp>UTX US Equity</stp>
        <stp>SHORT NAME</stp>
        <stp>[GMIC Info Template.xlsm]Security Analysis!R28C2</stp>
        <tr r="B28" s="13"/>
      </tp>
      <tp>
        <v>28.968015363703614</v>
        <stp/>
        <stp>##V3_BDPV12</stp>
        <stp>MCD US Equity</stp>
        <stp>OPER MARGIN</stp>
        <stp>[GMIC Info Template.xlsm]Security Analysis!R30C23</stp>
        <tr r="W30" s="13"/>
      </tp>
      <tp t="s">
        <v>United States</v>
        <stp/>
        <stp>##V3_BDPV12</stp>
        <stp>RSTAXAG% Index</stp>
        <stp>REGION OR COUNTRY</stp>
        <stp>[GMIC Info Template.xlsm]ECO Calendar!R95C20</stp>
        <tr r="T95" s="2"/>
      </tp>
      <tp>
        <v>22.422299739165961</v>
        <stp/>
        <stp>##V3_BDPV12</stp>
        <stp>MMM US Equity</stp>
        <stp>OPER MARGIN</stp>
        <stp>[GMIC Info Template.xlsm]Security Analysis!R29C23</stp>
        <tr r="W29" s="13"/>
      </tp>
      <tp t="s">
        <v>10:30:00 AM</v>
        <stp/>
        <stp>##V3_BDPV12</stp>
        <stp>DFEDGBA Index</stp>
        <stp>ECO RELEASE TIME</stp>
        <stp>[GMIC Info Template.xlsm]ECO Calendar!R37C18</stp>
        <tr r="R37" s="2"/>
      </tp>
      <tp t="s">
        <v>US Auto Sales Domestic Vehicle</v>
        <stp/>
        <stp>##V3_BDPV12</stp>
        <stp>SAARDTOT Index</stp>
        <stp>NAME</stp>
        <stp>[GMIC Info Template.xlsm]ECO Calendar!R65C6</stp>
        <tr r="F65" s="2"/>
      </tp>
      <tp t="s">
        <v>United States</v>
        <stp/>
        <stp>##V3_BDPV12</stp>
        <stp>CPUPAXFE Index</stp>
        <stp>REGION OR COUNTRY</stp>
        <stp>[GMIC Info Template.xlsm]ECO Calendar!R16C20</stp>
        <tr r="T16" s="2"/>
      </tp>
      <tp t="s">
        <v>US Personal Consumption Expend</v>
        <stp/>
        <stp>##V3_BDPV12</stp>
        <stp>PCE DEFY Index</stp>
        <stp>NAME</stp>
        <stp>[GMIC Info Template.xlsm]ECO Calendar!R56C6</stp>
        <tr r="F56" s="2"/>
      </tp>
      <tp t="s">
        <v>United States</v>
        <stp/>
        <stp>##V3_BDPV12</stp>
        <stp>RSTAXAGM Index</stp>
        <stp>REGION OR COUNTRY</stp>
        <stp>[GMIC Info Template.xlsm]ECO Calendar!R96C20</stp>
        <tr r="T96" s="2"/>
      </tp>
      <tp t="s">
        <v>US Import Price Index by End U</v>
        <stp/>
        <stp>##V3_BDPV12</stp>
        <stp>IMP1YOY% Index</stp>
        <stp>NAME</stp>
        <stp>[GMIC Info Template.xlsm]ECO Calendar!R92C6</stp>
        <tr r="F92" s="2"/>
      </tp>
      <tp>
        <v>28.547950696462571</v>
        <stp/>
        <stp>##V3_BDPV12</stp>
        <stp>DIS US Equity</stp>
        <stp>EBITDA MARGIN</stp>
        <stp>[GMIC Info Template.xlsm]Security Analysis!R18C22</stp>
        <tr r="V18" s="13"/>
      </tp>
      <tp t="s">
        <v>5/4/2015</v>
        <stp/>
        <stp>##V3_BDPV12</stp>
        <stp>NYPMCURR Index</stp>
        <stp>ECO RELEASE DT</stp>
        <stp>[GMIC Info Template.xlsm]ECO Calendar!R66C16</stp>
        <tr r="P66" s="2"/>
      </tp>
      <tp t="s">
        <v>US PPI Final Demand Less Foods Energy and Trade Services NSA YoY</v>
        <stp/>
        <stp>##V3_BDPV12</stp>
        <stp>FDIUSGUY Index</stp>
        <stp>Long Comp Name</stp>
        <stp>[GMIC Info Template.xlsm]ECO Calendar!R103C3</stp>
        <tr r="C103" s="2"/>
      </tp>
      <tp t="s">
        <v>Index NSA</v>
        <stp/>
        <stp>##V3_BDPV12</stp>
        <stp>SPCSUSA Index</stp>
        <stp>SEASONALITY AND TRANSFORMATION</stp>
        <stp>[GMIC Info Template.xlsm]ECO Calendar!R41C11</stp>
        <tr r="K41" s="2"/>
      </tp>
      <tp t="s">
        <v>5/8/2015</v>
        <stp/>
        <stp>##V3_BDPV12</stp>
        <stp>USURTOT Index</stp>
        <stp>ECO RELEASE DT</stp>
        <stp>[GMIC Info Template.xlsm]ECO Calendar!R75C16</stp>
        <tr r="P75" s="2"/>
      </tp>
      <tp t="s">
        <v>5/8/2015</v>
        <stp/>
        <stp>##V3_BDPV12</stp>
        <stp>PRUSTOT Index</stp>
        <stp>ECO RELEASE DT</stp>
        <stp>[GMIC Info Template.xlsm]ECO Calendar!R83C16</stp>
        <tr r="P83" s="2"/>
      </tp>
      <tp t="s">
        <v>2/28/2015</v>
        <stp/>
        <stp>##V3_BDPV12</stp>
        <stp>NAPMPMI Index</stp>
        <stp>PRIOR OBSERVATION DATE</stp>
        <stp>[GMIC Info Template.xlsm]ECO Calendar!R61C14</stp>
        <tr r="N61" s="2"/>
      </tp>
      <tp t="s">
        <v>2/28/2015</v>
        <stp/>
        <stp>##V3_BDPV12</stp>
        <stp>NAPMNMI Index</stp>
        <stp>PRIOR OBSERVATION DATE</stp>
        <stp>[GMIC Info Template.xlsm]ECO Calendar!R69C14</stp>
        <tr r="N69" s="2"/>
      </tp>
      <tp t="s">
        <v>1/31/2015</v>
        <stp/>
        <stp>##V3_BDPV12</stp>
        <stp>DGNOXTCH Index</stp>
        <stp>PRIOR OBSERVATION DATE</stp>
        <stp>[GMIC Info Template.xlsm]ECO Calendar!R32C14</stp>
        <tr r="N32" s="2"/>
      </tp>
      <tp t="s">
        <v>2/28/2015</v>
        <stp/>
        <stp>##V3_BDPV12</stp>
        <stp>RSTAMOM Index</stp>
        <stp>PRIOR OBSERVATION DATE</stp>
        <stp>[GMIC Info Template.xlsm]ECO Calendar!R93C14</stp>
        <tr r="N93" s="2"/>
      </tp>
      <tp>
        <v>-1.19</v>
        <stp/>
        <stp>##V3_BDPV12</stp>
        <stp>EMPRGBCI Index</stp>
        <stp>PX LAST</stp>
        <stp>[GMIC Info Template.xlsm]ECO Calendar!R107C7</stp>
        <tr r="G107" s="2"/>
      </tp>
      <tp t="s">
        <v>% Balance/Diffusion Index SA</v>
        <stp/>
        <stp>##V3_BDPV12</stp>
        <stp>OUTFGAF Index</stp>
        <stp>SEASONALITY AND TRANSFORMATION</stp>
        <stp>[GMIC Info Template.xlsm]ECO Calendar!R116C11</stp>
        <tr r="K116" s="2"/>
      </tp>
      <tp t="s">
        <v>4/28/2015</v>
        <stp/>
        <stp>##V3_BDPV12</stp>
        <stp>SPCS20SM Index</stp>
        <stp>ECO RELEASE DT</stp>
        <stp>[GMIC Info Template.xlsm]ECO Calendar!R42C16</stp>
        <tr r="P42" s="2"/>
      </tp>
      <tp>
        <v>78.372600000000006</v>
        <stp/>
        <stp>##V3_BDPV12</stp>
        <stp>CPTICHNG Index</stp>
        <stp>PX LAST</stp>
        <stp>[GMIC Info Template.xlsm]ECO Calendar!R105C7</stp>
        <tr r="G105" s="2"/>
      </tp>
      <tp t="s">
        <v>8:30:00 AM</v>
        <stp/>
        <stp>##V3_BDPV12</stp>
        <stp>USEMNCHG Index</stp>
        <stp>ECO RELEASE TIME</stp>
        <stp>[GMIC Info Template.xlsm]ECO Calendar!R81C18</stp>
        <tr r="R81" s="2"/>
      </tp>
      <tp t="s">
        <v>2/28/2015</v>
        <stp/>
        <stp>##V3_BDPV12</stp>
        <stp>NFP PCH Index</stp>
        <stp>PRIOR OBSERVATION DATE</stp>
        <stp>[GMIC Info Template.xlsm]ECO Calendar!R77C14</stp>
        <tr r="N77" s="2"/>
      </tp>
      <tp t="s">
        <v>2/28/2015</v>
        <stp/>
        <stp>##V3_BDPV12</stp>
        <stp>NFP TCH Index</stp>
        <stp>PRIOR OBSERVATION DATE</stp>
        <stp>[GMIC Info Template.xlsm]ECO Calendar!R74C14</stp>
        <tr r="N74" s="2"/>
      </tp>
      <tp t="s">
        <v>YoY% NSA</v>
        <stp/>
        <stp>##V3_BDPV12</stp>
        <stp>FDIUSGYO Index</stp>
        <stp>SEASONALITY AND TRANSFORMATION</stp>
        <stp>[GMIC Info Template.xlsm]ECO Calendar!R101C11</stp>
        <tr r="K101" s="2"/>
      </tp>
      <tp t="s">
        <v>YoY% NSA</v>
        <stp/>
        <stp>##V3_BDPV12</stp>
        <stp>FDIUSGUY Index</stp>
        <stp>SEASONALITY AND TRANSFORMATION</stp>
        <stp>[GMIC Info Template.xlsm]ECO Calendar!R103C11</stp>
        <tr r="K103" s="2"/>
      </tp>
      <tp t="s">
        <v>MoM% SA</v>
        <stp/>
        <stp>##V3_BDPV12</stp>
        <stp>FDIDSGUM Index</stp>
        <stp>SEASONALITY AND TRANSFORMATION</stp>
        <stp>[GMIC Info Template.xlsm]ECO Calendar!R102C11</stp>
        <tr r="K102" s="2"/>
      </tp>
      <tp t="s">
        <v>MoM% SA</v>
        <stp/>
        <stp>##V3_BDPV12</stp>
        <stp>FDIDSGMO Index</stp>
        <stp>SEASONALITY AND TRANSFORMATION</stp>
        <stp>[GMIC Info Template.xlsm]ECO Calendar!R100C11</stp>
        <tr r="K100" s="2"/>
      </tp>
      <tp>
        <v>28.571400000000001</v>
        <stp/>
        <stp>##V3_BDPV12</stp>
        <stp>AHE MOM% Index</stp>
        <stp>RELEVANCE VALUE</stp>
        <stp>[GMIC Info Template.xlsm]ECO Calendar!R78C19</stp>
        <tr r="S78" s="2"/>
      </tp>
      <tp t="s">
        <v>10:00:00 AM</v>
        <stp/>
        <stp>##V3_BDPV12</stp>
        <stp>ECONUSIB Index</stp>
        <stp>ECO RELEASE TIME</stp>
        <stp>[GMIC Info Template.xlsm]ECO Calendar!R70C18</stp>
        <tr r="R70" s="2"/>
      </tp>
      <tp t="s">
        <v>US Continuing Jobless Claims SA</v>
        <stp/>
        <stp>##V3_BDPV12</stp>
        <stp>INJCSP Index</stp>
        <stp>Long Comp Name</stp>
        <stp>[GMIC Info Template.xlsm]ECO Calendar!R26C3</stp>
        <tr r="C26" s="2"/>
      </tp>
      <tp t="s">
        <v>Monthly</v>
        <stp/>
        <stp>##V3_BDPV12</stp>
        <stp>ECONGECC Index</stp>
        <stp>INDX FREQ</stp>
        <stp>[GMIC Info Template.xlsm]ECO Calendar!R84C15</stp>
        <tr r="O84" s="2"/>
      </tp>
      <tp>
        <v>-4.6924669999999997</v>
        <stp/>
        <stp>##V3_BDPV12</stp>
        <stp>XOM US Equity</stp>
        <stp>CHG PCT 6M</stp>
        <stp>[GMIC Info Template.xlsm]Security Analysis!R8C17</stp>
        <tr r="Q8" s="13"/>
      </tp>
      <tp>
        <v>-1.5844860000000001</v>
        <stp/>
        <stp>##V3_BDPV12</stp>
        <stp>MSFT US Equity</stp>
        <stp>CHG PCT 1M</stp>
        <stp>[GMIC Info Template.xlsm]Security Analysis!R9C15</stp>
        <tr r="O9" s="13"/>
      </tp>
      <tp t="s">
        <v>CATERPILLAR INC</v>
        <stp/>
        <stp>##V3_BDPV12</stp>
        <stp>CAT US Equity</stp>
        <stp>SHORT NAME</stp>
        <stp>[GMIC Info Template.xlsm]Security Analysis!R35C2</stp>
        <tr r="B35" s="13"/>
      </tp>
      <tp t="s">
        <v>US Treasury Federal Budget Debt Summary Deficit Or Surplus NSA</v>
        <stp/>
        <stp>##V3_BDPV12</stp>
        <stp>FDDSSD Index</stp>
        <stp>Long Comp Name</stp>
        <stp>[GMIC Info Template.xlsm]ECO Calendar!R89C3</stp>
        <tr r="C89" s="2"/>
      </tp>
      <tp t="s">
        <v>US</v>
        <stp/>
        <stp>##V3_BDPV12</stp>
        <stp>V US Equity</stp>
        <stp>COUNTRY</stp>
        <stp>[GMIC Info Template.xlsm]Security Analysis!R22C7</stp>
        <tr r="G22" s="13"/>
      </tp>
      <tp>
        <v>-2.240326</v>
        <stp/>
        <stp>##V3_BDPV12</stp>
        <stp>ADAT US EQUITY</stp>
        <stp>CHG PCT 1D</stp>
        <stp>[GMIC Info Template.xlsm]Most Up &amp; Down!R19C12</stp>
        <tr r="L19" s="9"/>
      </tp>
      <tp t="s">
        <v>US Existing Homes Sales SAAR</v>
        <stp/>
        <stp>##V3_BDPV12</stp>
        <stp>ETSLTOTL Index</stp>
        <stp>NAME</stp>
        <stp>[GMIC Info Template.xlsm]ECO Calendar!R22C6</stp>
        <tr r="F22" s="2"/>
      </tp>
      <tp t="s">
        <v>US Personal Consumption Expend</v>
        <stp/>
        <stp>##V3_BDPV12</stp>
        <stp>PCE DEFM Index</stp>
        <stp>NAME</stp>
        <stp>[GMIC Info Template.xlsm]ECO Calendar!R57C6</stp>
        <tr r="F57" s="2"/>
      </tp>
      <tp t="s">
        <v>GDP US Personal Consumption Ch</v>
        <stp/>
        <stp>##V3_BDPV12</stp>
        <stp>GDPCTOT% Index</stp>
        <stp>NAME</stp>
        <stp>[GMIC Info Template.xlsm]ECO Calendar!R50C6</stp>
        <tr r="F50" s="2"/>
      </tp>
      <tp t="s">
        <v>United States</v>
        <stp/>
        <stp>##V3_BDPV12</stp>
        <stp>SPCSUSQS Index</stp>
        <stp>REGION OR COUNTRY</stp>
        <stp>[GMIC Info Template.xlsm]ECO Calendar!R43C20</stp>
        <tr r="T43" s="2"/>
      </tp>
      <tp t="s">
        <v>US New One Family Houses Sold Annual Total SAAR</v>
        <stp/>
        <stp>##V3_BDPV12</stp>
        <stp>NHSLTOT Index</stp>
        <stp>Long Comp Name</stp>
        <stp>[GMIC Info Template.xlsm]ECO Calendar!R29C3</stp>
        <tr r="C29" s="2"/>
      </tp>
      <tp t="s">
        <v>5/1/2015</v>
        <stp/>
        <stp>##V3_BDPV12</stp>
        <stp>SAARTOTL Index</stp>
        <stp>ECO RELEASE DT</stp>
        <stp>[GMIC Info Template.xlsm]ECO Calendar!R64C16</stp>
        <tr r="P64" s="2"/>
      </tp>
      <tp t="s">
        <v>None</v>
        <stp/>
        <stp>##V3_BDPV12</stp>
        <stp>MBAVCHNG Index</stp>
        <stp>SCALING FORMAT</stp>
        <stp>[GMIC Info Template.xlsm]ECO Calendar!R20C10</stp>
        <tr r="J20" s="2"/>
      </tp>
      <tp t="s">
        <v>None</v>
        <stp/>
        <stp>##V3_BDPV12</stp>
        <stp>USPHTYOY Index</stp>
        <stp>SCALING FORMAT</stp>
        <stp>[GMIC Info Template.xlsm]ECO Calendar!R47C10</stp>
        <tr r="J47" s="2"/>
      </tp>
      <tp t="s">
        <v>5/5/2015</v>
        <stp/>
        <stp>##V3_BDPV12</stp>
        <stp>USTBTOT Index</stp>
        <stp>ECO RELEASE DT</stp>
        <stp>[GMIC Info Template.xlsm]ECO Calendar!R68C16</stp>
        <tr r="P68" s="2"/>
      </tp>
      <tp t="s">
        <v>1/31/2018</v>
        <stp/>
        <stp>##V3_BDPV12</stp>
        <stp>SAARDTOT Index</stp>
        <stp>PRIOR OBSERVATION DATE</stp>
        <stp>[GMIC Info Template.xlsm]ECO Calendar!R65C14</stp>
        <tr r="N65" s="2"/>
      </tp>
      <tp t="s">
        <v>10:00:00 AM</v>
        <stp/>
        <stp>##V3_BDPV12</stp>
        <stp>NAPMPRIC Index</stp>
        <stp>ECO RELEASE TIME</stp>
        <stp>[GMIC Info Template.xlsm]ECO Calendar!R63C18</stp>
        <tr r="R63" s="2"/>
      </tp>
      <tp t="s">
        <v>5/19/2015</v>
        <stp/>
        <stp>##V3_BDPV12</stp>
        <stp>NHCHSTCH Index</stp>
        <stp>ECO RELEASE DT</stp>
        <stp>[GMIC Info Template.xlsm]ECO Calendar!R113C16</stp>
        <tr r="P113" s="2"/>
      </tp>
      <tp t="s">
        <v>8:30:00 AM</v>
        <stp/>
        <stp>##V3_BDPV12</stp>
        <stp>CPUPXCHG Index</stp>
        <stp>ECO RELEASE TIME</stp>
        <stp>[GMIC Info Template.xlsm]ECO Calendar!R13C18</stp>
        <tr r="R13" s="2"/>
      </tp>
      <tp t="s">
        <v>5/19/2015</v>
        <stp/>
        <stp>##V3_BDPV12</stp>
        <stp>NHSPSTOT Index</stp>
        <stp>ECO RELEASE DT</stp>
        <stp>[GMIC Info Template.xlsm]ECO Calendar!R111C16</stp>
        <tr r="P111" s="2"/>
      </tp>
      <tp t="s">
        <v>MoM% SA</v>
        <stp/>
        <stp>##V3_BDPV12</stp>
        <stp>SPCS20SM Index</stp>
        <stp>SEASONALITY AND TRANSFORMATION</stp>
        <stp>[GMIC Info Template.xlsm]ECO Calendar!R42C11</stp>
        <tr r="K42" s="2"/>
      </tp>
      <tp t="s">
        <v>2/28/2015</v>
        <stp/>
        <stp>##V3_BDPV12</stp>
        <stp>NFP TMOM Index</stp>
        <stp>PRIOR OBSERVATION DATE</stp>
        <stp>[GMIC Info Template.xlsm]ECO Calendar!R120C14</stp>
        <tr r="N120" s="2"/>
      </tp>
      <tp t="s">
        <v>None</v>
        <stp/>
        <stp>##V3_BDPV12</stp>
        <stp>IPMGCHNG Index</stp>
        <stp>SCALING FORMAT</stp>
        <stp>[GMIC Info Template.xlsm]ECO Calendar!R106C10</stp>
        <tr r="J106" s="2"/>
      </tp>
      <tp t="s">
        <v>8:30:00 AM</v>
        <stp/>
        <stp>##V3_BDPV12</stp>
        <stp>DGNOXTCH Index</stp>
        <stp>ECO RELEASE TIME</stp>
        <stp>[GMIC Info Template.xlsm]ECO Calendar!R32C18</stp>
        <tr r="R32" s="2"/>
      </tp>
      <tp>
        <v>84.126999999999995</v>
        <stp/>
        <stp>##V3_BDPV12</stp>
        <stp>LEI CHNG Index</stp>
        <stp>RELEVANCE VALUE</stp>
        <stp>[GMIC Info Template.xlsm]ECO Calendar!R18C19</stp>
        <tr r="S18" s="2"/>
      </tp>
      <tp t="s">
        <v>2/28/2015</v>
        <stp/>
        <stp>##V3_BDPV12</stp>
        <stp>NFP TYCH Index</stp>
        <stp>PRIOR OBSERVATION DATE</stp>
        <stp>[GMIC Info Template.xlsm]ECO Calendar!R119C14</stp>
        <tr r="N119" s="2"/>
      </tp>
      <tp t="s">
        <v>2/28/2015</v>
        <stp/>
        <stp>##V3_BDPV12</stp>
        <stp>NFP TYOY Index</stp>
        <stp>PRIOR OBSERVATION DATE</stp>
        <stp>[GMIC Info Template.xlsm]ECO Calendar!R121C14</stp>
        <tr r="N121" s="2"/>
      </tp>
      <tp t="s">
        <v>Weekly on Friday</v>
        <stp/>
        <stp>##V3_BDPV12</stp>
        <stp>MBAVCHNG Index</stp>
        <stp>INDX FREQ</stp>
        <stp>[GMIC Info Template.xlsm]ECO Calendar!R20C15</stp>
        <tr r="O20" s="2"/>
      </tp>
      <tp t="s">
        <v>9:00:00 AM</v>
        <stp/>
        <stp>##V3_BDPV12</stp>
        <stp>SPCS20 Index</stp>
        <stp>ECO RELEASE TIME</stp>
        <stp>[GMIC Info Template.xlsm]ECO Calendar!R38C18</stp>
        <tr r="R38" s="2"/>
      </tp>
      <tp>
        <v>33.379179999999998</v>
        <stp/>
        <stp>##V3_BDPV12</stp>
        <stp>DIS US Equity</stp>
        <stp>CHG PCT 1YR</stp>
        <stp>[GMIC Info Template.xlsm]Security Analysis!R18C18</stp>
        <tr r="R18" s="13"/>
      </tp>
      <tp t="s">
        <v>NOVADAQ TECHNOLOGIES INC</v>
        <stp/>
        <stp>##V3_BDPV12</stp>
        <stp>NVDQ US EQUITY</stp>
        <stp>NAME</stp>
        <stp>[GMIC Info Template.xlsm]Most Up &amp; Down!R27C9</stp>
        <tr r="I27" s="9"/>
      </tp>
      <tp t="s">
        <v>Monthly</v>
        <stp/>
        <stp>##V3_BDPV12</stp>
        <stp>KCLSSACI Index</stp>
        <stp>INDX FREQ</stp>
        <stp>[GMIC Info Template.xlsm]ECO Calendar!R28C15</stp>
        <tr r="O28" s="2"/>
      </tp>
      <tp t="s">
        <v>2:00:00 PM</v>
        <stp/>
        <stp>##V3_BDPV12</stp>
        <stp>FDDSSD Index</stp>
        <stp>ECO RELEASE TIME</stp>
        <stp>[GMIC Info Template.xlsm]ECO Calendar!R89C18</stp>
        <tr r="R89" s="2"/>
      </tp>
      <tp t="s">
        <v>Dallas Fed Manufacturing Outlo</v>
        <stp/>
        <stp>##V3_BDPV12</stp>
        <stp>DFEDGBA Index</stp>
        <stp>NAME</stp>
        <stp>[GMIC Info Template.xlsm]ECO Calendar!R37C6</stp>
        <tr r="F37" s="2"/>
      </tp>
      <tp>
        <v>11.547802803058856</v>
        <stp/>
        <stp>##V3_BDPV12</stp>
        <stp>XOM US Equity</stp>
        <stp>PE RATIO</stp>
        <stp>[GMIC Info Template.xlsm]Security Analysis!R8C19</stp>
        <tr r="S8" s="13"/>
      </tp>
      <tp t="s">
        <v>US Personal Consumption Expend</v>
        <stp/>
        <stp>##V3_BDPV12</stp>
        <stp>PCE CRCH Index</stp>
        <stp>NAME</stp>
        <stp>[GMIC Info Template.xlsm]ECO Calendar!R53C6</stp>
        <tr r="F53" s="2"/>
      </tp>
      <tp t="s">
        <v>US IBD/TIPP Index of Economic</v>
        <stp/>
        <stp>##V3_BDPV12</stp>
        <stp>ECONUSIB Index</stp>
        <stp>NAME</stp>
        <stp>[GMIC Info Template.xlsm]ECO Calendar!R70C6</stp>
        <tr r="F70" s="2"/>
      </tp>
      <tp>
        <v>26.287877212320364</v>
        <stp/>
        <stp>##V3_BDPV12</stp>
        <stp>CSCO US Equity</stp>
        <stp>EBITDA MARGIN</stp>
        <stp>[GMIC Info Template.xlsm]Security Analysis!R25C22</stp>
        <tr r="V25" s="13"/>
      </tp>
      <tp t="s">
        <v>US Manufacturers New Orders To</v>
        <stp/>
        <stp>##V3_BDPV12</stp>
        <stp>TMNOCHNG Index</stp>
        <stp>NAME</stp>
        <stp>[GMIC Info Template.xlsm]ECO Calendar!R67C6</stp>
        <tr r="F67" s="2"/>
      </tp>
      <tp t="s">
        <v>Kansas City Federal Reserve SA</v>
        <stp/>
        <stp>##V3_BDPV12</stp>
        <stp>KCLSSACI Index</stp>
        <stp>NAME</stp>
        <stp>[GMIC Info Template.xlsm]ECO Calendar!R28C6</stp>
        <tr r="F28" s="2"/>
      </tp>
      <tp t="s">
        <v>8:30:00 AM</v>
        <stp/>
        <stp>##V3_BDPV12</stp>
        <stp>USURTOT Index</stp>
        <stp>ECO RELEASE TIME</stp>
        <stp>[GMIC Info Template.xlsm]ECO Calendar!R75C18</stp>
        <tr r="R75" s="2"/>
      </tp>
      <tp t="s">
        <v>8:30:00 AM</v>
        <stp/>
        <stp>##V3_BDPV12</stp>
        <stp>USTBTOT Index</stp>
        <stp>ECO RELEASE TIME</stp>
        <stp>[GMIC Info Template.xlsm]ECO Calendar!R68C18</stp>
        <tr r="R68" s="2"/>
      </tp>
      <tp t="s">
        <v>USD</v>
        <stp/>
        <stp>##V3_BDPV12</stp>
        <stp>NKE US Equity</stp>
        <stp>CRNCY</stp>
        <stp>[GMIC Info Template.xlsm]Security Analysis!R32C12</stp>
        <tr r="L32" s="13"/>
      </tp>
      <tp t="s">
        <v>USD</v>
        <stp/>
        <stp>##V3_BDPV12</stp>
        <stp>PFE US Equity</stp>
        <stp>CRNCY</stp>
        <stp>[GMIC Info Template.xlsm]Security Analysis!R15C12</stp>
        <tr r="L15" s="13"/>
      </tp>
      <tp t="s">
        <v>#N/A N/A</v>
        <stp/>
        <stp>##V3_BDPV12</stp>
        <stp>SAARTOTL Index</stp>
        <stp>SEASONALITY AND TRANSFORMATION</stp>
        <stp>[GMIC Info Template.xlsm]ECO Calendar!R64C11</stp>
        <tr r="K64" s="2"/>
      </tp>
      <tp t="s">
        <v>1/31/2015</v>
        <stp/>
        <stp>##V3_BDPV12</stp>
        <stp>MTIBCHNG Index</stp>
        <stp>PRIOR OBSERVATION DATE</stp>
        <stp>[GMIC Info Template.xlsm]ECO Calendar!R97C14</stp>
        <tr r="N97" s="2"/>
      </tp>
      <tp t="s">
        <v>2/28/2015</v>
        <stp/>
        <stp>##V3_BDPV12</stp>
        <stp>AHE MOM% Index</stp>
        <stp>PRIOR OBSERVATION DATE</stp>
        <stp>[GMIC Info Template.xlsm]ECO Calendar!R78C14</stp>
        <tr r="N78" s="2"/>
      </tp>
      <tp t="s">
        <v>2/28/2015</v>
        <stp/>
        <stp>##V3_BDPV12</stp>
        <stp>CONCCONF Index</stp>
        <stp>PRIOR OBSERVATION DATE</stp>
        <stp>[GMIC Info Template.xlsm]ECO Calendar!R45C14</stp>
        <tr r="N45" s="2"/>
      </tp>
      <tp t="s">
        <v>2/28/2015</v>
        <stp/>
        <stp>##V3_BDPV12</stp>
        <stp>CONCCONF Index</stp>
        <stp>PRIOR OBSERVATION DATE</stp>
        <stp>[GMIC Info Template.xlsm]ECO Calendar!R44C14</stp>
        <tr r="N44" s="2"/>
      </tp>
      <tp t="s">
        <v>1/31/2015</v>
        <stp/>
        <stp>##V3_BDPV12</stp>
        <stp>USPHTMOM Index</stp>
        <stp>PRIOR OBSERVATION DATE</stp>
        <stp>[GMIC Info Template.xlsm]ECO Calendar!R46C14</stp>
        <tr r="N46" s="2"/>
      </tp>
      <tp t="s">
        <v>2/28/2015</v>
        <stp/>
        <stp>##V3_BDPV12</stp>
        <stp>SBOITOTL Index</stp>
        <stp>PRIOR OBSERVATION DATE</stp>
        <stp>[GMIC Info Template.xlsm]ECO Calendar!R90C14</stp>
        <tr r="N90" s="2"/>
      </tp>
      <tp t="s">
        <v>2/28/2015</v>
        <stp/>
        <stp>##V3_BDPV12</stp>
        <stp>AHE YOY% Index</stp>
        <stp>PRIOR OBSERVATION DATE</stp>
        <stp>[GMIC Info Template.xlsm]ECO Calendar!R79C14</stp>
        <tr r="N79" s="2"/>
      </tp>
      <tp t="s">
        <v>2/28/2015</v>
        <stp/>
        <stp>##V3_BDPV12</stp>
        <stp>USMMMNCH Index</stp>
        <stp>PRIOR OBSERVATION DATE</stp>
        <stp>[GMIC Info Template.xlsm]ECO Calendar!R76C14</stp>
        <tr r="N76" s="2"/>
      </tp>
      <tp t="s">
        <v>Value SA</v>
        <stp/>
        <stp>##V3_BDPV12</stp>
        <stp>USTBTOT Index</stp>
        <stp>SEASONALITY AND TRANSFORMATION</stp>
        <stp>[GMIC Info Template.xlsm]ECO Calendar!R68C11</stp>
        <tr r="K68" s="2"/>
      </tp>
      <tp t="s">
        <v>ISM Manufacturing PMI SA</v>
        <stp/>
        <stp>##V3_BDPV12</stp>
        <stp>NAPMPMI Index</stp>
        <stp>Long Comp Name</stp>
        <stp>[GMIC Info Template.xlsm]ECO Calendar!R61C3</stp>
        <tr r="C61" s="2"/>
      </tp>
      <tp>
        <v>9.5238099999999992</v>
        <stp/>
        <stp>##V3_BDPV12</stp>
        <stp>MWSLCHNG Index</stp>
        <stp>RELEVANCE VALUE</stp>
        <stp>[GMIC Info Template.xlsm]ECO Calendar!R86C19</stp>
        <tr r="S86" s="2"/>
      </tp>
      <tp>
        <v>80.952399999999997</v>
        <stp/>
        <stp>##V3_BDPV12</stp>
        <stp>MWINCHNG Index</stp>
        <stp>RELEVANCE VALUE</stp>
        <stp>[GMIC Info Template.xlsm]ECO Calendar!R85C19</stp>
        <tr r="S85" s="2"/>
      </tp>
      <tp>
        <v>42.857100000000003</v>
        <stp/>
        <stp>##V3_BDPV12</stp>
        <stp>MTIBCHNG Index</stp>
        <stp>RELEVANCE VALUE</stp>
        <stp>[GMIC Info Template.xlsm]ECO Calendar!R97C19</stp>
        <tr r="S97" s="2"/>
      </tp>
      <tp t="s">
        <v>8:30:00 AM</v>
        <stp/>
        <stp>##V3_BDPV12</stp>
        <stp>USUDMAER Index</stp>
        <stp>ECO RELEASE TIME</stp>
        <stp>[GMIC Info Template.xlsm]ECO Calendar!R82C18</stp>
        <tr r="R82" s="2"/>
      </tp>
      <tp t="s">
        <v>8:30:00 AM</v>
        <stp/>
        <stp>##V3_BDPV12</stp>
        <stp>RSTAXAG% Index</stp>
        <stp>ECO RELEASE TIME</stp>
        <stp>[GMIC Info Template.xlsm]ECO Calendar!R95C18</stp>
        <tr r="R95" s="2"/>
      </tp>
      <tp t="s">
        <v>8:30:00 AM</v>
        <stp/>
        <stp>##V3_BDPV12</stp>
        <stp>RSTAXAGM Index</stp>
        <stp>ECO RELEASE TIME</stp>
        <stp>[GMIC Info Template.xlsm]ECO Calendar!R96C18</stp>
        <tr r="R96" s="2"/>
      </tp>
      <tp>
        <v>92.857100000000003</v>
        <stp/>
        <stp>##V3_BDPV12</stp>
        <stp>MBAVCHNG Index</stp>
        <stp>RELEVANCE VALUE</stp>
        <stp>[GMIC Info Template.xlsm]ECO Calendar!R20C19</stp>
        <tr r="S20" s="2"/>
      </tp>
      <tp t="s">
        <v>Monthly</v>
        <stp/>
        <stp>##V3_BDPV12</stp>
        <stp>USMMMNCH Index</stp>
        <stp>INDX FREQ</stp>
        <stp>[GMIC Info Template.xlsm]ECO Calendar!R76C15</stp>
        <tr r="O76" s="2"/>
      </tp>
      <tp t="s">
        <v>Monthly</v>
        <stp/>
        <stp>##V3_BDPV12</stp>
        <stp>SAARDTOT Index</stp>
        <stp>INDX FREQ</stp>
        <stp>[GMIC Info Template.xlsm]ECO Calendar!R65C15</stp>
        <tr r="O65" s="2"/>
      </tp>
      <tp>
        <v>15.366808022453036</v>
        <stp/>
        <stp>##V3_BDPV12</stp>
        <stp>DIS US Equity</stp>
        <stp>PROF MARGIN</stp>
        <stp>[GMIC Info Template.xlsm]Security Analysis!R18C24</stp>
        <tr r="X18" s="13"/>
      </tp>
      <tp t="s">
        <v>Monthly</v>
        <stp/>
        <stp>##V3_BDPV12</stp>
        <stp>MPMIUSCA Index</stp>
        <stp>INDX FREQ</stp>
        <stp>[GMIC Info Template.xlsm]ECO Calendar!R35C15</stp>
        <tr r="O35" s="2"/>
      </tp>
      <tp>
        <v>60.596756416312388</v>
        <stp/>
        <stp>##V3_BDPV12</stp>
        <stp>V US Equity</stp>
        <stp>OPER MARGIN</stp>
        <stp>[GMIC Info Template.xlsm]Security Analysis!R22C23</stp>
        <tr r="W22" s="13"/>
      </tp>
      <tp>
        <v>-10.00217</v>
        <stp/>
        <stp>##V3_BDPV12</stp>
        <stp>MSFT US Equity</stp>
        <stp>CHG PCT 3M</stp>
        <stp>[GMIC Info Template.xlsm]Security Analysis!R9C16</stp>
        <tr r="P9" s="13"/>
      </tp>
      <tp t="s">
        <v>AMERICAN EXPRESS</v>
        <stp/>
        <stp>##V3_BDPV12</stp>
        <stp>AXP US Equity</stp>
        <stp>SHORT NAME</stp>
        <stp>[GMIC Info Template.xlsm]Security Analysis!R33C2</stp>
        <tr r="B33" s="13"/>
      </tp>
      <tp>
        <v>13.237886254901255</v>
        <stp/>
        <stp>##V3_BDPV12</stp>
        <stp>NKE US Equity</stp>
        <stp>OPER MARGIN</stp>
        <stp>[GMIC Info Template.xlsm]Security Analysis!R32C23</stp>
        <tr r="W32" s="13"/>
      </tp>
      <tp t="s">
        <v>ESCALERA RESOURCES CO</v>
        <stp/>
        <stp>##V3_BDPV12</stp>
        <stp>ESCR US EQUITY</stp>
        <stp>NAME</stp>
        <stp>[GMIC Info Template.xlsm]Most Up &amp; Down!R31C9</stp>
        <tr r="I31" s="9"/>
      </tp>
      <tp t="s">
        <v>8:30:00 AM</v>
        <stp/>
        <stp>##V3_BDPV12</stp>
        <stp>CFNAI Index</stp>
        <stp>ECO RELEASE TIME</stp>
        <stp>[GMIC Info Template.xlsm]ECO Calendar!R19C18</stp>
        <tr r="R19" s="2"/>
      </tp>
      <tp t="s">
        <v>United States</v>
        <stp/>
        <stp>##V3_BDPV12</stp>
        <stp>SPCS20SM Index</stp>
        <stp>REGION OR COUNTRY</stp>
        <stp>[GMIC Info Template.xlsm]ECO Calendar!R42C20</stp>
        <tr r="T42" s="2"/>
      </tp>
      <tp t="s">
        <v>United States</v>
        <stp/>
        <stp>##V3_BDPV12</stp>
        <stp>FDIUFDYO Index</stp>
        <stp>REGION OR COUNTRY</stp>
        <stp>[GMIC Info Template.xlsm]ECO Calendar!R99C20</stp>
        <tr r="T99" s="2"/>
      </tp>
      <tp t="s">
        <v>10:00:00 AM</v>
        <stp/>
        <stp>##V3_BDPV12</stp>
        <stp>NAPMNMI Index</stp>
        <stp>ECO RELEASE TIME</stp>
        <stp>[GMIC Info Template.xlsm]ECO Calendar!R69C18</stp>
        <tr r="R69" s="2"/>
      </tp>
      <tp t="s">
        <v>United States</v>
        <stp/>
        <stp>##V3_BDPV12</stp>
        <stp>USUDMAER Index</stp>
        <stp>REGION OR COUNTRY</stp>
        <stp>[GMIC Info Template.xlsm]ECO Calendar!R82C20</stp>
        <tr r="T82" s="2"/>
      </tp>
      <tp t="s">
        <v>US Average Hourly Earnings All</v>
        <stp/>
        <stp>##V3_BDPV12</stp>
        <stp>AHE YOY% Index</stp>
        <stp>NAME</stp>
        <stp>[GMIC Info Template.xlsm]ECO Calendar!R79C6</stp>
        <tr r="F79" s="2"/>
      </tp>
      <tp t="s">
        <v>US Personal Income MoM SA</v>
        <stp/>
        <stp>##V3_BDPV12</stp>
        <stp>PITLCHNG Index</stp>
        <stp>NAME</stp>
        <stp>[GMIC Info Template.xlsm]ECO Calendar!R52C6</stp>
        <tr r="F52" s="2"/>
      </tp>
      <tp t="s">
        <v>Adjusted Retail &amp; Food Service</v>
        <stp/>
        <stp>##V3_BDPV12</stp>
        <stp>RSTAMOM Index</stp>
        <stp>NAME</stp>
        <stp>[GMIC Info Template.xlsm]ECO Calendar!R93C6</stp>
        <tr r="F93" s="2"/>
      </tp>
      <tp>
        <v>32.528681352259788</v>
        <stp/>
        <stp>##V3_BDPV12</stp>
        <stp>AXP US Equity</stp>
        <stp>EBITDA MARGIN</stp>
        <stp>[GMIC Info Template.xlsm]Security Analysis!R33C22</stp>
        <tr r="V33" s="13"/>
      </tp>
      <tp>
        <v>6.2454850000000004</v>
        <stp/>
        <stp>##V3_BDPV12</stp>
        <stp>UTX US Equity</stp>
        <stp>TRAIL 12M EPS</stp>
        <stp>[GMIC Info Template.xlsm]Security Analysis!R28C14</stp>
        <tr r="N28" s="13"/>
      </tp>
      <tp>
        <v>10.156693000000001</v>
        <stp/>
        <stp>##V3_BDPV12</stp>
        <stp>CVX US Equity</stp>
        <stp>TRAIL 12M EPS</stp>
        <stp>[GMIC Info Template.xlsm]Security Analysis!R16C14</stp>
        <tr r="N16" s="13"/>
      </tp>
      <tp t="s">
        <v>USD</v>
        <stp/>
        <stp>##V3_BDPV12</stp>
        <stp>MCD US Equity</stp>
        <stp>CRNCY</stp>
        <stp>[GMIC Info Template.xlsm]Security Analysis!R30C12</stp>
        <tr r="L30" s="13"/>
      </tp>
      <tp t="s">
        <v>Percent SA</v>
        <stp/>
        <stp>##V3_BDPV12</stp>
        <stp>PRUSTOT Index</stp>
        <stp>SEASONALITY AND TRANSFORMATION</stp>
        <stp>[GMIC Info Template.xlsm]ECO Calendar!R83C11</stp>
        <tr r="K83" s="2"/>
      </tp>
      <tp t="s">
        <v>Percent SA</v>
        <stp/>
        <stp>##V3_BDPV12</stp>
        <stp>USURTOT Index</stp>
        <stp>SEASONALITY AND TRANSFORMATION</stp>
        <stp>[GMIC Info Template.xlsm]ECO Calendar!R75C11</stp>
        <tr r="K75" s="2"/>
      </tp>
      <tp t="s">
        <v>% Balance/Diffusion Index SA</v>
        <stp/>
        <stp>##V3_BDPV12</stp>
        <stp>NYPMCURR Index</stp>
        <stp>SEASONALITY AND TRANSFORMATION</stp>
        <stp>[GMIC Info Template.xlsm]ECO Calendar!R66C11</stp>
        <tr r="K66" s="2"/>
      </tp>
      <tp t="s">
        <v>4/28/2015</v>
        <stp/>
        <stp>##V3_BDPV12</stp>
        <stp>SPCSUSA Index</stp>
        <stp>ECO RELEASE DT</stp>
        <stp>[GMIC Info Template.xlsm]ECO Calendar!R41C16</stp>
        <tr r="P41" s="2"/>
      </tp>
      <tp>
        <v>313821703.43999994</v>
        <stp/>
        <stp>##V3_BDPV12</stp>
        <stp>SZYM US EQUITY</stp>
        <stp>CUR MKT CAP</stp>
        <stp>[GMIC Info Template.xlsm]Most Up &amp; Down!R30C13</stp>
        <tr r="M30" s="9"/>
      </tp>
      <tp>
        <v>159539504.66999999</v>
        <stp/>
        <stp>##V3_BDPV12</stp>
        <stp>CBYL US EQUITY</stp>
        <stp>CUR MKT CAP</stp>
        <stp>[GMIC Info Template.xlsm]Most Up &amp; Down!R18C13</stp>
        <tr r="M18" s="9"/>
      </tp>
      <tp t="s">
        <v>APPLE INC</v>
        <stp/>
        <stp>##V3_BDPV12</stp>
        <stp>AAPL US Equity</stp>
        <stp>SHORT NAME</stp>
        <stp>[GMIC Info Template.xlsm]Security Analysis!R7C2</stp>
        <tr r="B7" s="13"/>
      </tp>
      <tp t="s">
        <v>8:30:00 AM</v>
        <stp/>
        <stp>##V3_BDPV12</stp>
        <stp>GDP CQOQ Index</stp>
        <stp>ECO RELEASE TIME</stp>
        <stp>[GMIC Info Template.xlsm]ECO Calendar!R48C18</stp>
        <tr r="R48" s="2"/>
      </tp>
      <tp t="s">
        <v>MoM% SA</v>
        <stp/>
        <stp>##V3_BDPV12</stp>
        <stp>IP CHNG Index</stp>
        <stp>SEASONALITY AND TRANSFORMATION</stp>
        <stp>[GMIC Info Template.xlsm]ECO Calendar!R104C11</stp>
        <tr r="K104" s="2"/>
      </tp>
      <tp t="s">
        <v>#N/A Field Not Applicable</v>
        <stp/>
        <stp>##V3_BDPV12</stp>
        <stp>SAARDTOT Index</stp>
        <stp>ECO RELEASE TIME</stp>
        <stp>[GMIC Info Template.xlsm]ECO Calendar!R65C18</stp>
        <tr r="R65" s="2"/>
      </tp>
      <tp>
        <v>6.6957813859089592</v>
        <stp/>
        <stp>##V3_BDPV12</stp>
        <stp>CAT US Equity</stp>
        <stp>PROF MARGIN</stp>
        <stp>[GMIC Info Template.xlsm]Security Analysis!R35C24</stp>
        <tr r="X35" s="13"/>
      </tp>
      <tp t="s">
        <v>CISCO SYSTEMS</v>
        <stp/>
        <stp>##V3_BDPV12</stp>
        <stp>CSCO US Equity</stp>
        <stp>SHORT NAME</stp>
        <stp>[GMIC Info Template.xlsm]Security Analysis!R25C2</stp>
        <tr r="B25" s="13"/>
      </tp>
      <tp>
        <v>-4.5983349999999996</v>
        <stp/>
        <stp>##V3_BDPV12</stp>
        <stp>XOM US Equity</stp>
        <stp>CHG PCT 3M</stp>
        <stp>[GMIC Info Template.xlsm]Security Analysis!R8C16</stp>
        <tr r="P8" s="13"/>
      </tp>
      <tp>
        <v>0</v>
        <stp/>
        <stp>##V3_BDPV12</stp>
        <stp>V US Equity</stp>
        <stp>LT DEBT TO TOT CAP</stp>
        <stp>[GMIC Info Template.xlsm]Security Analysis!R22C26</stp>
        <tr r="Z22" s="13"/>
      </tp>
      <tp t="s">
        <v>Monthly</v>
        <stp/>
        <stp>##V3_BDPV12</stp>
        <stp>IMP1YOY% Index</stp>
        <stp>INDX FREQ</stp>
        <stp>[GMIC Info Template.xlsm]ECO Calendar!R92C15</stp>
        <tr r="O92" s="2"/>
      </tp>
      <tp t="s">
        <v>#N/A N/A</v>
        <stp/>
        <stp>##V3_BDPV12</stp>
        <stp>IP CHNG Index</stp>
        <stp>BN SURVEY MEDIAN</stp>
        <stp>[GMIC Info Template.xlsm]ECO Calendar!R104C8</stp>
        <tr r="H104" s="2"/>
      </tp>
      <tp>
        <v>19.171704762212666</v>
        <stp/>
        <stp>##V3_BDPV12</stp>
        <stp>IBM US Equity</stp>
        <stp>OPER MARGIN</stp>
        <stp>[GMIC Info Template.xlsm]Security Analysis!R21C23</stp>
        <tr r="W21" s="13"/>
      </tp>
      <tp>
        <v>10.005303991513612</v>
        <stp/>
        <stp>##V3_BDPV12</stp>
        <stp>CVX US Equity</stp>
        <stp>PROF MARGIN</stp>
        <stp>[GMIC Info Template.xlsm]Security Analysis!R16C24</stp>
        <tr r="X16" s="13"/>
      </tp>
      <tp t="s">
        <v>Apr</v>
        <stp/>
        <stp>##V3_BDPV12</stp>
        <stp>FDDSSD Index</stp>
        <stp>OBSERVATION PERIOD</stp>
        <stp>[GMIC Info Template.xlsm]ECO Calendar!R89C12</stp>
        <tr r="L89" s="2"/>
      </tp>
      <tp t="s">
        <v>XPLORE TECHNOLOGIES CORP</v>
        <stp/>
        <stp>##V3_BDPV12</stp>
        <stp>XPLR US EQUITY</stp>
        <stp>NAME</stp>
        <stp>[GMIC Info Template.xlsm]Most Up &amp; Down!R29C9</stp>
        <tr r="I29" s="9"/>
      </tp>
      <tp t="s">
        <v>US Personal Consumption Expend</v>
        <stp/>
        <stp>##V3_BDPV12</stp>
        <stp>PCE CYOY Index</stp>
        <stp>NAME</stp>
        <stp>[GMIC Info Template.xlsm]ECO Calendar!R55C6</stp>
        <tr r="F55" s="2"/>
      </tp>
      <tp t="s">
        <v>US GDP Personal Consumption Co</v>
        <stp/>
        <stp>##V3_BDPV12</stp>
        <stp>GDPCPCEC Index</stp>
        <stp>NAME</stp>
        <stp>[GMIC Info Template.xlsm]ECO Calendar!R51C6</stp>
        <tr r="F51" s="2"/>
      </tp>
      <tp t="s">
        <v>US Job Openings By Industry To</v>
        <stp/>
        <stp>##V3_BDPV12</stp>
        <stp>JOLTTOTL Index</stp>
        <stp>NAME</stp>
        <stp>[GMIC Info Template.xlsm]ECO Calendar!R88C6</stp>
        <tr r="F88" s="2"/>
      </tp>
      <tp t="s">
        <v>US New One Family Houses Sold</v>
        <stp/>
        <stp>##V3_BDPV12</stp>
        <stp>NHSLTOT Index</stp>
        <stp>NAME</stp>
        <stp>[GMIC Info Template.xlsm]ECO Calendar!R29C6</stp>
        <tr r="F29" s="2"/>
      </tp>
      <tp t="s">
        <v>US PPI Final Demand Less Foods Energy and Trade Services MoM</v>
        <stp/>
        <stp>##V3_BDPV12</stp>
        <stp>FDIDSGUM Index</stp>
        <stp>Long Comp Name</stp>
        <stp>[GMIC Info Template.xlsm]ECO Calendar!R102C3</stp>
        <tr r="C102" s="2"/>
      </tp>
      <tp t="s">
        <v>US PPI Final Demand Less Foods and Energy MoM SA</v>
        <stp/>
        <stp>##V3_BDPV12</stp>
        <stp>FDIDSGMO Index</stp>
        <stp>Long Comp Name</stp>
        <stp>[GMIC Info Template.xlsm]ECO Calendar!R100C3</stp>
        <tr r="C100" s="2"/>
      </tp>
      <tp t="s">
        <v>None</v>
        <stp/>
        <stp>##V3_BDPV12</stp>
        <stp>IMP1YOY% Index</stp>
        <stp>SCALING FORMAT</stp>
        <stp>[GMIC Info Template.xlsm]ECO Calendar!R92C10</stp>
        <tr r="J92" s="2"/>
      </tp>
      <tp t="s">
        <v>US Capacity Utilization % of Total Capacity SA</v>
        <stp/>
        <stp>##V3_BDPV12</stp>
        <stp>CPTICHNG Index</stp>
        <stp>Long Comp Name</stp>
        <stp>[GMIC Info Template.xlsm]ECO Calendar!R105C3</stp>
        <tr r="C105" s="2"/>
      </tp>
      <tp t="s">
        <v>Units/Persons SA</v>
        <stp/>
        <stp>##V3_BDPV12</stp>
        <stp>JOLTTOTL Index</stp>
        <stp>SEASONALITY AND TRANSFORMATION</stp>
        <stp>[GMIC Info Template.xlsm]ECO Calendar!R88C11</stp>
        <tr r="K88" s="2"/>
      </tp>
      <tp>
        <v>55.555599999999998</v>
        <stp/>
        <stp>##V3_BDPV12</stp>
        <stp>SPCS20 Index</stp>
        <stp>RELEVANCE VALUE</stp>
        <stp>[GMIC Info Template.xlsm]ECO Calendar!R38C5</stp>
        <tr r="E38" s="2"/>
      </tp>
      <tp t="s">
        <v>#N/A Field Not Applicable</v>
        <stp/>
        <stp>##V3_BDPV12</stp>
        <stp>NFP TYOY Index</stp>
        <stp>ECO RELEASE DT</stp>
        <stp>[GMIC Info Template.xlsm]ECO Calendar!R121C16</stp>
        <tr r="P121" s="2"/>
      </tp>
      <tp t="s">
        <v>#N/A Field Not Applicable</v>
        <stp/>
        <stp>##V3_BDPV12</stp>
        <stp>NFP TYCH Index</stp>
        <stp>ECO RELEASE DT</stp>
        <stp>[GMIC Info Template.xlsm]ECO Calendar!R119C16</stp>
        <tr r="P119" s="2"/>
      </tp>
      <tp t="s">
        <v>#N/A Field Not Applicable</v>
        <stp/>
        <stp>##V3_BDPV12</stp>
        <stp>NFP TMOM Index</stp>
        <stp>ECO RELEASE DT</stp>
        <stp>[GMIC Info Template.xlsm]ECO Calendar!R120C16</stp>
        <tr r="P120" s="2"/>
      </tp>
      <tp t="s">
        <v>2/28/2015</v>
        <stp/>
        <stp>##V3_BDPV12</stp>
        <stp>NHCHSTCH Index</stp>
        <stp>PRIOR OBSERVATION DATE</stp>
        <stp>[GMIC Info Template.xlsm]ECO Calendar!R113C14</stp>
        <tr r="N113" s="2"/>
      </tp>
      <tp t="s">
        <v>2/28/2015</v>
        <stp/>
        <stp>##V3_BDPV12</stp>
        <stp>NHSPSTOT Index</stp>
        <stp>PRIOR OBSERVATION DATE</stp>
        <stp>[GMIC Info Template.xlsm]ECO Calendar!R111C14</stp>
        <tr r="N111" s="2"/>
      </tp>
      <tp t="s">
        <v>Monthly</v>
        <stp/>
        <stp>##V3_BDPV12</stp>
        <stp>AHE MOM% Index</stp>
        <stp>INDX FREQ</stp>
        <stp>[GMIC Info Template.xlsm]ECO Calendar!R78C15</stp>
        <tr r="O78" s="2"/>
      </tp>
      <tp>
        <v>-11.7804</v>
        <stp/>
        <stp>##V3_BDPV12</stp>
        <stp>CVX US Equity</stp>
        <stp>CHG PCT 1YR</stp>
        <stp>[GMIC Info Template.xlsm]Security Analysis!R16C18</stp>
        <tr r="R16" s="13"/>
      </tp>
      <tp>
        <v>-19.011959999999998</v>
        <stp/>
        <stp>##V3_BDPV12</stp>
        <stp>CAT US Equity</stp>
        <stp>CHG PCT 1YR</stp>
        <stp>[GMIC Info Template.xlsm]Security Analysis!R35C18</stp>
        <tr r="R35" s="13"/>
      </tp>
      <tp t="s">
        <v>ISM Non-Manufacturing NMI NSA</v>
        <stp/>
        <stp>##V3_BDPV12</stp>
        <stp>NAPMNMI Index</stp>
        <stp>NAME</stp>
        <stp>[GMIC Info Template.xlsm]ECO Calendar!R69C6</stp>
        <tr r="F69" s="2"/>
      </tp>
      <tp t="s">
        <v>9:00:00 AM</v>
        <stp/>
        <stp>##V3_BDPV12</stp>
        <stp>SPCSUSA Index</stp>
        <stp>ECO RELEASE TIME</stp>
        <stp>[GMIC Info Template.xlsm]ECO Calendar!R41C18</stp>
        <tr r="R41" s="2"/>
      </tp>
      <tp t="s">
        <v>10:00:00 AM</v>
        <stp/>
        <stp>##V3_BDPV12</stp>
        <stp>CONSEXP Index</stp>
        <stp>ECO RELEASE TIME</stp>
        <stp>[GMIC Info Template.xlsm]ECO Calendar!R10C18</stp>
        <tr r="R10" s="2"/>
      </tp>
      <tp t="s">
        <v>US Personal Consumption Expend</v>
        <stp/>
        <stp>##V3_BDPV12</stp>
        <stp>PCE CMOM Index</stp>
        <stp>NAME</stp>
        <stp>[GMIC Info Template.xlsm]ECO Calendar!R54C6</stp>
        <tr r="F54" s="2"/>
      </tp>
      <tp t="s">
        <v>#N/A N/A</v>
        <stp/>
        <stp>##V3_BDPV12</stp>
        <stp>TRV US Equity</stp>
        <stp>EBITDA MARGIN</stp>
        <stp>[GMIC Info Template.xlsm]Security Analysis!R36C22</stp>
        <tr r="V36" s="13"/>
      </tp>
      <tp t="s">
        <v>Philadelphia Fed Business Outlook Survey Diffusion Index General Conditions</v>
        <stp/>
        <stp>##V3_BDPV12</stp>
        <stp>OUTFGAF Index</stp>
        <stp>Long Comp Name</stp>
        <stp>[GMIC Info Template.xlsm]ECO Calendar!R116C3</stp>
        <tr r="C116" s="2"/>
      </tp>
      <tp t="s">
        <v>3/31/2015</v>
        <stp/>
        <stp>##V3_BDPV12</stp>
        <stp>CONSPXMD Index</stp>
        <stp>PRIOR OBSERVATION DATE</stp>
        <stp>[GMIC Info Template.xlsm]ECO Calendar!R9C14</stp>
        <tr r="N9" s="2"/>
      </tp>
      <tp t="s">
        <v>3/31/2015</v>
        <stp/>
        <stp>##V3_BDPV12</stp>
        <stp>CONSP5MD Index</stp>
        <stp>PRIOR OBSERVATION DATE</stp>
        <stp>[GMIC Info Template.xlsm]ECO Calendar!R8C14</stp>
        <tr r="N8" s="2"/>
      </tp>
      <tp t="s">
        <v>#N/A N/A</v>
        <stp/>
        <stp>##V3_BDPV12</stp>
        <stp>NFP TYCH Index</stp>
        <stp>BN SURVEY MEDIAN</stp>
        <stp>[GMIC Info Template.xlsm]ECO Calendar!R119C8</stp>
        <tr r="H119" s="2"/>
      </tp>
      <tp>
        <v>215.15728857311998</v>
        <stp/>
        <stp>##V3_BDPV12</stp>
        <stp>PFE US Equity</stp>
        <stp>CRNCY ADJ MKT CAP</stp>
        <stp>[GMIC Info Template.xlsm]Security Analysis!R15C6</stp>
        <stp>EQY_FUND_CRNCY=USD</stp>
        <stp>SCALING_FORMAT=MMM</stp>
        <tr r="F15" s="13"/>
      </tp>
      <tp>
        <v>112.96735899633001</v>
        <stp/>
        <stp>##V3_BDPV12</stp>
        <stp>UNH US Equity</stp>
        <stp>CRNCY ADJ MKT CAP</stp>
        <stp>[GMIC Info Template.xlsm]Security Analysis!R26C6</stp>
        <stp>EQY_FUND_CRNCY=USD</stp>
        <stp>SCALING_FORMAT=MMM</stp>
        <tr r="F26" s="13"/>
      </tp>
      <tp>
        <v>33.618175413400003</v>
        <stp/>
        <stp>##V3_BDPV12</stp>
        <stp>TRV US Equity</stp>
        <stp>CRNCY ADJ MKT CAP</stp>
        <stp>[GMIC Info Template.xlsm]Security Analysis!R36C6</stp>
        <stp>EQY_FUND_CRNCY=USD</stp>
        <stp>SCALING_FORMAT=MMM</stp>
        <tr r="F36" s="13"/>
      </tp>
      <tp>
        <v>104.57169411897</v>
        <stp/>
        <stp>##V3_BDPV12</stp>
        <stp>UTX US Equity</stp>
        <stp>CRNCY ADJ MKT CAP</stp>
        <stp>[GMIC Info Template.xlsm]Security Analysis!R28C6</stp>
        <stp>EQY_FUND_CRNCY=USD</stp>
        <stp>SCALING_FORMAT=MMM</stp>
        <tr r="F28" s="13"/>
      </tp>
      <tp t="s">
        <v>5/14/2015</v>
        <stp/>
        <stp>##V3_BDPV12</stp>
        <stp>FDIUFDYO Index</stp>
        <stp>ECO RELEASE DT</stp>
        <stp>[GMIC Info Template.xlsm]ECO Calendar!R99C16</stp>
        <tr r="P99" s="2"/>
      </tp>
      <tp>
        <v>251.24575933775998</v>
        <stp/>
        <stp>##V3_BDPV12</stp>
        <stp>WMT US Equity</stp>
        <stp>CRNCY ADJ MKT CAP</stp>
        <stp>[GMIC Info Template.xlsm]Security Analysis!R12C6</stp>
        <stp>EQY_FUND_CRNCY=USD</stp>
        <stp>SCALING_FORMAT=MMM</stp>
        <tr r="F12" s="13"/>
      </tp>
      <tp t="s">
        <v>None</v>
        <stp/>
        <stp>##V3_BDPV12</stp>
        <stp>CHPMINDX Index</stp>
        <stp>SCALING FORMAT</stp>
        <stp>[GMIC Info Template.xlsm]ECO Calendar!R59C10</stp>
        <tr r="J59" s="2"/>
      </tp>
      <tp>
        <v>158.81011171524</v>
        <stp/>
        <stp>##V3_BDPV12</stp>
        <stp>IBM US Equity</stp>
        <stp>CRNCY ADJ MKT CAP</stp>
        <stp>[GMIC Info Template.xlsm]Security Analysis!R21C6</stp>
        <stp>EQY_FUND_CRNCY=USD</stp>
        <stp>SCALING_FORMAT=MMM</stp>
        <tr r="F21" s="13"/>
      </tp>
      <tp>
        <v>276.88811759907998</v>
        <stp/>
        <stp>##V3_BDPV12</stp>
        <stp>JNJ US Equity</stp>
        <stp>CRNCY ADJ MKT CAP</stp>
        <stp>[GMIC Info Template.xlsm]Security Analysis!R10C6</stp>
        <stp>EQY_FUND_CRNCY=USD</stp>
        <stp>SCALING_FORMAT=MMM</stp>
        <tr r="F10" s="13"/>
      </tp>
      <tp>
        <v>234.28716095620001</v>
        <stp/>
        <stp>##V3_BDPV12</stp>
        <stp>JPM US Equity</stp>
        <stp>CRNCY ADJ MKT CAP</stp>
        <stp>[GMIC Info Template.xlsm]Security Analysis!R13C6</stp>
        <stp>EQY_FUND_CRNCY=USD</stp>
        <stp>SCALING_FORMAT=MMM</stp>
        <tr r="F13" s="13"/>
      </tp>
      <tp t="s">
        <v>MoM% SA</v>
        <stp/>
        <stp>##V3_BDPV12</stp>
        <stp>CNSTTMOM Index</stp>
        <stp>SEASONALITY AND TRANSFORMATION</stp>
        <stp>[GMIC Info Template.xlsm]ECO Calendar!R62C11</stp>
        <tr r="K62" s="2"/>
      </tp>
      <tp>
        <v>102.73709282650999</v>
        <stp/>
        <stp>##V3_BDPV12</stp>
        <stp>MMM US Equity</stp>
        <stp>CRNCY ADJ MKT CAP</stp>
        <stp>[GMIC Info Template.xlsm]Security Analysis!R29C6</stp>
        <stp>EQY_FUND_CRNCY=USD</stp>
        <stp>SCALING_FORMAT=MMM</stp>
        <tr r="F29" s="13"/>
      </tp>
      <tp>
        <v>160.88242671864</v>
        <stp/>
        <stp>##V3_BDPV12</stp>
        <stp>MRK US Equity</stp>
        <stp>CRNCY ADJ MKT CAP</stp>
        <stp>[GMIC Info Template.xlsm]Security Analysis!R20C6</stp>
        <stp>EQY_FUND_CRNCY=USD</stp>
        <stp>SCALING_FORMAT=MMM</stp>
        <tr r="F20" s="13"/>
      </tp>
      <tp t="s">
        <v>4/23/2015</v>
        <stp/>
        <stp>##V3_BDPV12</stp>
        <stp>KCLSSACI Index</stp>
        <stp>ECO RELEASE DT</stp>
        <stp>[GMIC Info Template.xlsm]ECO Calendar!R28C16</stp>
        <tr r="P28" s="2"/>
      </tp>
      <tp>
        <v>91.001978299200005</v>
        <stp/>
        <stp>##V3_BDPV12</stp>
        <stp>MCD US Equity</stp>
        <stp>CRNCY ADJ MKT CAP</stp>
        <stp>[GMIC Info Template.xlsm]Security Analysis!R30C6</stp>
        <stp>EQY_FUND_CRNCY=USD</stp>
        <stp>SCALING_FORMAT=MMM</stp>
        <tr r="F30" s="13"/>
      </tp>
      <tp>
        <v>84.728121545250005</v>
        <stp/>
        <stp>##V3_BDPV12</stp>
        <stp>NKE US Equity</stp>
        <stp>CRNCY ADJ MKT CAP</stp>
        <stp>[GMIC Info Template.xlsm]Security Analysis!R32C6</stp>
        <stp>EQY_FUND_CRNCY=USD</stp>
        <stp>SCALING_FORMAT=MMM</stp>
        <tr r="F32" s="13"/>
      </tp>
      <tp t="s">
        <v>None</v>
        <stp/>
        <stp>##V3_BDPV12</stp>
        <stp>CPUPAXFE Index</stp>
        <stp>SCALING FORMAT</stp>
        <stp>[GMIC Info Template.xlsm]ECO Calendar!R16C10</stp>
        <tr r="J16" s="2"/>
      </tp>
      <tp t="s">
        <v>Units/Persons SAAR</v>
        <stp/>
        <stp>##V3_BDPV12</stp>
        <stp>NHSLTOT Index</stp>
        <stp>SEASONALITY AND TRANSFORMATION</stp>
        <stp>[GMIC Info Template.xlsm]ECO Calendar!R29C11</stp>
        <tr r="K29" s="2"/>
      </tp>
      <tp>
        <v>205.17892304721002</v>
        <stp/>
        <stp>##V3_BDPV12</stp>
        <stp>CVX US Equity</stp>
        <stp>CRNCY ADJ MKT CAP</stp>
        <stp>[GMIC Info Template.xlsm]Security Analysis!R16C6</stp>
        <stp>EQY_FUND_CRNCY=USD</stp>
        <stp>SCALING_FORMAT=MMM</stp>
        <tr r="F16" s="13"/>
      </tp>
      <tp>
        <v>78.53011459823999</v>
        <stp/>
        <stp>##V3_BDPV12</stp>
        <stp>AXP US Equity</stp>
        <stp>CRNCY ADJ MKT CAP</stp>
        <stp>[GMIC Info Template.xlsm]Security Analysis!R33C6</stp>
        <stp>EQY_FUND_CRNCY=USD</stp>
        <stp>SCALING_FORMAT=MMM</stp>
        <tr r="F33" s="13"/>
      </tp>
      <tp t="s">
        <v>4/27/2015</v>
        <stp/>
        <stp>##V3_BDPV12</stp>
        <stp>DFEDGBA Index</stp>
        <stp>ECO RELEASE DT</stp>
        <stp>[GMIC Info Template.xlsm]ECO Calendar!R37C16</stp>
        <tr r="P37" s="2"/>
      </tp>
      <tp>
        <v>50.481551033520006</v>
        <stp/>
        <stp>##V3_BDPV12</stp>
        <stp>CAT US Equity</stp>
        <stp>CRNCY ADJ MKT CAP</stp>
        <stp>[GMIC Info Template.xlsm]Security Analysis!R35C6</stp>
        <stp>EQY_FUND_CRNCY=USD</stp>
        <stp>SCALING_FORMAT=MMM</stp>
        <tr r="F35" s="13"/>
      </tp>
      <tp t="s">
        <v>None</v>
        <stp/>
        <stp>##V3_BDPV12</stp>
        <stp>MAPMINDX Index</stp>
        <stp>SCALING FORMAT</stp>
        <stp>[GMIC Info Template.xlsm]ECO Calendar!R60C10</stp>
        <tr r="J60" s="2"/>
      </tp>
      <tp>
        <v>181.32641711888999</v>
        <stp/>
        <stp>##V3_BDPV12</stp>
        <stp>DIS US Equity</stp>
        <stp>CRNCY ADJ MKT CAP</stp>
        <stp>[GMIC Info Template.xlsm]Security Analysis!R18C6</stp>
        <stp>EQY_FUND_CRNCY=USD</stp>
        <stp>SCALING_FORMAT=MMM</stp>
        <tr r="F18" s="13"/>
      </tp>
      <tp t="s">
        <v>#N/A N/A</v>
        <stp/>
        <stp>##V3_BDPV12</stp>
        <stp>FRNTTOTL Index</stp>
        <stp>SEASONALITY AND TRANSFORMATION</stp>
        <stp>[GMIC Info Template.xlsm]ECO Calendar!R108C11</stp>
        <tr r="K108" s="2"/>
      </tp>
      <tp t="s">
        <v>#N/A N/A</v>
        <stp/>
        <stp>##V3_BDPV12</stp>
        <stp>FRNTTNET Index</stp>
        <stp>SEASONALITY AND TRANSFORMATION</stp>
        <stp>[GMIC Info Template.xlsm]ECO Calendar!R109C11</stp>
        <tr r="K109" s="2"/>
      </tp>
      <tp>
        <v>20.7</v>
        <stp/>
        <stp>##V3_BDPV12</stp>
        <stp>CONCCYOY Index</stp>
        <stp>PX LAST</stp>
        <stp>[GMIC Info Template.xlsm]ECO Calendar!R122C7</stp>
        <tr r="G122" s="2"/>
      </tp>
      <tp t="s">
        <v>DISCOVERY LABORATORIES INC</v>
        <stp/>
        <stp>##V3_BDPV12</stp>
        <stp>DSCO US EQUITY</stp>
        <stp>NAME</stp>
        <stp>[GMIC Info Template.xlsm]Most Up &amp; Down!R24C9</stp>
        <tr r="I24" s="9"/>
      </tp>
      <tp t="s">
        <v>PROFESSIONAL DIVERSITY NETWO</v>
        <stp/>
        <stp>##V3_BDPV12</stp>
        <stp>IPDN US EQUITY</stp>
        <stp>NAME</stp>
        <stp>[GMIC Info Template.xlsm]Most Up &amp; Down!R23C9</stp>
        <tr r="I23" s="9"/>
      </tp>
      <tp>
        <v>2.9854240000000001</v>
        <stp/>
        <stp>##V3_BDPV12</stp>
        <stp>XOM US Equity</stp>
        <stp>CHG PCT 1M</stp>
        <stp>[GMIC Info Template.xlsm]Security Analysis!R8C15</stp>
        <tr r="O8" s="13"/>
      </tp>
      <tp>
        <v>-4.6183839999999998</v>
        <stp/>
        <stp>##V3_BDPV12</stp>
        <stp>MSFT US Equity</stp>
        <stp>CHG PCT 6M</stp>
        <stp>[GMIC Info Template.xlsm]Security Analysis!R9C17</stp>
        <tr r="Q9" s="13"/>
      </tp>
      <tp t="s">
        <v>WAL-MART STORES</v>
        <stp/>
        <stp>##V3_BDPV12</stp>
        <stp>WMT US Equity</stp>
        <stp>SHORT NAME</stp>
        <stp>[GMIC Info Template.xlsm]Security Analysis!R12C2</stp>
        <tr r="B12" s="13"/>
      </tp>
      <tp>
        <v>16.347676324342341</v>
        <stp/>
        <stp>##V3_BDPV12</stp>
        <stp>AXP US Equity</stp>
        <stp>PROF MARGIN</stp>
        <stp>[GMIC Info Template.xlsm]Security Analysis!R33C24</stp>
        <tr r="X33" s="13"/>
      </tp>
      <tp>
        <v>2.3693119999999999</v>
        <stp/>
        <stp>##V3_BDPV12</stp>
        <stp>INTC US Equity</stp>
        <stp>TRAIL 12M EPS</stp>
        <stp>[GMIC Info Template.xlsm]Security Analysis!R23C14</stp>
        <tr r="N23" s="13"/>
      </tp>
      <tp t="s">
        <v>UNITED STATES</v>
        <stp/>
        <stp>##V3_BDPV12</stp>
        <stp>SAARTOTL Index</stp>
        <stp>REGION OR COUNTRY</stp>
        <stp>[GMIC Info Template.xlsm]ECO Calendar!R64C20</stp>
        <tr r="T64" s="2"/>
      </tp>
      <tp t="s">
        <v>Monthly</v>
        <stp/>
        <stp>##V3_BDPV12</stp>
        <stp>PCE CHNC Index</stp>
        <stp>INDX FREQ</stp>
        <stp>[GMIC Info Template.xlsm]ECO Calendar!R58C15</stp>
        <tr r="O58" s="2"/>
      </tp>
      <tp t="s">
        <v>United States</v>
        <stp/>
        <stp>##V3_BDPV12</stp>
        <stp>GDPCPCEC Index</stp>
        <stp>REGION OR COUNTRY</stp>
        <stp>[GMIC Info Template.xlsm]ECO Calendar!R51C20</stp>
        <tr r="T51" s="2"/>
      </tp>
      <tp t="s">
        <v>None</v>
        <stp/>
        <stp>##V3_BDPV12</stp>
        <stp>USUDMAER Index</stp>
        <stp>SCALING FORMAT</stp>
        <stp>[GMIC Info Template.xlsm]ECO Calendar!R82C10</stp>
        <tr r="J82" s="2"/>
      </tp>
      <tp t="s">
        <v>US Treasury International Capital Net Monthly Inflows Total</v>
        <stp/>
        <stp>##V3_BDPV12</stp>
        <stp>FRNTTNET Index</stp>
        <stp>Long Comp Name</stp>
        <stp>[GMIC Info Template.xlsm]ECO Calendar!R109C3</stp>
        <tr r="C109" s="2"/>
      </tp>
      <tp t="s">
        <v>YoY% NSA</v>
        <stp/>
        <stp>##V3_BDPV12</stp>
        <stp>FDIUFDYO Index</stp>
        <stp>SEASONALITY AND TRANSFORMATION</stp>
        <stp>[GMIC Info Template.xlsm]ECO Calendar!R99C11</stp>
        <tr r="K99" s="2"/>
      </tp>
      <tp t="s">
        <v>3/31/2015</v>
        <stp/>
        <stp>##V3_BDPV12</stp>
        <stp>CONSCURR Index</stp>
        <stp>PRIOR OBSERVATION DATE</stp>
        <stp>[GMIC Info Template.xlsm]ECO Calendar!R11C14</stp>
        <tr r="N11" s="2"/>
      </tp>
      <tp t="s">
        <v>#N/A N/A</v>
        <stp/>
        <stp>##V3_BDPV12</stp>
        <stp>FRNTTOTL Index</stp>
        <stp>BN SURVEY MEDIAN</stp>
        <stp>[GMIC Info Template.xlsm]ECO Calendar!R108C8</stp>
        <tr r="H108" s="2"/>
      </tp>
      <tp t="s">
        <v>% Balance/Diffusion Index SA</v>
        <stp/>
        <stp>##V3_BDPV12</stp>
        <stp>DFEDGBA Index</stp>
        <stp>SEASONALITY AND TRANSFORMATION</stp>
        <stp>[GMIC Info Template.xlsm]ECO Calendar!R37C11</stp>
        <tr r="K37" s="2"/>
      </tp>
      <tp t="s">
        <v>4/23/2015</v>
        <stp/>
        <stp>##V3_BDPV12</stp>
        <stp>NHSLTOT Index</stp>
        <stp>ECO RELEASE DT</stp>
        <stp>[GMIC Info Template.xlsm]ECO Calendar!R29C16</stp>
        <tr r="P29" s="2"/>
      </tp>
      <tp t="s">
        <v>3/31/2015</v>
        <stp/>
        <stp>##V3_BDPV12</stp>
        <stp>CONSSENT Index</stp>
        <stp>PRIOR OBSERVATION DATE</stp>
        <stp>[GMIC Info Template.xlsm]ECO Calendar!R7C14</stp>
        <tr r="N7" s="2"/>
      </tp>
      <tp t="s">
        <v>5/1/2015</v>
        <stp/>
        <stp>##V3_BDPV12</stp>
        <stp>CNSTTMOM Index</stp>
        <stp>ECO RELEASE DT</stp>
        <stp>[GMIC Info Template.xlsm]ECO Calendar!R62C16</stp>
        <tr r="P62" s="2"/>
      </tp>
      <tp t="s">
        <v>#N/A N/A</v>
        <stp/>
        <stp>##V3_BDPV12</stp>
        <stp>FRNTTNET Index</stp>
        <stp>BN SURVEY MEDIAN</stp>
        <stp>[GMIC Info Template.xlsm]ECO Calendar!R109C8</stp>
        <tr r="H109" s="2"/>
      </tp>
      <tp>
        <v>16.658181663909041</v>
        <stp/>
        <stp>##V3_BDPV12</stp>
        <stp>CSCO US Equity</stp>
        <stp>PROF MARGIN</stp>
        <stp>[GMIC Info Template.xlsm]Security Analysis!R25C24</stp>
        <tr r="X25" s="13"/>
      </tp>
      <tp t="s">
        <v>% Balance/Diffusion Index SA</v>
        <stp/>
        <stp>##V3_BDPV12</stp>
        <stp>KCLSSACI Index</stp>
        <stp>SEASONALITY AND TRANSFORMATION</stp>
        <stp>[GMIC Info Template.xlsm]ECO Calendar!R28C11</stp>
        <tr r="K28" s="2"/>
      </tp>
      <tp t="s">
        <v>USD</v>
        <stp/>
        <stp>##V3_BDPV12</stp>
        <stp>MSFT US Equity</stp>
        <stp>CRNCY</stp>
        <stp>[GMIC Info Template.xlsm]Security Analysis!R9C12</stp>
        <tr r="L9" s="13"/>
      </tp>
      <tp t="s">
        <v>5/18/2015</v>
        <stp/>
        <stp>##V3_BDPV12</stp>
        <stp>USHBMIDX Index</stp>
        <stp>ECO RELEASE DT</stp>
        <stp>[GMIC Info Template.xlsm]ECO Calendar!R110C16</stp>
        <tr r="P110" s="2"/>
      </tp>
      <tp>
        <v>63.8889</v>
        <stp/>
        <stp>##V3_BDPV12</stp>
        <stp>RSTAXMOM Index</stp>
        <stp>RELEVANCE VALUE</stp>
        <stp>[GMIC Info Template.xlsm]ECO Calendar!R94C19</stp>
        <tr r="S94" s="2"/>
      </tp>
      <tp>
        <v>76.1905</v>
        <stp/>
        <stp>##V3_BDPV12</stp>
        <stp>FDDSSD Index</stp>
        <stp>RELEVANCE VALUE</stp>
        <stp>[GMIC Info Template.xlsm]ECO Calendar!R89C19</stp>
        <tr r="S89" s="2"/>
      </tp>
      <tp>
        <v>15.872999999999999</v>
        <stp/>
        <stp>##V3_BDPV12</stp>
        <stp>RSTAXAGM Index</stp>
        <stp>RELEVANCE VALUE</stp>
        <stp>[GMIC Info Template.xlsm]ECO Calendar!R96C19</stp>
        <tr r="S96" s="2"/>
      </tp>
      <tp>
        <v>62.698399999999999</v>
        <stp/>
        <stp>##V3_BDPV12</stp>
        <stp>RSTAXAG% Index</stp>
        <stp>RELEVANCE VALUE</stp>
        <stp>[GMIC Info Template.xlsm]ECO Calendar!R95C19</stp>
        <tr r="S95" s="2"/>
      </tp>
    </main>
    <main first="bloomberg.rtd">
      <tp t="s">
        <v>None</v>
        <stp/>
        <stp>##V3_BDPV12</stp>
        <stp>NHCHATCH Index</stp>
        <stp>SCALING FORMAT</stp>
        <stp>[GMIC Info Template.xlsm]ECO Calendar!R114C10</stp>
        <tr r="J114" s="2"/>
      </tp>
      <tp t="s">
        <v>Thousand</v>
        <stp/>
        <stp>##V3_BDPV12</stp>
        <stp>NHSPATOT Index</stp>
        <stp>SCALING FORMAT</stp>
        <stp>[GMIC Info Template.xlsm]ECO Calendar!R112C10</stp>
        <tr r="J112" s="2"/>
      </tp>
      <tp>
        <v>79.365099999999998</v>
        <stp/>
        <stp>##V3_BDPV12</stp>
        <stp>IMP1CHNG Index</stp>
        <stp>RELEVANCE VALUE</stp>
        <stp>[GMIC Info Template.xlsm]ECO Calendar!R91C19</stp>
        <tr r="S91" s="2"/>
      </tp>
      <tp>
        <v>31.624648373228599</v>
        <stp/>
        <stp>##V3_BDPV12</stp>
        <stp>JPM US Equity</stp>
        <stp>OPER MARGIN</stp>
        <stp>[GMIC Info Template.xlsm]Security Analysis!R13C23</stp>
        <tr r="W13" s="13"/>
      </tp>
      <tp>
        <v>-10.322430000000001</v>
        <stp/>
        <stp>##V3_BDPV12</stp>
        <stp>AXP US Equity</stp>
        <stp>CHG PCT 1YR</stp>
        <stp>[GMIC Info Template.xlsm]Security Analysis!R33C18</stp>
        <tr r="R33" s="13"/>
      </tp>
      <tp>
        <v>28.196849228451114</v>
        <stp/>
        <stp>##V3_BDPV12</stp>
        <stp>JNJ US Equity</stp>
        <stp>OPER MARGIN</stp>
        <stp>[GMIC Info Template.xlsm]Security Analysis!R10C23</stp>
        <tr r="W10" s="13"/>
      </tp>
      <tp>
        <v>15.27961</v>
        <stp/>
        <stp>##V3_BDPV12</stp>
        <stp>XBIT US EQUITY</stp>
        <stp>CHG PCT 1D</stp>
        <stp>[GMIC Info Template.xlsm]Most Up &amp; Down!R17C12</stp>
        <tr r="L17" s="9"/>
      </tp>
      <tp>
        <v>-11.764709999999999</v>
        <stp/>
        <stp>##V3_BDPV12</stp>
        <stp>PBIB US EQUITY</stp>
        <stp>CHG PCT 1D</stp>
        <stp>[GMIC Info Template.xlsm]Most Up &amp; Down!R28C12</stp>
        <tr r="L28" s="9"/>
      </tp>
      <tp t="s">
        <v>Monthly</v>
        <stp/>
        <stp>##V3_BDPV12</stp>
        <stp>PCE CMOM Index</stp>
        <stp>INDX FREQ</stp>
        <stp>[GMIC Info Template.xlsm]ECO Calendar!R54C15</stp>
        <tr r="O54" s="2"/>
      </tp>
      <tp t="s">
        <v>United States</v>
        <stp/>
        <stp>##V3_BDPV12</stp>
        <stp>CHPMINDX Index</stp>
        <stp>REGION OR COUNTRY</stp>
        <stp>[GMIC Info Template.xlsm]ECO Calendar!R59C20</stp>
        <tr r="T59" s="2"/>
      </tp>
      <tp t="s">
        <v>United States</v>
        <stp/>
        <stp>##V3_BDPV12</stp>
        <stp>MAPMINDX Index</stp>
        <stp>REGION OR COUNTRY</stp>
        <stp>[GMIC Info Template.xlsm]ECO Calendar!R60C20</stp>
        <tr r="T60" s="2"/>
      </tp>
      <tp t="s">
        <v>US Average Weekly Hours All Em</v>
        <stp/>
        <stp>##V3_BDPV12</stp>
        <stp>AWH TOTL Index</stp>
        <stp>NAME</stp>
        <stp>[GMIC Info Template.xlsm]ECO Calendar!R80C6</stp>
        <tr r="F80" s="2"/>
      </tp>
      <tp>
        <v>12.98701</v>
        <stp/>
        <stp>##V3_BDPV12</stp>
        <stp>CBYL US EQUITY</stp>
        <stp>CHG PCT 1D</stp>
        <stp>[GMIC Info Template.xlsm]Most Up &amp; Down!R18C12</stp>
        <tr r="L18" s="9"/>
      </tp>
      <tp t="s">
        <v>Census Bureau US Construction</v>
        <stp/>
        <stp>##V3_BDPV12</stp>
        <stp>CNSTTMOM Index</stp>
        <stp>NAME</stp>
        <stp>[GMIC Info Template.xlsm]ECO Calendar!R62C6</stp>
        <tr r="F62" s="2"/>
      </tp>
      <tp t="s">
        <v>8:30:00 AM</v>
        <stp/>
        <stp>##V3_BDPV12</stp>
        <stp>PRUSTOT Index</stp>
        <stp>ECO RELEASE TIME</stp>
        <stp>[GMIC Info Template.xlsm]ECO Calendar!R83C18</stp>
        <tr r="R83" s="2"/>
      </tp>
      <tp>
        <v>15.386706291678747</v>
        <stp/>
        <stp>##V3_BDPV12</stp>
        <stp>CAT US Equity</stp>
        <stp>EBITDA MARGIN</stp>
        <stp>[GMIC Info Template.xlsm]Security Analysis!R35C22</stp>
        <tr r="V35" s="13"/>
      </tp>
      <tp>
        <v>7.4786214792103785</v>
        <stp/>
        <stp>##V3_BDPV12</stp>
        <stp>WMT US Equity</stp>
        <stp>EBITDA MARGIN</stp>
        <stp>[GMIC Info Template.xlsm]Security Analysis!R12C22</stp>
        <tr r="V12" s="13"/>
      </tp>
      <tp t="s">
        <v>Monthly</v>
        <stp/>
        <stp>##V3_BDPV12</stp>
        <stp>PCE CYOY Index</stp>
        <stp>INDX FREQ</stp>
        <stp>[GMIC Info Template.xlsm]ECO Calendar!R55C15</stp>
        <tr r="O55" s="2"/>
      </tp>
      <tp t="s">
        <v>None</v>
        <stp/>
        <stp>##V3_BDPV12</stp>
        <stp>CPUPXCHG Index</stp>
        <stp>SCALING FORMAT</stp>
        <stp>[GMIC Info Template.xlsm]ECO Calendar!R13C10</stp>
        <tr r="J13" s="2"/>
      </tp>
      <tp t="s">
        <v>4/5/2015</v>
        <stp/>
        <stp>##V3_BDPV12</stp>
        <stp>COMFCOMF Index</stp>
        <stp>PRIOR OBSERVATION DATE</stp>
        <stp>[GMIC Info Template.xlsm]ECO Calendar!R24C14</stp>
        <tr r="N24" s="2"/>
      </tp>
      <tp t="s">
        <v>3/31/2015</v>
        <stp/>
        <stp>##V3_BDPV12</stp>
        <stp>CONSEXP Index</stp>
        <stp>PRIOR OBSERVATION DATE</stp>
        <stp>[GMIC Info Template.xlsm]ECO Calendar!R10C14</stp>
        <tr r="N10" s="2"/>
      </tp>
      <tp>
        <v>20.271439999999998</v>
        <stp/>
        <stp>##V3_BDPV12</stp>
        <stp>CSCO US Equity</stp>
        <stp>CHG PCT 1YR</stp>
        <stp>[GMIC Info Template.xlsm]Security Analysis!R25C18</stp>
        <tr r="R25" s="13"/>
      </tp>
      <tp t="s">
        <v>12/31/2014</v>
        <stp/>
        <stp>##V3_BDPV12</stp>
        <stp>SPCSUSQS Index</stp>
        <stp>PRIOR OBSERVATION DATE</stp>
        <stp>[GMIC Info Template.xlsm]ECO Calendar!R43C14</stp>
        <tr r="N43" s="2"/>
      </tp>
      <tp t="s">
        <v>5/12/2015</v>
        <stp/>
        <stp>##V3_BDPV12</stp>
        <stp>JOLTTOTL Index</stp>
        <stp>ECO RELEASE DT</stp>
        <stp>[GMIC Info Template.xlsm]ECO Calendar!R88C16</stp>
        <tr r="P88" s="2"/>
      </tp>
      <tp t="s">
        <v>1/31/2015</v>
        <stp/>
        <stp>##V3_BDPV12</stp>
        <stp>ETSLMOM Index</stp>
        <stp>PRIOR OBSERVATION DATE</stp>
        <stp>[GMIC Info Template.xlsm]ECO Calendar!R23C14</stp>
        <tr r="N23" s="2"/>
      </tp>
      <tp t="s">
        <v>#N/A N/A</v>
        <stp/>
        <stp>##V3_BDPV12</stp>
        <stp>CONCCYOY Index</stp>
        <stp>BN SURVEY MEDIAN</stp>
        <stp>[GMIC Info Template.xlsm]ECO Calendar!R122C8</stp>
        <tr r="H122" s="2"/>
      </tp>
      <tp t="s">
        <v>1/31/2015</v>
        <stp/>
        <stp>##V3_BDPV12</stp>
        <stp>ETSLTOTL Index</stp>
        <stp>PRIOR OBSERVATION DATE</stp>
        <stp>[GMIC Info Template.xlsm]ECO Calendar!R22C14</stp>
        <tr r="N22" s="2"/>
      </tp>
      <tp t="s">
        <v>12/31/2014</v>
        <stp/>
        <stp>##V3_BDPV12</stp>
        <stp>GDPCPCEC Index</stp>
        <stp>PRIOR OBSERVATION DATE</stp>
        <stp>[GMIC Info Template.xlsm]ECO Calendar!R51C14</stp>
        <tr r="N51" s="2"/>
      </tp>
      <tp>
        <v>71.428600000000003</v>
        <stp/>
        <stp>##V3_BDPV12</stp>
        <stp>HPIMMOM% Index</stp>
        <stp>RELEVANCE VALUE</stp>
        <stp>[GMIC Info Template.xlsm]ECO Calendar!R21C19</stp>
        <tr r="S21" s="2"/>
      </tp>
      <tp t="s">
        <v>None</v>
        <stp/>
        <stp>##V3_BDPV12</stp>
        <stp>CPTICHNG Index</stp>
        <stp>SCALING FORMAT</stp>
        <stp>[GMIC Info Template.xlsm]ECO Calendar!R105C10</stp>
        <tr r="J105" s="2"/>
      </tp>
      <tp t="s">
        <v>2/28/2015</v>
        <stp/>
        <stp>##V3_BDPV12</stp>
        <stp>IP CHNG Index</stp>
        <stp>PRIOR OBSERVATION DATE</stp>
        <stp>[GMIC Info Template.xlsm]ECO Calendar!R104C14</stp>
        <tr r="N104" s="2"/>
      </tp>
      <tp>
        <v>0.1</v>
        <stp/>
        <stp>##V3_BDPV12</stp>
        <stp>IPMGCHNG Index</stp>
        <stp>PX LAST</stp>
        <stp>[GMIC Info Template.xlsm]ECO Calendar!R106C7</stp>
        <tr r="G106" s="2"/>
      </tp>
      <tp t="s">
        <v>None</v>
        <stp/>
        <stp>##V3_BDPV12</stp>
        <stp>CONCCYOY Index</stp>
        <stp>SCALING FORMAT</stp>
        <stp>[GMIC Info Template.xlsm]ECO Calendar!R122C10</stp>
        <tr r="J122" s="2"/>
      </tp>
      <tp>
        <v>24.106760000000001</v>
        <stp/>
        <stp>##V3_BDPV12</stp>
        <stp>V US Equity</stp>
        <stp>CHG PCT 1YR</stp>
        <stp>[GMIC Info Template.xlsm]Security Analysis!R22C18</stp>
        <tr r="R22" s="13"/>
      </tp>
      <tp>
        <v>33.12171</v>
        <stp/>
        <stp>##V3_BDPV12</stp>
        <stp>NKE US Equity</stp>
        <stp>CHG PCT 1YR</stp>
        <stp>[GMIC Info Template.xlsm]Security Analysis!R32C18</stp>
        <tr r="R32" s="13"/>
      </tp>
      <tp t="s">
        <v>U-6 Unemployment Rate Unemploy</v>
        <stp/>
        <stp>##V3_BDPV12</stp>
        <stp>USUDMAER Index</stp>
        <stp>NAME</stp>
        <stp>[GMIC Info Template.xlsm]ECO Calendar!R82C6</stp>
        <tr r="F82" s="2"/>
      </tp>
      <tp t="s">
        <v>US Employment Total in Labor F</v>
        <stp/>
        <stp>##V3_BDPV12</stp>
        <stp>USEMNCHG Index</stp>
        <stp>NAME</stp>
        <stp>[GMIC Info Template.xlsm]ECO Calendar!R81C6</stp>
        <tr r="F81" s="2"/>
      </tp>
      <tp t="s">
        <v>United States</v>
        <stp/>
        <stp>##V3_BDPV12</stp>
        <stp>RSTAXMOM Index</stp>
        <stp>REGION OR COUNTRY</stp>
        <stp>[GMIC Info Template.xlsm]ECO Calendar!R94C20</stp>
        <tr r="T94" s="2"/>
      </tp>
      <tp t="s">
        <v>United States</v>
        <stp/>
        <stp>##V3_BDPV12</stp>
        <stp>SBOITOTL Index</stp>
        <stp>REGION OR COUNTRY</stp>
        <stp>[GMIC Info Template.xlsm]ECO Calendar!R90C20</stp>
        <tr r="T90" s="2"/>
      </tp>
      <tp>
        <v>4.5478719999999999</v>
        <stp/>
        <stp>##V3_BDPV12</stp>
        <stp>DIS US Equity</stp>
        <stp>TRAIL 12M EPS</stp>
        <stp>[GMIC Info Template.xlsm]Security Analysis!R18C14</stp>
        <tr r="N18" s="13"/>
      </tp>
      <tp t="s">
        <v>Thousand</v>
        <stp/>
        <stp>##V3_BDPV12</stp>
        <stp>JOLTTOTL Index</stp>
        <stp>SCALING FORMAT</stp>
        <stp>[GMIC Info Template.xlsm]ECO Calendar!R88C10</stp>
        <tr r="J88" s="2"/>
      </tp>
      <tp>
        <v>0.89305780577696015</v>
        <stp/>
        <stp>##V3_BDPV12</stp>
        <stp>TRV US Equity</stp>
        <stp>BETA RAW OVERRIDABLE</stp>
        <stp>[GMIC Info Template.xlsm]Security Analysis!R36C10</stp>
        <stp>BETA_OVERRIDE_REL_INDEX=SPX INDEX</stp>
        <tr r="J36" s="13"/>
      </tp>
      <tp>
        <v>1.1236160237669244</v>
        <stp/>
        <stp>##V3_BDPV12</stp>
        <stp>CAT US Equity</stp>
        <stp>BETA RAW OVERRIDABLE</stp>
        <stp>[GMIC Info Template.xlsm]Security Analysis!R35C10</stp>
        <stp>BETA_OVERRIDE_REL_INDEX=SPX INDEX</stp>
        <tr r="J35" s="13"/>
      </tp>
      <tp t="s">
        <v>5/22/2015</v>
        <stp/>
        <stp>##V3_BDPV12</stp>
        <stp>CPUPXCHG Index</stp>
        <stp>ECO RELEASE DT</stp>
        <stp>[GMIC Info Template.xlsm]ECO Calendar!R13C16</stp>
        <tr r="P13" s="2"/>
      </tp>
      <tp t="s">
        <v>YoY% NSA</v>
        <stp/>
        <stp>##V3_BDPV12</stp>
        <stp>IMP1YOY% Index</stp>
        <stp>SEASONALITY AND TRANSFORMATION</stp>
        <stp>[GMIC Info Template.xlsm]ECO Calendar!R92C11</stp>
        <tr r="K92" s="2"/>
      </tp>
      <tp>
        <v>1.1728836279702133</v>
        <stp/>
        <stp>##V3_BDPV12</stp>
        <stp>AXP US Equity</stp>
        <stp>BETA RAW OVERRIDABLE</stp>
        <stp>[GMIC Info Template.xlsm]Security Analysis!R33C10</stp>
        <stp>BETA_OVERRIDE_REL_INDEX=SPX INDEX</stp>
        <tr r="J33" s="13"/>
      </tp>
      <tp>
        <v>0.84378804379287875</v>
        <stp/>
        <stp>##V3_BDPV12</stp>
        <stp>NKE US Equity</stp>
        <stp>BETA RAW OVERRIDABLE</stp>
        <stp>[GMIC Info Template.xlsm]Security Analysis!R32C10</stp>
        <stp>BETA_OVERRIDE_REL_INDEX=SPX INDEX</stp>
        <tr r="J32" s="13"/>
      </tp>
      <tp>
        <v>0.46052600872110683</v>
        <stp/>
        <stp>##V3_BDPV12</stp>
        <stp>MCD US Equity</stp>
        <stp>BETA RAW OVERRIDABLE</stp>
        <stp>[GMIC Info Template.xlsm]Security Analysis!R30C10</stp>
        <stp>BETA_OVERRIDE_REL_INDEX=SPX INDEX</stp>
        <tr r="J30" s="13"/>
      </tp>
      <tp>
        <v>75041150.409999996</v>
        <stp/>
        <stp>##V3_BDPV12</stp>
        <stp>FNRG US EQUITY</stp>
        <stp>CUR MKT CAP</stp>
        <stp>[GMIC Info Template.xlsm]Most Up &amp; Down!R25C13</stp>
        <tr r="M25" s="9"/>
      </tp>
      <tp>
        <v>16.812668295467542</v>
        <stp/>
        <stp>##V3_BDPV12</stp>
        <stp>AAPL US Equity</stp>
        <stp>PE RATIO</stp>
        <stp>[GMIC Info Template.xlsm]Security Analysis!R7C19</stp>
        <tr r="S7" s="13"/>
      </tp>
      <tp t="s">
        <v>8:30:00 AM</v>
        <stp/>
        <stp>##V3_BDPV12</stp>
        <stp>AWH TOTL Index</stp>
        <stp>ECO RELEASE TIME</stp>
        <stp>[GMIC Info Template.xlsm]ECO Calendar!R80C18</stp>
        <tr r="R80" s="2"/>
      </tp>
      <tp t="s">
        <v>Units/Persons SAAR</v>
        <stp/>
        <stp>##V3_BDPV12</stp>
        <stp>NHSPSTOT Index</stp>
        <stp>SEASONALITY AND TRANSFORMATION</stp>
        <stp>[GMIC Info Template.xlsm]ECO Calendar!R111C11</stp>
        <tr r="K111" s="2"/>
      </tp>
      <tp t="s">
        <v>MoM% SA</v>
        <stp/>
        <stp>##V3_BDPV12</stp>
        <stp>NHCHSTCH Index</stp>
        <stp>SEASONALITY AND TRANSFORMATION</stp>
        <stp>[GMIC Info Template.xlsm]ECO Calendar!R113C11</stp>
        <tr r="K113" s="2"/>
      </tp>
      <tp>
        <v>96.825400000000002</v>
        <stp/>
        <stp>##V3_BDPV12</stp>
        <stp>GDP CQOQ Index</stp>
        <stp>RELEVANCE VALUE</stp>
        <stp>[GMIC Info Template.xlsm]ECO Calendar!R48C19</stp>
        <tr r="S48" s="2"/>
      </tp>
      <tp>
        <v>1039</v>
        <stp/>
        <stp>##V3_BDPV12</stp>
        <stp>NHSPATOT Index</stp>
        <stp>PX LAST</stp>
        <stp>[GMIC Info Template.xlsm]ECO Calendar!R112C7</stp>
        <tr r="G112" s="2"/>
      </tp>
      <tp t="s">
        <v>None</v>
        <stp/>
        <stp>##V3_BDPV12</stp>
        <stp>COMFBTWR Index</stp>
        <stp>SCALING FORMAT</stp>
        <stp>[GMIC Info Template.xlsm]ECO Calendar!R115C10</stp>
        <tr r="J115" s="2"/>
      </tp>
      <tp>
        <v>38.8889</v>
        <stp/>
        <stp>##V3_BDPV12</stp>
        <stp>MAPMINDX Index</stp>
        <stp>RELEVANCE VALUE</stp>
        <stp>[GMIC Info Template.xlsm]ECO Calendar!R60C19</stp>
        <tr r="S60" s="2"/>
      </tp>
      <tp>
        <v>68.888900000000007</v>
        <stp/>
        <stp>##V3_BDPV12</stp>
        <stp>INJCSP Index</stp>
        <stp>RELEVANCE VALUE</stp>
        <stp>[GMIC Info Template.xlsm]ECO Calendar!R26C19</stp>
        <tr r="S26" s="2"/>
      </tp>
      <tp>
        <v>98.412700000000001</v>
        <stp/>
        <stp>##V3_BDPV12</stp>
        <stp>INJCJC Index</stp>
        <stp>RELEVANCE VALUE</stp>
        <stp>[GMIC Info Template.xlsm]ECO Calendar!R25C19</stp>
        <tr r="S25" s="2"/>
      </tp>
      <tp t="s">
        <v>2/28/2015</v>
        <stp/>
        <stp>##V3_BDPV12</stp>
        <stp>CPI YOY Index</stp>
        <stp>PRIOR OBSERVATION DATE</stp>
        <stp>[GMIC Info Template.xlsm]ECO Calendar!R14C14</stp>
        <tr r="N14" s="2"/>
      </tp>
      <tp t="s">
        <v>8:30:00 AM</v>
        <stp/>
        <stp>##V3_BDPV12</stp>
        <stp>CPI CHNG Index</stp>
        <stp>ECO RELEASE TIME</stp>
        <stp>[GMIC Info Template.xlsm]ECO Calendar!R12C18</stp>
        <tr r="R12" s="2"/>
      </tp>
      <tp t="s">
        <v>MOKO SOCIAL MEDIA-SPON ADR</v>
        <stp/>
        <stp>##V3_BDPV12</stp>
        <stp>MOKO US EQUITY</stp>
        <stp>NAME</stp>
        <stp>[GMIC Info Template.xlsm]Most Up &amp; Down!R13C9</stp>
        <tr r="I13" s="9"/>
      </tp>
      <tp>
        <v>42.812155566052589</v>
        <stp/>
        <stp>##V3_BDPV12</stp>
        <stp>V US Equity</stp>
        <stp>PROF MARGIN</stp>
        <stp>[GMIC Info Template.xlsm]Security Analysis!R22C24</stp>
        <tr r="X22" s="13"/>
      </tp>
      <tp>
        <v>9.6873988272959455</v>
        <stp/>
        <stp>##V3_BDPV12</stp>
        <stp>NKE US Equity</stp>
        <stp>PROF MARGIN</stp>
        <stp>[GMIC Info Template.xlsm]Security Analysis!R32C24</stp>
        <tr r="X32" s="13"/>
      </tp>
      <tp t="s">
        <v>United States</v>
        <stp/>
        <stp>##V3_BDPV12</stp>
        <stp>SPCS20Y% Index</stp>
        <stp>REGION OR COUNTRY</stp>
        <stp>[GMIC Info Template.xlsm]ECO Calendar!R39C20</stp>
        <tr r="T39" s="2"/>
      </tp>
      <tp t="s">
        <v>Monthly</v>
        <stp/>
        <stp>##V3_BDPV12</stp>
        <stp>FDIDFDMO Index</stp>
        <stp>INDX FREQ</stp>
        <stp>[GMIC Info Template.xlsm]ECO Calendar!R98C15</stp>
        <tr r="O98" s="2"/>
      </tp>
      <tp t="s">
        <v>United States</v>
        <stp/>
        <stp>##V3_BDPV12</stp>
        <stp>CGSHXAI% Index</stp>
        <stp>REGION OR COUNTRY</stp>
        <stp>[GMIC Info Template.xlsm]ECO Calendar!R34C20</stp>
        <tr r="T34" s="2"/>
      </tp>
      <tp t="s">
        <v>Apr 18</v>
        <stp/>
        <stp>##V3_BDPV12</stp>
        <stp>INJCJC Index</stp>
        <stp>OBSERVATION PERIOD</stp>
        <stp>[GMIC Info Template.xlsm]ECO Calendar!R25C12</stp>
        <tr r="L25" s="2"/>
      </tp>
      <tp t="s">
        <v>AUTHENTIDATE HOLDING CORP</v>
        <stp/>
        <stp>##V3_BDPV12</stp>
        <stp>ADAT US EQUITY</stp>
        <stp>NAME</stp>
        <stp>[GMIC Info Template.xlsm]Most Up &amp; Down!R19C9</stp>
        <tr r="I19" s="9"/>
      </tp>
      <tp>
        <v>23.290926597422818</v>
        <stp/>
        <stp>##V3_BDPV12</stp>
        <stp>DIS US Equity</stp>
        <stp>OPER MARGIN</stp>
        <stp>[GMIC Info Template.xlsm]Security Analysis!R18C23</stp>
        <tr r="W18" s="13"/>
      </tp>
      <tp t="s">
        <v>Quarterly</v>
        <stp/>
        <stp>##V3_BDPV12</stp>
        <stp>GDPCTOT% Index</stp>
        <stp>INDX FREQ</stp>
        <stp>[GMIC Info Template.xlsm]ECO Calendar!R50C15</stp>
        <tr r="O50" s="2"/>
      </tp>
      <tp t="s">
        <v>Monthly</v>
        <stp/>
        <stp>##V3_BDPV12</stp>
        <stp>HPIMMOM% Index</stp>
        <stp>INDX FREQ</stp>
        <stp>[GMIC Info Template.xlsm]ECO Calendar!R21C15</stp>
        <tr r="O21" s="2"/>
      </tp>
      <tp t="s">
        <v>United States</v>
        <stp/>
        <stp>##V3_BDPV12</stp>
        <stp>PITLCHNG Index</stp>
        <stp>REGION OR COUNTRY</stp>
        <stp>[GMIC Info Template.xlsm]ECO Calendar!R52C20</stp>
        <tr r="T52" s="2"/>
      </tp>
      <tp t="s">
        <v>US Personal Consumption Expend</v>
        <stp/>
        <stp>##V3_BDPV12</stp>
        <stp>PCE CHNC Index</stp>
        <stp>NAME</stp>
        <stp>[GMIC Info Template.xlsm]ECO Calendar!R58C6</stp>
        <tr r="F58" s="2"/>
      </tp>
      <tp t="s">
        <v>% Balance/Diffusion Index SA</v>
        <stp/>
        <stp>##V3_BDPV12</stp>
        <stp>MAPMINDX Index</stp>
        <stp>SEASONALITY AND TRANSFORMATION</stp>
        <stp>[GMIC Info Template.xlsm]ECO Calendar!R60C11</stp>
        <tr r="K60" s="2"/>
      </tp>
      <tp t="s">
        <v>Index SA</v>
        <stp/>
        <stp>##V3_BDPV12</stp>
        <stp>CPUPAXFE Index</stp>
        <stp>SEASONALITY AND TRANSFORMATION</stp>
        <stp>[GMIC Info Template.xlsm]ECO Calendar!R16C11</stp>
        <tr r="K16" s="2"/>
      </tp>
      <tp t="s">
        <v>Thousand</v>
        <stp/>
        <stp>##V3_BDPV12</stp>
        <stp>NHSLTOT Index</stp>
        <stp>SCALING FORMAT</stp>
        <stp>[GMIC Info Template.xlsm]ECO Calendar!R29C10</stp>
        <tr r="J29" s="2"/>
      </tp>
      <tp>
        <v>0.67516360103402906</v>
        <stp/>
        <stp>##V3_BDPV12</stp>
        <stp>UNH US Equity</stp>
        <stp>BETA RAW OVERRIDABLE</stp>
        <stp>[GMIC Info Template.xlsm]Security Analysis!R26C10</stp>
        <stp>BETA_OVERRIDE_REL_INDEX=SPX INDEX</stp>
        <tr r="J26" s="13"/>
      </tp>
      <tp>
        <v>1.0216815445539764</v>
        <stp/>
        <stp>##V3_BDPV12</stp>
        <stp>UTX US Equity</stp>
        <stp>BETA RAW OVERRIDABLE</stp>
        <stp>[GMIC Info Template.xlsm]Security Analysis!R28C10</stp>
        <stp>BETA_OVERRIDE_REL_INDEX=SPX INDEX</stp>
        <tr r="J28" s="13"/>
      </tp>
      <tp t="s">
        <v>% Balance/Diffusion Index SA</v>
        <stp/>
        <stp>##V3_BDPV12</stp>
        <stp>CHPMINDX Index</stp>
        <stp>SEASONALITY AND TRANSFORMATION</stp>
        <stp>[GMIC Info Template.xlsm]ECO Calendar!R59C11</stp>
        <tr r="K59" s="2"/>
      </tp>
      <tp t="s">
        <v>None</v>
        <stp/>
        <stp>##V3_BDPV12</stp>
        <stp>CNSTTMOM Index</stp>
        <stp>SCALING FORMAT</stp>
        <stp>[GMIC Info Template.xlsm]ECO Calendar!R62C10</stp>
        <tr r="J62" s="2"/>
      </tp>
      <tp>
        <v>1.1254846737230866</v>
        <stp/>
        <stp>##V3_BDPV12</stp>
        <stp>MMM US Equity</stp>
        <stp>BETA RAW OVERRIDABLE</stp>
        <stp>[GMIC Info Template.xlsm]Security Analysis!R29C10</stp>
        <stp>BETA_OVERRIDE_REL_INDEX=SPX INDEX</stp>
        <tr r="J29" s="13"/>
      </tp>
      <tp t="s">
        <v>2/28/2015</v>
        <stp/>
        <stp>##V3_BDPV12</stp>
        <stp>NAPMPRIC Index</stp>
        <stp>PRIOR OBSERVATION DATE</stp>
        <stp>[GMIC Info Template.xlsm]ECO Calendar!R63C14</stp>
        <tr r="N63" s="2"/>
      </tp>
      <tp t="s">
        <v>5/8/2015</v>
        <stp/>
        <stp>##V3_BDPV12</stp>
        <stp>USUDMAER Index</stp>
        <stp>ECO RELEASE DT</stp>
        <stp>[GMIC Info Template.xlsm]ECO Calendar!R82C16</stp>
        <tr r="P82" s="2"/>
      </tp>
      <tp t="s">
        <v>Private Housing Authorized by Bldg Permits by Type Total SAAR</v>
        <stp/>
        <stp>##V3_BDPV12</stp>
        <stp>NHSPATOT Index</stp>
        <stp>Long Comp Name</stp>
        <stp>[GMIC Info Template.xlsm]ECO Calendar!R112C3</stp>
        <tr r="C112" s="2"/>
      </tp>
      <tp>
        <v>0.66354092831464784</v>
        <stp/>
        <stp>##V3_BDPV12</stp>
        <stp>MRK US Equity</stp>
        <stp>BETA RAW OVERRIDABLE</stp>
        <stp>[GMIC Info Template.xlsm]Security Analysis!R20C10</stp>
        <stp>BETA_OVERRIDE_REL_INDEX=SPX INDEX</stp>
        <tr r="J20" s="13"/>
      </tp>
      <tp t="s">
        <v>#N/A N/A</v>
        <stp/>
        <stp>##V3_BDPV12</stp>
        <stp>USHBMIDX Index</stp>
        <stp>BN SURVEY MEDIAN</stp>
        <stp>[GMIC Info Template.xlsm]ECO Calendar!R110C8</stp>
        <tr r="H110" s="2"/>
      </tp>
      <tp>
        <v>0.57616907011698137</v>
        <stp/>
        <stp>##V3_BDPV12</stp>
        <stp>IBM US Equity</stp>
        <stp>BETA RAW OVERRIDABLE</stp>
        <stp>[GMIC Info Template.xlsm]Security Analysis!R21C10</stp>
        <stp>BETA_OVERRIDE_REL_INDEX=SPX INDEX</stp>
        <tr r="J21" s="13"/>
      </tp>
      <tp t="s">
        <v>US Industrial Production Industry Groups Manufacturing MoM SA</v>
        <stp/>
        <stp>##V3_BDPV12</stp>
        <stp>IPMGCHNG Index</stp>
        <stp>Long Comp Name</stp>
        <stp>[GMIC Info Template.xlsm]ECO Calendar!R106C3</stp>
        <tr r="C106" s="2"/>
      </tp>
      <tp t="s">
        <v>5/21/2015</v>
        <stp/>
        <stp>##V3_BDPV12</stp>
        <stp>OUTFGAF Index</stp>
        <stp>ECO RELEASE DT</stp>
        <stp>[GMIC Info Template.xlsm]ECO Calendar!R116C16</stp>
        <tr r="P116" s="2"/>
      </tp>
      <tp t="s">
        <v>None</v>
        <stp/>
        <stp>##V3_BDPV12</stp>
        <stp>EMPRGBCI Index</stp>
        <stp>SCALING FORMAT</stp>
        <stp>[GMIC Info Template.xlsm]ECO Calendar!R107C10</stp>
        <tr r="J107" s="2"/>
      </tp>
      <tp>
        <v>92.063500000000005</v>
        <stp/>
        <stp>##V3_BDPV12</stp>
        <stp>DGNOCHNG Index</stp>
        <stp>RELEVANCE VALUE</stp>
        <stp>[GMIC Info Template.xlsm]ECO Calendar!R31C19</stp>
        <tr r="S31" s="2"/>
      </tp>
      <tp>
        <v>46.825400000000002</v>
        <stp/>
        <stp>##V3_BDPV12</stp>
        <stp>SAARTOTL Index</stp>
        <stp>RELEVANCE VALUE</stp>
        <stp>[GMIC Info Template.xlsm]ECO Calendar!R64C19</stp>
        <tr r="S64" s="2"/>
      </tp>
      <tp>
        <v>61.904800000000002</v>
        <stp/>
        <stp>##V3_BDPV12</stp>
        <stp>SBOITOTL Index</stp>
        <stp>RELEVANCE VALUE</stp>
        <stp>[GMIC Info Template.xlsm]ECO Calendar!R90C19</stp>
        <tr r="S90" s="2"/>
      </tp>
      <tp t="s">
        <v>1/31/2015</v>
        <stp/>
        <stp>##V3_BDPV12</stp>
        <stp>FRNTTOTL Index</stp>
        <stp>PRIOR OBSERVATION DATE</stp>
        <stp>[GMIC Info Template.xlsm]ECO Calendar!R108C14</stp>
        <tr r="N108" s="2"/>
      </tp>
      <tp t="s">
        <v>1/31/2015</v>
        <stp/>
        <stp>##V3_BDPV12</stp>
        <stp>FRNTTNET Index</stp>
        <stp>PRIOR OBSERVATION DATE</stp>
        <stp>[GMIC Info Template.xlsm]ECO Calendar!R109C14</stp>
        <tr r="N109" s="2"/>
      </tp>
      <tp t="s">
        <v>5/14/2015</v>
        <stp/>
        <stp>##V3_BDPV12</stp>
        <stp>FDIDSGMO Index</stp>
        <stp>ECO RELEASE DT</stp>
        <stp>[GMIC Info Template.xlsm]ECO Calendar!R100C16</stp>
        <tr r="P100" s="2"/>
      </tp>
      <tp t="s">
        <v>5/14/2015</v>
        <stp/>
        <stp>##V3_BDPV12</stp>
        <stp>FDIUSGUY Index</stp>
        <stp>ECO RELEASE DT</stp>
        <stp>[GMIC Info Template.xlsm]ECO Calendar!R103C16</stp>
        <tr r="P103" s="2"/>
      </tp>
      <tp t="s">
        <v>5/14/2015</v>
        <stp/>
        <stp>##V3_BDPV12</stp>
        <stp>FDIDSGUM Index</stp>
        <stp>ECO RELEASE DT</stp>
        <stp>[GMIC Info Template.xlsm]ECO Calendar!R102C16</stp>
        <tr r="P102" s="2"/>
      </tp>
      <tp t="s">
        <v>5/14/2015</v>
        <stp/>
        <stp>##V3_BDPV12</stp>
        <stp>FDIUSGYO Index</stp>
        <stp>ECO RELEASE DT</stp>
        <stp>[GMIC Info Template.xlsm]ECO Calendar!R101C16</stp>
        <tr r="P101" s="2"/>
      </tp>
      <tp t="s">
        <v>10:00:00 AM</v>
        <stp/>
        <stp>##V3_BDPV12</stp>
        <stp>ETSLTOTL Index</stp>
        <stp>ECO RELEASE TIME</stp>
        <stp>[GMIC Info Template.xlsm]ECO Calendar!R22C18</stp>
        <tr r="R22" s="2"/>
      </tp>
      <tp t="s">
        <v>Monthly</v>
        <stp/>
        <stp>##V3_BDPV12</stp>
        <stp>MTIBCHNG Index</stp>
        <stp>INDX FREQ</stp>
        <stp>[GMIC Info Template.xlsm]ECO Calendar!R97C15</stp>
        <tr r="O97" s="2"/>
      </tp>
      <tp>
        <v>17.338099871361781</v>
        <stp/>
        <stp>##V3_BDPV12</stp>
        <stp>MCD US Equity</stp>
        <stp>PROF MARGIN</stp>
        <stp>[GMIC Info Template.xlsm]Security Analysis!R30C24</stp>
        <tr r="X30" s="13"/>
      </tp>
      <tp t="s">
        <v>Monthly</v>
        <stp/>
        <stp>##V3_BDPV12</stp>
        <stp>ETSLTOTL Index</stp>
        <stp>INDX FREQ</stp>
        <stp>[GMIC Info Template.xlsm]ECO Calendar!R22C15</stp>
        <tr r="O22" s="2"/>
      </tp>
      <tp>
        <v>1.0806</v>
        <stp/>
        <stp>##V3_BDPV12</stp>
        <stp>EURUSD CURNCY</stp>
        <stp>PX LAST</stp>
        <stp>[GMIC Info Template.xlsm]Currencies &amp; Commodities!R12C4</stp>
        <tr r="D12" s="3"/>
      </tp>
      <tp t="s">
        <v>GENMARK DIAGNOSTICS INC</v>
        <stp/>
        <stp>##V3_BDPV12</stp>
        <stp>GNMK US EQUITY</stp>
        <stp>NAME</stp>
        <stp>[GMIC Info Template.xlsm]Most Up &amp; Down!R26C9</stp>
        <tr r="I26" s="9"/>
      </tp>
      <tp t="s">
        <v>Monthly</v>
        <stp/>
        <stp>##V3_BDPV12</stp>
        <stp>MWINCHNG Index</stp>
        <stp>INDX FREQ</stp>
        <stp>[GMIC Info Template.xlsm]ECO Calendar!R85C15</stp>
        <tr r="O85" s="2"/>
      </tp>
      <tp>
        <v>15.574620533609881</v>
        <stp/>
        <stp>##V3_BDPV12</stp>
        <stp>MMM US Equity</stp>
        <stp>PROF MARGIN</stp>
        <stp>[GMIC Info Template.xlsm]Security Analysis!R29C24</stp>
        <tr r="X29" s="13"/>
      </tp>
      <tp>
        <v>28.221701351895256</v>
        <stp/>
        <stp>##V3_BDPV12</stp>
        <stp>MRK US Equity</stp>
        <stp>PROF MARGIN</stp>
        <stp>[GMIC Info Template.xlsm]Security Analysis!R20C24</stp>
        <tr r="X20" s="13"/>
      </tp>
      <tp t="s">
        <v>TROVAGENE INC</v>
        <stp/>
        <stp>##V3_BDPV12</stp>
        <stp>TROV US EQUITY</stp>
        <stp>NAME</stp>
        <stp>[GMIC Info Template.xlsm]Most Up &amp; Down!R14C9</stp>
        <tr r="I14" s="9"/>
      </tp>
      <tp>
        <v>22.161899999999999</v>
        <stp/>
        <stp>##V3_BDPV12</stp>
        <stp>MOKO US EQUITY</stp>
        <stp>CHG PCT 1D</stp>
        <stp>[GMIC Info Template.xlsm]Most Up &amp; Down!R13C12</stp>
        <tr r="L13" s="9"/>
      </tp>
      <tp t="s">
        <v>Monthly</v>
        <stp/>
        <stp>##V3_BDPV12</stp>
        <stp>CPI CHNG Index</stp>
        <stp>INDX FREQ</stp>
        <stp>[GMIC Info Template.xlsm]ECO Calendar!R12C15</stp>
        <tr r="O12" s="2"/>
      </tp>
      <tp t="s">
        <v>Monthly</v>
        <stp/>
        <stp>##V3_BDPV12</stp>
        <stp>LEI CHNG Index</stp>
        <stp>INDX FREQ</stp>
        <stp>[GMIC Info Template.xlsm]ECO Calendar!R18C15</stp>
        <tr r="O18" s="2"/>
      </tp>
      <tp t="s">
        <v>US CPI Urban Consumers Less Fo</v>
        <stp/>
        <stp>##V3_BDPV12</stp>
        <stp>CPUPXCHG Index</stp>
        <stp>NAME</stp>
        <stp>[GMIC Info Template.xlsm]ECO Calendar!R13C6</stp>
        <tr r="F13" s="2"/>
      </tp>
      <tp>
        <v>1.7340639999999998</v>
        <stp/>
        <stp>##V3_BDPV12</stp>
        <stp>CSCO US Equity</stp>
        <stp>TRAIL 12M EPS</stp>
        <stp>[GMIC Info Template.xlsm]Security Analysis!R25C14</stp>
        <tr r="N25" s="13"/>
      </tp>
      <tp t="s">
        <v>Monthly</v>
        <stp/>
        <stp>##V3_BDPV12</stp>
        <stp>CGNOXAI% Index</stp>
        <stp>INDX FREQ</stp>
        <stp>[GMIC Info Template.xlsm]ECO Calendar!R33C15</stp>
        <tr r="O33" s="2"/>
      </tp>
      <tp t="s">
        <v>Challenger US Job Cut Announce</v>
        <stp/>
        <stp>##V3_BDPV12</stp>
        <stp>CHALYOY% Index</stp>
        <stp>NAME</stp>
        <stp>[GMIC Info Template.xlsm]ECO Calendar!R72C6</stp>
        <tr r="F72" s="2"/>
      </tp>
      <tp t="s">
        <v>Capital Goods New Orders Nonde</v>
        <stp/>
        <stp>##V3_BDPV12</stp>
        <stp>CGNOXAI% Index</stp>
        <stp>NAME</stp>
        <stp>[GMIC Info Template.xlsm]ECO Calendar!R33C6</stp>
        <tr r="F33" s="2"/>
      </tp>
      <tp t="s">
        <v>United States</v>
        <stp/>
        <stp>##V3_BDPV12</stp>
        <stp>NAPMPRIC Index</stp>
        <stp>REGION OR COUNTRY</stp>
        <stp>[GMIC Info Template.xlsm]ECO Calendar!R63C20</stp>
        <tr r="T63" s="2"/>
      </tp>
      <tp t="s">
        <v>USD</v>
        <stp/>
        <stp>##V3_BDPV12</stp>
        <stp>MMM US Equity</stp>
        <stp>CRNCY</stp>
        <stp>[GMIC Info Template.xlsm]Security Analysis!R29C12</stp>
        <tr r="L29" s="13"/>
      </tp>
      <tp t="s">
        <v>USD</v>
        <stp/>
        <stp>##V3_BDPV12</stp>
        <stp>IBM US Equity</stp>
        <stp>CRNCY</stp>
        <stp>[GMIC Info Template.xlsm]Security Analysis!R21C12</stp>
        <tr r="L21" s="13"/>
      </tp>
      <tp t="s">
        <v>USD</v>
        <stp/>
        <stp>##V3_BDPV12</stp>
        <stp>JPM US Equity</stp>
        <stp>CRNCY</stp>
        <stp>[GMIC Info Template.xlsm]Security Analysis!R13C12</stp>
        <tr r="L13" s="13"/>
      </tp>
      <tp>
        <v>0.69728044356240382</v>
        <stp/>
        <stp>##V3_BDPV12</stp>
        <stp>WMT US Equity</stp>
        <stp>BETA RAW OVERRIDABLE</stp>
        <stp>[GMIC Info Template.xlsm]Security Analysis!R12C10</stp>
        <stp>BETA_OVERRIDE_REL_INDEX=SPX INDEX</stp>
        <tr r="J12" s="13"/>
      </tp>
      <tp>
        <v>0.95692855537149091</v>
        <stp/>
        <stp>##V3_BDPV12</stp>
        <stp>PFE US Equity</stp>
        <stp>BETA RAW OVERRIDABLE</stp>
        <stp>[GMIC Info Template.xlsm]Security Analysis!R15C10</stp>
        <stp>BETA_OVERRIDE_REL_INDEX=SPX INDEX</stp>
        <tr r="J15" s="13"/>
      </tp>
      <tp t="s">
        <v>None</v>
        <stp/>
        <stp>##V3_BDPV12</stp>
        <stp>KCLSSACI Index</stp>
        <stp>SCALING FORMAT</stp>
        <stp>[GMIC Info Template.xlsm]ECO Calendar!R28C10</stp>
        <tr r="J28" s="2"/>
      </tp>
      <tp t="s">
        <v>4/30/2015</v>
        <stp/>
        <stp>##V3_BDPV12</stp>
        <stp>CHPMINDX Index</stp>
        <stp>ECO RELEASE DT</stp>
        <stp>[GMIC Info Template.xlsm]ECO Calendar!R59C16</stp>
        <tr r="P59" s="2"/>
      </tp>
      <tp t="s">
        <v>2/28/2013</v>
        <stp/>
        <stp>##V3_BDPV12</stp>
        <stp>ECONGECC Index</stp>
        <stp>PRIOR OBSERVATION DATE</stp>
        <stp>[GMIC Info Template.xlsm]ECO Calendar!R84C14</stp>
        <tr r="N84" s="2"/>
      </tp>
      <tp t="s">
        <v>4/30/2015</v>
        <stp/>
        <stp>##V3_BDPV12</stp>
        <stp>MAPMINDX Index</stp>
        <stp>ECO RELEASE DT</stp>
        <stp>[GMIC Info Template.xlsm]ECO Calendar!R60C16</stp>
        <tr r="P60" s="2"/>
      </tp>
      <tp t="s">
        <v>US New Privately Owned Housing Units Started by Structure Total SAAR</v>
        <stp/>
        <stp>##V3_BDPV12</stp>
        <stp>NHSPSTOT Index</stp>
        <stp>Long Comp Name</stp>
        <stp>[GMIC Info Template.xlsm]ECO Calendar!R111C3</stp>
        <tr r="C111" s="2"/>
      </tp>
      <tp>
        <v>3174859.7550000004</v>
        <stp/>
        <stp>##V3_BDPV12</stp>
        <stp>AXPW US EQUITY</stp>
        <stp>CUR MKT CAP</stp>
        <stp>[GMIC Info Template.xlsm]Most Up &amp; Down!R11C13</stp>
        <tr r="M11" s="9"/>
      </tp>
      <tp t="s">
        <v>None</v>
        <stp/>
        <stp>##V3_BDPV12</stp>
        <stp>DFEDGBA Index</stp>
        <stp>SCALING FORMAT</stp>
        <stp>[GMIC Info Template.xlsm]ECO Calendar!R37C10</stp>
        <tr r="J37" s="2"/>
      </tp>
      <tp t="s">
        <v>5/22/2015</v>
        <stp/>
        <stp>##V3_BDPV12</stp>
        <stp>CPUPAXFE Index</stp>
        <stp>ECO RELEASE DT</stp>
        <stp>[GMIC Info Template.xlsm]ECO Calendar!R16C16</stp>
        <tr r="P16" s="2"/>
      </tp>
      <tp>
        <v>14416575.710000001</v>
        <stp/>
        <stp>##V3_BDPV12</stp>
        <stp>SPPR US EQUITY</stp>
        <stp>CUR MKT CAP</stp>
        <stp>[GMIC Info Template.xlsm]Most Up &amp; Down!R10C13</stp>
        <tr r="M10" s="9"/>
      </tp>
      <tp>
        <v>1.2471668821962956</v>
        <stp/>
        <stp>##V3_BDPV12</stp>
        <stp>CVX US Equity</stp>
        <stp>BETA RAW OVERRIDABLE</stp>
        <stp>[GMIC Info Template.xlsm]Security Analysis!R16C10</stp>
        <stp>BETA_OVERRIDE_REL_INDEX=SPX INDEX</stp>
        <tr r="J16" s="13"/>
      </tp>
      <tp t="s">
        <v>Federal Reserve Consumer Credit Total Net Change SA</v>
        <stp/>
        <stp>##V3_BDPV12</stp>
        <stp>CICRTOT Index</stp>
        <stp>Long Comp Name</stp>
        <stp>[GMIC Info Template.xlsm]ECO Calendar!R73C3</stp>
        <tr r="C73" s="2"/>
      </tp>
      <tp>
        <v>1.159905576822577</v>
        <stp/>
        <stp>##V3_BDPV12</stp>
        <stp>DIS US Equity</stp>
        <stp>BETA RAW OVERRIDABLE</stp>
        <stp>[GMIC Info Template.xlsm]Security Analysis!R18C10</stp>
        <stp>BETA_OVERRIDE_REL_INDEX=SPX INDEX</stp>
        <tr r="J18" s="13"/>
      </tp>
      <tp t="s">
        <v>None</v>
        <stp/>
        <stp>##V3_BDPV12</stp>
        <stp>FDIUFDYO Index</stp>
        <stp>SCALING FORMAT</stp>
        <stp>[GMIC Info Template.xlsm]ECO Calendar!R99C10</stp>
        <tr r="J99" s="2"/>
      </tp>
      <tp t="s">
        <v>ISM Non-Manufacturing NMI NSA</v>
        <stp/>
        <stp>##V3_BDPV12</stp>
        <stp>NAPMNMI Index</stp>
        <stp>Long Comp Name</stp>
        <stp>[GMIC Info Template.xlsm]ECO Calendar!R69C3</stp>
        <tr r="C69" s="2"/>
      </tp>
      <tp>
        <v>1.2155696235231481</v>
        <stp/>
        <stp>##V3_BDPV12</stp>
        <stp>JPM US Equity</stp>
        <stp>BETA RAW OVERRIDABLE</stp>
        <stp>[GMIC Info Template.xlsm]Security Analysis!R13C10</stp>
        <stp>BETA_OVERRIDE_REL_INDEX=SPX INDEX</stp>
        <tr r="J13" s="13"/>
      </tp>
      <tp t="s">
        <v>Percent SA</v>
        <stp/>
        <stp>##V3_BDPV12</stp>
        <stp>USUDMAER Index</stp>
        <stp>SEASONALITY AND TRANSFORMATION</stp>
        <stp>[GMIC Info Template.xlsm]ECO Calendar!R82C11</stp>
        <tr r="K82" s="2"/>
      </tp>
      <tp>
        <v>0.93725362185025596</v>
        <stp/>
        <stp>##V3_BDPV12</stp>
        <stp>JNJ US Equity</stp>
        <stp>BETA RAW OVERRIDABLE</stp>
        <stp>[GMIC Info Template.xlsm]Security Analysis!R10C10</stp>
        <stp>BETA_OVERRIDE_REL_INDEX=SPX INDEX</stp>
        <tr r="J10" s="13"/>
      </tp>
      <tp t="s">
        <v>10:00:00 AM</v>
        <stp/>
        <stp>##V3_BDPV12</stp>
        <stp>CONSCURR Index</stp>
        <stp>ECO RELEASE TIME</stp>
        <stp>[GMIC Info Template.xlsm]ECO Calendar!R11C18</stp>
        <tr r="R11" s="2"/>
      </tp>
      <tp t="s">
        <v>Thousand</v>
        <stp/>
        <stp>##V3_BDPV12</stp>
        <stp>INJCJCNS Index</stp>
        <stp>SCALING FORMAT</stp>
        <stp>[GMIC Info Template.xlsm]ECO Calendar!R117C10</stp>
        <tr r="J117" s="2"/>
      </tp>
      <tp t="s">
        <v>8:30:00 AM</v>
        <stp/>
        <stp>##V3_BDPV12</stp>
        <stp>PCE CYOY Index</stp>
        <stp>ECO RELEASE TIME</stp>
        <stp>[GMIC Info Template.xlsm]ECO Calendar!R55C18</stp>
        <tr r="R55" s="2"/>
      </tp>
      <tp>
        <v>1.5872999999999999</v>
        <stp/>
        <stp>##V3_BDPV12</stp>
        <stp>SPCSUSQS Index</stp>
        <stp>RELEVANCE VALUE</stp>
        <stp>[GMIC Info Template.xlsm]ECO Calendar!R43C19</stp>
        <tr r="S43" s="2"/>
      </tp>
      <tp>
        <v>34.9206</v>
        <stp/>
        <stp>##V3_BDPV12</stp>
        <stp>SPCSUSAY Index</stp>
        <stp>RELEVANCE VALUE</stp>
        <stp>[GMIC Info Template.xlsm]ECO Calendar!R40C19</stp>
        <tr r="S40" s="2"/>
      </tp>
      <tp>
        <v>1.4962</v>
        <stp/>
        <stp>##V3_BDPV12</stp>
        <stp>GBPUSD CURNCY</stp>
        <stp>PX LAST</stp>
        <stp>[GMIC Info Template.xlsm]Currencies &amp; Commodities!R11C4</stp>
        <tr r="D11" s="3"/>
      </tp>
      <tp>
        <v>0.72604709999999995</v>
        <stp/>
        <stp>##V3_BDPV12</stp>
        <stp>MRK US Equity</stp>
        <stp>CHG PCT 1YR</stp>
        <stp>[GMIC Info Template.xlsm]Security Analysis!R20C18</stp>
        <tr r="R20" s="13"/>
      </tp>
      <tp t="s">
        <v>Monthly</v>
        <stp/>
        <stp>##V3_BDPV12</stp>
        <stp>ECONUSIB Index</stp>
        <stp>INDX FREQ</stp>
        <stp>[GMIC Info Template.xlsm]ECO Calendar!R70C15</stp>
        <tr r="O70" s="2"/>
      </tp>
      <tp t="s">
        <v>United States</v>
        <stp/>
        <stp>##V3_BDPV12</stp>
        <stp>CHALYOY% Index</stp>
        <stp>REGION OR COUNTRY</stp>
        <stp>[GMIC Info Template.xlsm]ECO Calendar!R72C20</stp>
        <tr r="T72" s="2"/>
      </tp>
      <tp t="s">
        <v>WALT DISNEY CO</v>
        <stp/>
        <stp>##V3_BDPV12</stp>
        <stp>DIS US Equity</stp>
        <stp>SHORT NAME</stp>
        <stp>[GMIC Info Template.xlsm]Security Analysis!R18C2</stp>
        <tr r="B18" s="13"/>
      </tp>
      <tp t="s">
        <v>ATHERSYS INC</v>
        <stp/>
        <stp>##V3_BDPV12</stp>
        <stp>ATHX US EQUITY</stp>
        <stp>NAME</stp>
        <stp>[GMIC Info Template.xlsm]Most Up &amp; Down!R22C9</stp>
        <tr r="I22" s="9"/>
      </tp>
      <tp>
        <v>-5.3566079999999996</v>
        <stp/>
        <stp>##V3_BDPV12</stp>
        <stp>MCD US Equity</stp>
        <stp>CHG PCT 1YR</stp>
        <stp>[GMIC Info Template.xlsm]Security Analysis!R30C18</stp>
        <tr r="R30" s="13"/>
      </tp>
      <tp>
        <v>17.410879999999999</v>
        <stp/>
        <stp>##V3_BDPV12</stp>
        <stp>MMM US Equity</stp>
        <stp>CHG PCT 1YR</stp>
        <stp>[GMIC Info Template.xlsm]Security Analysis!R29C18</stp>
        <tr r="R29" s="13"/>
      </tp>
      <tp t="s">
        <v>US Trade Balance of Goods and</v>
        <stp/>
        <stp>##V3_BDPV12</stp>
        <stp>USTBTOT Index</stp>
        <stp>NAME</stp>
        <stp>[GMIC Info Template.xlsm]ECO Calendar!R68C6</stp>
        <tr r="F68" s="2"/>
      </tp>
      <tp t="s">
        <v>United States</v>
        <stp/>
        <stp>##V3_BDPV12</stp>
        <stp>JOLTTOTL Index</stp>
        <stp>REGION OR COUNTRY</stp>
        <stp>[GMIC Info Template.xlsm]ECO Calendar!R88C20</stp>
        <tr r="T88" s="2"/>
      </tp>
      <tp>
        <v>-15.68323</v>
        <stp/>
        <stp>##V3_BDPV12</stp>
        <stp>GNMK US EQUITY</stp>
        <stp>CHG PCT 1D</stp>
        <stp>[GMIC Info Template.xlsm]Most Up &amp; Down!R26C12</stp>
        <tr r="L26" s="9"/>
      </tp>
      <tp t="s">
        <v>Monthly</v>
        <stp/>
        <stp>##V3_BDPV12</stp>
        <stp>PCE CRCH Index</stp>
        <stp>INDX FREQ</stp>
        <stp>[GMIC Info Template.xlsm]ECO Calendar!R53C15</stp>
        <tr r="O53" s="2"/>
      </tp>
      <tp>
        <v>-16.244730000000001</v>
        <stp/>
        <stp>##V3_BDPV12</stp>
        <stp>FNRG US EQUITY</stp>
        <stp>CHG PCT 1D</stp>
        <stp>[GMIC Info Template.xlsm]Most Up &amp; Down!R25C12</stp>
        <tr r="L25" s="9"/>
      </tp>
      <tp>
        <v>18.989849616240615</v>
        <stp/>
        <stp>##V3_BDPV12</stp>
        <stp>CVX US Equity</stp>
        <stp>EBITDA MARGIN</stp>
        <stp>[GMIC Info Template.xlsm]Security Analysis!R16C22</stp>
        <tr r="V16" s="13"/>
      </tp>
      <tp>
        <v>17.93548387096774</v>
        <stp/>
        <stp>##V3_BDPV12</stp>
        <stp>UTX US Equity</stp>
        <stp>EBITDA MARGIN</stp>
        <stp>[GMIC Info Template.xlsm]Security Analysis!R28C22</stp>
        <tr r="V28" s="13"/>
      </tp>
      <tp>
        <v>5.2123090000000003</v>
        <stp/>
        <stp>##V3_BDPV12</stp>
        <stp>AXP US Equity</stp>
        <stp>TRAIL 12M EPS</stp>
        <stp>[GMIC Info Template.xlsm]Security Analysis!R33C14</stp>
        <tr r="N33" s="13"/>
      </tp>
      <tp t="s">
        <v>Monthly</v>
        <stp/>
        <stp>##V3_BDPV12</stp>
        <stp>CPI XYOY Index</stp>
        <stp>INDX FREQ</stp>
        <stp>[GMIC Info Template.xlsm]ECO Calendar!R15C15</stp>
        <tr r="O15" s="2"/>
      </tp>
      <tp t="s">
        <v>10:00:00 AM</v>
        <stp/>
        <stp>##V3_BDPV12</stp>
        <stp>ETSLMOM Index</stp>
        <stp>ECO RELEASE TIME</stp>
        <stp>[GMIC Info Template.xlsm]ECO Calendar!R23C18</stp>
        <tr r="R23" s="2"/>
      </tp>
      <tp t="s">
        <v>2/28/2015</v>
        <stp/>
        <stp>##V3_BDPV12</stp>
        <stp>RSTAXMOM Index</stp>
        <stp>PRIOR OBSERVATION DATE</stp>
        <stp>[GMIC Info Template.xlsm]ECO Calendar!R94C14</stp>
        <tr r="N94" s="2"/>
      </tp>
      <tp t="s">
        <v>2/28/2015</v>
        <stp/>
        <stp>##V3_BDPV12</stp>
        <stp>RSTAXAGM Index</stp>
        <stp>PRIOR OBSERVATION DATE</stp>
        <stp>[GMIC Info Template.xlsm]ECO Calendar!R96C14</stp>
        <tr r="N96" s="2"/>
      </tp>
      <tp>
        <v>77.88</v>
        <stp/>
        <stp>##V3_BDPV12</stp>
        <stp>WMT US Equity</stp>
        <stp>PX ASK</stp>
        <stp>[GMIC Info Template.xlsm]Security Analysis!R12C13</stp>
        <tr r="M12" s="13"/>
      </tp>
      <tp>
        <v>118.69</v>
        <stp/>
        <stp>##V3_BDPV12</stp>
        <stp>UNH US Equity</stp>
        <stp>PX ASK</stp>
        <stp>[GMIC Info Template.xlsm]Security Analysis!R26C13</stp>
        <tr r="M26" s="13"/>
      </tp>
      <tp>
        <v>115.12</v>
        <stp/>
        <stp>##V3_BDPV12</stp>
        <stp>UTX US Equity</stp>
        <stp>PX ASK</stp>
        <stp>[GMIC Info Template.xlsm]Security Analysis!R28C13</stp>
        <tr r="M28" s="13"/>
      </tp>
      <tp>
        <v>105.43</v>
        <stp/>
        <stp>##V3_BDPV12</stp>
        <stp>TRV US Equity</stp>
        <stp>PX ASK</stp>
        <stp>[GMIC Info Template.xlsm]Security Analysis!R36C13</stp>
        <tr r="M36" s="13"/>
      </tp>
      <tp>
        <v>35.01</v>
        <stp/>
        <stp>##V3_BDPV12</stp>
        <stp>PFE US Equity</stp>
        <stp>PX ASK</stp>
        <stp>[GMIC Info Template.xlsm]Security Analysis!R15C13</stp>
        <tr r="M15" s="13"/>
      </tp>
      <tp>
        <v>33.865365365365363</v>
        <stp/>
        <stp>##V3_BDPV12</stp>
        <stp>AAPL US Equity</stp>
        <stp>EBITDA MARGIN</stp>
        <stp>[GMIC Info Template.xlsm]Security Analysis!R7C22</stp>
        <tr r="V7" s="13"/>
      </tp>
      <tp>
        <v>106.7</v>
        <stp/>
        <stp>##V3_BDPV12</stp>
        <stp>DIS US Equity</stp>
        <stp>PX ASK</stp>
        <stp>[GMIC Info Template.xlsm]Security Analysis!R18C13</stp>
        <tr r="M18" s="13"/>
      </tp>
      <tp>
        <v>83.28</v>
        <stp/>
        <stp>##V3_BDPV12</stp>
        <stp>CAT US Equity</stp>
        <stp>PX ASK</stp>
        <stp>[GMIC Info Template.xlsm]Security Analysis!R35C13</stp>
        <tr r="M35" s="13"/>
      </tp>
      <tp>
        <v>109.14</v>
        <stp/>
        <stp>##V3_BDPV12</stp>
        <stp>CVX US Equity</stp>
        <stp>PX ASK</stp>
        <stp>[GMIC Info Template.xlsm]Security Analysis!R16C13</stp>
        <tr r="M16" s="13"/>
      </tp>
      <tp t="s">
        <v>US CPI Urban Consumers NSA</v>
        <stp/>
        <stp>##V3_BDPV12</stp>
        <stp>CPURNSA Index</stp>
        <stp>Long Comp Name</stp>
        <stp>[GMIC Info Template.xlsm]ECO Calendar!R17C3</stp>
        <tr r="C17" s="2"/>
      </tp>
      <tp>
        <v>77.36</v>
        <stp/>
        <stp>##V3_BDPV12</stp>
        <stp>AXP US Equity</stp>
        <stp>PX ASK</stp>
        <stp>[GMIC Info Template.xlsm]Security Analysis!R33C13</stp>
        <tr r="M33" s="13"/>
      </tp>
      <tp t="s">
        <v>#N/A N/A</v>
        <stp/>
        <stp>##V3_BDPV12</stp>
        <stp>NHCHATCH Index</stp>
        <stp>BN SURVEY MEDIAN</stp>
        <stp>[GMIC Info Template.xlsm]ECO Calendar!R114C8</stp>
        <tr r="H114" s="2"/>
      </tp>
      <tp t="s">
        <v>Private Total Housing Authorized by Building Permits MoM SA</v>
        <stp/>
        <stp>##V3_BDPV12</stp>
        <stp>NHCHATCH Index</stp>
        <stp>Long Comp Name</stp>
        <stp>[GMIC Info Template.xlsm]ECO Calendar!R114C3</stp>
        <tr r="C114" s="2"/>
      </tp>
      <tp>
        <v>98.54</v>
        <stp/>
        <stp>##V3_BDPV12</stp>
        <stp>NKE US Equity</stp>
        <stp>PX ASK</stp>
        <stp>[GMIC Info Template.xlsm]Security Analysis!R32C13</stp>
        <tr r="M32" s="13"/>
      </tp>
      <tp t="s">
        <v>#N/A N/A</v>
        <stp/>
        <stp>##V3_BDPV12</stp>
        <stp>ECONUSIB Index</stp>
        <stp>PRIOR OBSERVATION DATE</stp>
        <stp>[GMIC Info Template.xlsm]ECO Calendar!R70C14</stp>
        <tr r="N70" s="2"/>
      </tp>
      <tp>
        <v>94.88</v>
        <stp/>
        <stp>##V3_BDPV12</stp>
        <stp>MCD US Equity</stp>
        <stp>PX ASK</stp>
        <stp>[GMIC Info Template.xlsm]Security Analysis!R30C13</stp>
        <tr r="M30" s="13"/>
      </tp>
      <tp>
        <v>161.72</v>
        <stp/>
        <stp>##V3_BDPV12</stp>
        <stp>MMM US Equity</stp>
        <stp>PX ASK</stp>
        <stp>[GMIC Info Template.xlsm]Security Analysis!R29C13</stp>
        <tr r="M29" s="13"/>
      </tp>
      <tp>
        <v>56.9</v>
        <stp/>
        <stp>##V3_BDPV12</stp>
        <stp>MRK US Equity</stp>
        <stp>PX ASK</stp>
        <stp>[GMIC Info Template.xlsm]Security Analysis!R20C13</stp>
        <tr r="M20" s="13"/>
      </tp>
      <tp t="s">
        <v>#N/A N/A</v>
        <stp/>
        <stp>##V3_BDPV12</stp>
        <stp>CPUPXCHG Index</stp>
        <stp>SEASONALITY AND TRANSFORMATION</stp>
        <stp>[GMIC Info Template.xlsm]ECO Calendar!R13C11</stp>
        <tr r="K13" s="2"/>
      </tp>
      <tp t="s">
        <v>5/13/2015</v>
        <stp/>
        <stp>##V3_BDPV12</stp>
        <stp>IMP1YOY% Index</stp>
        <stp>ECO RELEASE DT</stp>
        <stp>[GMIC Info Template.xlsm]ECO Calendar!R92C16</stp>
        <tr r="P92" s="2"/>
      </tp>
      <tp>
        <v>99.6</v>
        <stp/>
        <stp>##V3_BDPV12</stp>
        <stp>JNJ US Equity</stp>
        <stp>PX ASK</stp>
        <stp>[GMIC Info Template.xlsm]Security Analysis!R10C13</stp>
        <tr r="M10" s="13"/>
      </tp>
      <tp>
        <v>62.85</v>
        <stp/>
        <stp>##V3_BDPV12</stp>
        <stp>JPM US Equity</stp>
        <stp>PX ASK</stp>
        <stp>[GMIC Info Template.xlsm]Security Analysis!R13C13</stp>
        <tr r="M13" s="13"/>
      </tp>
      <tp>
        <v>160.84</v>
        <stp/>
        <stp>##V3_BDPV12</stp>
        <stp>IBM US Equity</stp>
        <stp>PX ASK</stp>
        <stp>[GMIC Info Template.xlsm]Security Analysis!R21C13</stp>
        <tr r="M21" s="13"/>
      </tp>
      <tp t="s">
        <v>% Balance/Diffusion Index SA</v>
        <stp/>
        <stp>##V3_BDPV12</stp>
        <stp>USHBMIDX Index</stp>
        <stp>SEASONALITY AND TRANSFORMATION</stp>
        <stp>[GMIC Info Template.xlsm]ECO Calendar!R110C11</stp>
        <tr r="K110" s="2"/>
      </tp>
      <tp>
        <v>36.507899999999999</v>
        <stp/>
        <stp>##V3_BDPV12</stp>
        <stp>CPURNSA Index</stp>
        <stp>RELEVANCE VALUE</stp>
        <stp>[GMIC Info Template.xlsm]ECO Calendar!R17C19</stp>
        <tr r="S17" s="2"/>
      </tp>
      <tp>
        <v>77.777799999999999</v>
        <stp/>
        <stp>##V3_BDPV12</stp>
        <stp>USPHTMOM Index</stp>
        <stp>RELEVANCE VALUE</stp>
        <stp>[GMIC Info Template.xlsm]ECO Calendar!R46C19</stp>
        <tr r="S46" s="2"/>
      </tp>
      <tp>
        <v>89.285700000000006</v>
        <stp/>
        <stp>##V3_BDPV12</stp>
        <stp>USURTOT Index</stp>
        <stp>RELEVANCE VALUE</stp>
        <stp>[GMIC Info Template.xlsm]ECO Calendar!R75C19</stp>
        <tr r="S75" s="2"/>
      </tp>
      <tp>
        <v>31.745999999999999</v>
        <stp/>
        <stp>##V3_BDPV12</stp>
        <stp>USPHTYOY Index</stp>
        <stp>RELEVANCE VALUE</stp>
        <stp>[GMIC Info Template.xlsm]ECO Calendar!R47C19</stp>
        <tr r="S47" s="2"/>
      </tp>
      <tp t="s">
        <v>8:30:00 AM</v>
        <stp/>
        <stp>##V3_BDPV12</stp>
        <stp>USMMMNCH Index</stp>
        <stp>ECO RELEASE TIME</stp>
        <stp>[GMIC Info Template.xlsm]ECO Calendar!R76C18</stp>
        <tr r="R76" s="2"/>
      </tp>
      <tp>
        <v>45.238100000000003</v>
        <stp/>
        <stp>##V3_BDPV12</stp>
        <stp>CICRTOT Index</stp>
        <stp>RELEVANCE VALUE</stp>
        <stp>[GMIC Info Template.xlsm]ECO Calendar!R73C19</stp>
        <tr r="S73" s="2"/>
      </tp>
      <tp>
        <v>13.79935</v>
        <stp/>
        <stp>##V3_BDPV12</stp>
        <stp>JPM US Equity</stp>
        <stp>CHG PCT 1YR</stp>
        <stp>[GMIC Info Template.xlsm]Security Analysis!R13C18</stp>
        <tr r="R13" s="13"/>
      </tp>
      <tp t="s">
        <v>United States</v>
        <stp/>
        <stp>##V3_BDPV12</stp>
        <stp>GDP CQOQ Index</stp>
        <stp>REGION OR COUNTRY</stp>
        <stp>[GMIC Info Template.xlsm]ECO Calendar!R48C20</stp>
        <tr r="T48" s="2"/>
      </tp>
      <tp>
        <v>26.218943193747812</v>
        <stp/>
        <stp>##V3_BDPV12</stp>
        <stp>AXP US Equity</stp>
        <stp>OPER MARGIN</stp>
        <stp>[GMIC Info Template.xlsm]Security Analysis!R33C23</stp>
        <tr r="W33" s="13"/>
      </tp>
      <tp>
        <v>0.62651670000000004</v>
        <stp/>
        <stp>##V3_BDPV12</stp>
        <stp>JNJ US Equity</stp>
        <stp>CHG PCT 1YR</stp>
        <stp>[GMIC Info Template.xlsm]Security Analysis!R10C18</stp>
        <tr r="R10" s="13"/>
      </tp>
      <tp t="s">
        <v>US Durable Goods New Orders To</v>
        <stp/>
        <stp>##V3_BDPV12</stp>
        <stp>DGNOXTCH Index</stp>
        <stp>NAME</stp>
        <stp>[GMIC Info Template.xlsm]ECO Calendar!R32C6</stp>
        <tr r="F32" s="2"/>
      </tp>
      <tp t="s">
        <v>US Employees on Nonfarm Payrol</v>
        <stp/>
        <stp>##V3_BDPV12</stp>
        <stp>USMMMNCH Index</stp>
        <stp>NAME</stp>
        <stp>[GMIC Info Template.xlsm]ECO Calendar!R76C6</stp>
        <tr r="F76" s="2"/>
      </tp>
      <tp t="s">
        <v>United States</v>
        <stp/>
        <stp>##V3_BDPV12</stp>
        <stp>USPHTYOY Index</stp>
        <stp>REGION OR COUNTRY</stp>
        <stp>[GMIC Info Template.xlsm]ECO Calendar!R47C20</stp>
        <tr r="T47" s="2"/>
      </tp>
      <tp t="s">
        <v>Quarterly</v>
        <stp/>
        <stp>##V3_BDPV12</stp>
        <stp>GDP PIQQ Index</stp>
        <stp>INDX FREQ</stp>
        <stp>[GMIC Info Template.xlsm]ECO Calendar!R49C15</stp>
        <tr r="O49" s="2"/>
      </tp>
      <tp t="s">
        <v>Markit US Services PMI Busines</v>
        <stp/>
        <stp>##V3_BDPV12</stp>
        <stp>MPMIUSSA Index</stp>
        <stp>NAME</stp>
        <stp>[GMIC Info Template.xlsm]ECO Calendar!R36C6</stp>
        <tr r="F36" s="2"/>
      </tp>
      <tp t="s">
        <v>United States</v>
        <stp/>
        <stp>##V3_BDPV12</stp>
        <stp>USPHTMOM Index</stp>
        <stp>REGION OR COUNTRY</stp>
        <stp>[GMIC Info Template.xlsm]ECO Calendar!R46C20</stp>
        <tr r="T46" s="2"/>
      </tp>
      <tp t="s">
        <v>USD</v>
        <stp/>
        <stp>##V3_BDPV12</stp>
        <stp>MRK US Equity</stp>
        <stp>CRNCY</stp>
        <stp>[GMIC Info Template.xlsm]Security Analysis!R20C12</stp>
        <tr r="L20" s="13"/>
      </tp>
      <tp t="s">
        <v>US GDP Price Index QoQ SAAR</v>
        <stp/>
        <stp>##V3_BDPV12</stp>
        <stp>GDP PIQQ Index</stp>
        <stp>NAME</stp>
        <stp>[GMIC Info Template.xlsm]ECO Calendar!R49C6</stp>
        <tr r="F49" s="2"/>
      </tp>
      <tp t="s">
        <v>US CPI Urban Consumers Less Fo</v>
        <stp/>
        <stp>##V3_BDPV12</stp>
        <stp>CPI XYOY Index</stp>
        <stp>NAME</stp>
        <stp>[GMIC Info Template.xlsm]ECO Calendar!R15C6</stp>
        <tr r="F15" s="2"/>
      </tp>
      <tp t="s">
        <v>1/31/2015</v>
        <stp/>
        <stp>##V3_BDPV12</stp>
        <stp>MWSLCHNG Index</stp>
        <stp>PRIOR OBSERVATION DATE</stp>
        <stp>[GMIC Info Template.xlsm]ECO Calendar!R86C14</stp>
        <tr r="N86" s="2"/>
      </tp>
      <tp t="s">
        <v>Dallas Fed Manufacturing Outlook Level Of General Business Activity</v>
        <stp/>
        <stp>##V3_BDPV12</stp>
        <stp>DFEDGBA Index</stp>
        <stp>Long Comp Name</stp>
        <stp>[GMIC Info Template.xlsm]ECO Calendar!R37C3</stp>
        <tr r="C37" s="2"/>
      </tp>
      <tp t="s">
        <v>1/31/2015</v>
        <stp/>
        <stp>##V3_BDPV12</stp>
        <stp>NHSLCHNG Index</stp>
        <stp>PRIOR OBSERVATION DATE</stp>
        <stp>[GMIC Info Template.xlsm]ECO Calendar!R30C14</stp>
        <tr r="N30" s="2"/>
      </tp>
      <tp>
        <v>19.823087692503499</v>
        <stp/>
        <stp>##V3_BDPV12</stp>
        <stp>CSCO US Equity</stp>
        <stp>OPER MARGIN</stp>
        <stp>[GMIC Info Template.xlsm]Security Analysis!R25C23</stp>
        <tr r="W25" s="13"/>
      </tp>
      <tp t="s">
        <v>2/28/2015</v>
        <stp/>
        <stp>##V3_BDPV12</stp>
        <stp>FDIDFDMO Index</stp>
        <stp>PRIOR OBSERVATION DATE</stp>
        <stp>[GMIC Info Template.xlsm]ECO Calendar!R98C14</stp>
        <tr r="N98" s="2"/>
      </tp>
      <tp t="s">
        <v>Private Housing Units Started by Structure Total Monthly % Change SA</v>
        <stp/>
        <stp>##V3_BDPV12</stp>
        <stp>NHCHSTCH Index</stp>
        <stp>Long Comp Name</stp>
        <stp>[GMIC Info Template.xlsm]ECO Calendar!R113C3</stp>
        <tr r="C113" s="2"/>
      </tp>
      <tp t="s">
        <v>#N/A N/A</v>
        <stp/>
        <stp>##V3_BDPV12</stp>
        <stp>NHCHSTCH Index</stp>
        <stp>BN SURVEY MEDIAN</stp>
        <stp>[GMIC Info Template.xlsm]ECO Calendar!R113C8</stp>
        <tr r="H113" s="2"/>
      </tp>
      <tp t="s">
        <v>1/31/2015</v>
        <stp/>
        <stp>##V3_BDPV12</stp>
        <stp>PITLCHNG Index</stp>
        <stp>PRIOR OBSERVATION DATE</stp>
        <stp>[GMIC Info Template.xlsm]ECO Calendar!R52C14</stp>
        <tr r="N52" s="2"/>
      </tp>
      <tp t="s">
        <v>None</v>
        <stp/>
        <stp>##V3_BDPV12</stp>
        <stp>SPCSUSA Index</stp>
        <stp>SCALING FORMAT</stp>
        <stp>[GMIC Info Template.xlsm]ECO Calendar!R41C10</stp>
        <tr r="J41" s="2"/>
      </tp>
      <tp>
        <v>2.3809499999999999</v>
        <stp/>
        <stp>##V3_BDPV12</stp>
        <stp>CONSCURR Index</stp>
        <stp>RELEVANCE VALUE</stp>
        <stp>[GMIC Info Template.xlsm]ECO Calendar!R11C19</stp>
        <tr r="S11" s="2"/>
      </tp>
      <tp>
        <v>94.444400000000002</v>
        <stp/>
        <stp>##V3_BDPV12</stp>
        <stp>CPI CHNG Index</stp>
        <stp>RELEVANCE VALUE</stp>
        <stp>[GMIC Info Template.xlsm]ECO Calendar!R12C19</stp>
        <tr r="S12" s="2"/>
      </tp>
      <tp t="s">
        <v>5/15/2015</v>
        <stp/>
        <stp>##V3_BDPV12</stp>
        <stp>FRNTTNET Index</stp>
        <stp>ECO RELEASE DT</stp>
        <stp>[GMIC Info Template.xlsm]ECO Calendar!R109C16</stp>
        <tr r="P109" s="2"/>
      </tp>
      <tp t="s">
        <v>2/28/2015</v>
        <stp/>
        <stp>##V3_BDPV12</stp>
        <stp>FDIDSGMO Index</stp>
        <stp>PRIOR OBSERVATION DATE</stp>
        <stp>[GMIC Info Template.xlsm]ECO Calendar!R100C14</stp>
        <tr r="N100" s="2"/>
      </tp>
      <tp t="s">
        <v>2/28/2015</v>
        <stp/>
        <stp>##V3_BDPV12</stp>
        <stp>FDIUSGYO Index</stp>
        <stp>PRIOR OBSERVATION DATE</stp>
        <stp>[GMIC Info Template.xlsm]ECO Calendar!R101C14</stp>
        <tr r="N101" s="2"/>
      </tp>
      <tp t="s">
        <v>2/28/2015</v>
        <stp/>
        <stp>##V3_BDPV12</stp>
        <stp>FDIUSGUY Index</stp>
        <stp>PRIOR OBSERVATION DATE</stp>
        <stp>[GMIC Info Template.xlsm]ECO Calendar!R103C14</stp>
        <tr r="N103" s="2"/>
      </tp>
      <tp t="s">
        <v>2/28/2015</v>
        <stp/>
        <stp>##V3_BDPV12</stp>
        <stp>FDIDSGUM Index</stp>
        <stp>PRIOR OBSERVATION DATE</stp>
        <stp>[GMIC Info Template.xlsm]ECO Calendar!R102C14</stp>
        <tr r="N102" s="2"/>
      </tp>
      <tp t="s">
        <v>5/15/2015</v>
        <stp/>
        <stp>##V3_BDPV12</stp>
        <stp>FRNTTOTL Index</stp>
        <stp>ECO RELEASE DT</stp>
        <stp>[GMIC Info Template.xlsm]ECO Calendar!R108C16</stp>
        <tr r="P108" s="2"/>
      </tp>
      <tp>
        <v>11.1111</v>
        <stp/>
        <stp>##V3_BDPV12</stp>
        <stp>PRUSTOT Index</stp>
        <stp>RELEVANCE VALUE</stp>
        <stp>[GMIC Info Template.xlsm]ECO Calendar!R83C19</stp>
        <tr r="S83" s="2"/>
      </tp>
      <tp>
        <v>33.333300000000001</v>
        <stp/>
        <stp>##V3_BDPV12</stp>
        <stp>SPCSUSA Index</stp>
        <stp>RELEVANCE VALUE</stp>
        <stp>[GMIC Info Template.xlsm]ECO Calendar!R41C19</stp>
        <tr r="S41" s="2"/>
      </tp>
      <tp>
        <v>3.1745999999999999</v>
        <stp/>
        <stp>##V3_BDPV12</stp>
        <stp>CONSEXP Index</stp>
        <stp>RELEVANCE VALUE</stp>
        <stp>[GMIC Info Template.xlsm]ECO Calendar!R10C19</stp>
        <tr r="S10" s="2"/>
      </tp>
      <tp>
        <v>70.634900000000002</v>
        <stp/>
        <stp>##V3_BDPV12</stp>
        <stp>FDIUFDYO Index</stp>
        <stp>RELEVANCE VALUE</stp>
        <stp>[GMIC Info Template.xlsm]ECO Calendar!R99C19</stp>
        <tr r="S99" s="2"/>
      </tp>
      <tp>
        <v>87.301599999999993</v>
        <stp/>
        <stp>##V3_BDPV12</stp>
        <stp>FDIDFDMO Index</stp>
        <stp>RELEVANCE VALUE</stp>
        <stp>[GMIC Info Template.xlsm]ECO Calendar!R98C19</stp>
        <tr r="S98" s="2"/>
      </tp>
      <tp>
        <v>7.9365100000000002</v>
        <stp/>
        <stp>##V3_BDPV12</stp>
        <stp>LMCILMCC Index</stp>
        <stp>RELEVANCE VALUE</stp>
        <stp>[GMIC Info Template.xlsm]ECO Calendar!R87C19</stp>
        <tr r="S87" s="2"/>
      </tp>
      <tp>
        <v>95.238100000000003</v>
        <stp/>
        <stp>##V3_BDPV12</stp>
        <stp>CONCCONF Index</stp>
        <stp>RELEVANCE VALUE</stp>
        <stp>[GMIC Info Template.xlsm]ECO Calendar!R44C19</stp>
        <tr r="S44" s="2"/>
      </tp>
      <tp>
        <v>95.238100000000003</v>
        <stp/>
        <stp>##V3_BDPV12</stp>
        <stp>CONCCONF Index</stp>
        <stp>RELEVANCE VALUE</stp>
        <stp>[GMIC Info Template.xlsm]ECO Calendar!R45C19</stp>
        <tr r="S45" s="2"/>
      </tp>
      <tp>
        <v>65.873000000000005</v>
        <stp/>
        <stp>##V3_BDPV12</stp>
        <stp>COMFCOMF Index</stp>
        <stp>RELEVANCE VALUE</stp>
        <stp>[GMIC Info Template.xlsm]ECO Calendar!R24C19</stp>
        <tr r="S24" s="2"/>
      </tp>
      <tp t="s">
        <v>3/31/2015</v>
        <stp/>
        <stp>##V3_BDPV12</stp>
        <stp>OUTFGAF Index</stp>
        <stp>PRIOR OBSERVATION DATE</stp>
        <stp>[GMIC Info Template.xlsm]ECO Calendar!R116C14</stp>
        <tr r="N116" s="2"/>
      </tp>
      <tp t="s">
        <v>10:00:00 AM</v>
        <stp/>
        <stp>##V3_BDPV12</stp>
        <stp>MTIBCHNG Index</stp>
        <stp>ECO RELEASE TIME</stp>
        <stp>[GMIC Info Template.xlsm]ECO Calendar!R97C18</stp>
        <tr r="R97" s="2"/>
      </tp>
      <tp t="s">
        <v>Monthly</v>
        <stp/>
        <stp>##V3_BDPV12</stp>
        <stp>CONCCONF Index</stp>
        <stp>INDX FREQ</stp>
        <stp>[GMIC Info Template.xlsm]ECO Calendar!R45C15</stp>
        <tr r="O45" s="2"/>
      </tp>
      <tp t="s">
        <v>Monthly</v>
        <stp/>
        <stp>##V3_BDPV12</stp>
        <stp>CONCCONF Index</stp>
        <stp>INDX FREQ</stp>
        <stp>[GMIC Info Template.xlsm]ECO Calendar!R44C15</stp>
        <tr r="O44" s="2"/>
      </tp>
      <tp t="s">
        <v>Weekly on Sunday</v>
        <stp/>
        <stp>##V3_BDPV12</stp>
        <stp>COMFCOMF Index</stp>
        <stp>INDX FREQ</stp>
        <stp>[GMIC Info Template.xlsm]ECO Calendar!R24C15</stp>
        <tr r="O24" s="2"/>
      </tp>
      <tp t="s">
        <v>United States</v>
        <stp/>
        <stp>##V3_BDPV12</stp>
        <stp>IMP1CHNG Index</stp>
        <stp>REGION OR COUNTRY</stp>
        <stp>[GMIC Info Template.xlsm]ECO Calendar!R91C20</stp>
        <tr r="T91" s="2"/>
      </tp>
      <tp>
        <v>21.959882148767001</v>
        <stp/>
        <stp>##V3_BDPV12</stp>
        <stp>JNJ US Equity</stp>
        <stp>PROF MARGIN</stp>
        <stp>[GMIC Info Template.xlsm]Security Analysis!R10C24</stp>
        <tr r="X10" s="13"/>
      </tp>
      <tp t="s">
        <v>Monthly</v>
        <stp/>
        <stp>##V3_BDPV12</stp>
        <stp>TMNOCHNG Index</stp>
        <stp>INDX FREQ</stp>
        <stp>[GMIC Info Template.xlsm]ECO Calendar!R67C15</stp>
        <tr r="O67" s="2"/>
      </tp>
      <tp t="s">
        <v>Monthly</v>
        <stp/>
        <stp>##V3_BDPV12</stp>
        <stp>MPMIUSMA Index</stp>
        <stp>INDX FREQ</stp>
        <stp>[GMIC Info Template.xlsm]ECO Calendar!R27C15</stp>
        <tr r="O27" s="2"/>
      </tp>
      <tp t="s">
        <v>Monthly</v>
        <stp/>
        <stp>##V3_BDPV12</stp>
        <stp>DGNOCHNG Index</stp>
        <stp>INDX FREQ</stp>
        <stp>[GMIC Info Template.xlsm]ECO Calendar!R31C15</stp>
        <tr r="O31" s="2"/>
      </tp>
      <tp>
        <v>0</v>
        <stp/>
        <stp>##V3_BDPV12</stp>
        <stp>V US Equity</stp>
        <stp>LT DEBT TO TOT EQY</stp>
        <stp>[GMIC Info Template.xlsm]Security Analysis!R22C25</stp>
        <tr r="Y22" s="13"/>
      </tp>
      <tp t="s">
        <v>Monthly</v>
        <stp/>
        <stp>##V3_BDPV12</stp>
        <stp>LMCILMCC Index</stp>
        <stp>INDX FREQ</stp>
        <stp>[GMIC Info Template.xlsm]ECO Calendar!R87C15</stp>
        <tr r="O87" s="2"/>
      </tp>
      <tp>
        <v>23.100684677034128</v>
        <stp/>
        <stp>##V3_BDPV12</stp>
        <stp>JPM US Equity</stp>
        <stp>PROF MARGIN</stp>
        <stp>[GMIC Info Template.xlsm]Security Analysis!R13C24</stp>
        <tr r="X13" s="13"/>
      </tp>
      <tp t="s">
        <v>United States</v>
        <stp/>
        <stp>##V3_BDPV12</stp>
        <stp>ADP CHNG Index</stp>
        <stp>REGION OR COUNTRY</stp>
        <stp>[GMIC Info Template.xlsm]ECO Calendar!R71C20</stp>
        <tr r="T71" s="2"/>
      </tp>
      <tp t="s">
        <v>Capital Goods Shipments Ex Air</v>
        <stp/>
        <stp>##V3_BDPV12</stp>
        <stp>CGSHXAI% Index</stp>
        <stp>NAME</stp>
        <stp>[GMIC Info Template.xlsm]ECO Calendar!R34C6</stp>
        <tr r="F34" s="2"/>
      </tp>
      <tp t="s">
        <v>Markit US Manufacturing PMI SA</v>
        <stp/>
        <stp>##V3_BDPV12</stp>
        <stp>MPMIUSMA Index</stp>
        <stp>NAME</stp>
        <stp>[GMIC Info Template.xlsm]ECO Calendar!R27C6</stp>
        <tr r="F27" s="2"/>
      </tp>
      <tp t="s">
        <v>United States</v>
        <stp/>
        <stp>##V3_BDPV12</stp>
        <stp>MPMIUSSA Index</stp>
        <stp>REGION OR COUNTRY</stp>
        <stp>[GMIC Info Template.xlsm]ECO Calendar!R36C20</stp>
        <tr r="T36" s="2"/>
      </tp>
      <tp>
        <v>10.558167000000001</v>
        <stp/>
        <stp>##V3_BDPV12</stp>
        <stp>TRV US Equity</stp>
        <stp>TRAIL 12M EPS</stp>
        <stp>[GMIC Info Template.xlsm]Security Analysis!R36C14</stp>
        <tr r="N36" s="13"/>
      </tp>
      <tp t="s">
        <v>USD</v>
        <stp/>
        <stp>##V3_BDPV12</stp>
        <stp>JNJ US Equity</stp>
        <stp>CRNCY</stp>
        <stp>[GMIC Info Template.xlsm]Security Analysis!R10C12</stp>
        <tr r="L10" s="13"/>
      </tp>
      <tp t="s">
        <v>ISM Manufacturing PMI SA</v>
        <stp/>
        <stp>##V3_BDPV12</stp>
        <stp>NAPMPMI Index</stp>
        <stp>NAME</stp>
        <stp>[GMIC Info Template.xlsm]ECO Calendar!R61C6</stp>
        <tr r="F61" s="2"/>
      </tp>
      <tp t="s">
        <v>S&amp;P/Case-Shiller United States Home Price Index Monthly Data NSA</v>
        <stp/>
        <stp>##V3_BDPV12</stp>
        <stp>SPCSUSA Index</stp>
        <stp>Long Comp Name</stp>
        <stp>[GMIC Info Template.xlsm]ECO Calendar!R41C3</stp>
        <tr r="C41" s="2"/>
      </tp>
      <tp t="s">
        <v>YoY% NSA</v>
        <stp/>
        <stp>##V3_BDPV12</stp>
        <stp>USPHTYOY Index</stp>
        <stp>SEASONALITY AND TRANSFORMATION</stp>
        <stp>[GMIC Info Template.xlsm]ECO Calendar!R47C11</stp>
        <tr r="K47" s="2"/>
      </tp>
      <tp t="s">
        <v>WoW% SA</v>
        <stp/>
        <stp>##V3_BDPV12</stp>
        <stp>MBAVCHNG Index</stp>
        <stp>SEASONALITY AND TRANSFORMATION</stp>
        <stp>[GMIC Info Template.xlsm]ECO Calendar!R20C11</stp>
        <tr r="K20" s="2"/>
      </tp>
      <tp t="s">
        <v>#N/A N/A</v>
        <stp/>
        <stp>##V3_BDPV12</stp>
        <stp>NFP TYOY Index</stp>
        <stp>BN SURVEY MEDIAN</stp>
        <stp>[GMIC Info Template.xlsm]ECO Calendar!R121C8</stp>
        <tr r="H121" s="2"/>
      </tp>
      <tp t="s">
        <v>2/28/2015</v>
        <stp/>
        <stp>##V3_BDPV12</stp>
        <stp>LMCILMCC Index</stp>
        <stp>PRIOR OBSERVATION DATE</stp>
        <stp>[GMIC Info Template.xlsm]ECO Calendar!R87C14</stp>
        <tr r="N87" s="2"/>
      </tp>
      <tp t="s">
        <v>#N/A N/A</v>
        <stp/>
        <stp>##V3_BDPV12</stp>
        <stp>NHSPATOT Index</stp>
        <stp>BN SURVEY MEDIAN</stp>
        <stp>[GMIC Info Template.xlsm]ECO Calendar!R112C8</stp>
        <tr r="H112" s="2"/>
      </tp>
      <tp t="s">
        <v>2/28/2015</v>
        <stp/>
        <stp>##V3_BDPV12</stp>
        <stp>CPURNSA Index</stp>
        <stp>PRIOR OBSERVATION DATE</stp>
        <stp>[GMIC Info Template.xlsm]ECO Calendar!R17C14</stp>
        <tr r="N17" s="2"/>
      </tp>
      <tp t="s">
        <v>12/31/2014</v>
        <stp/>
        <stp>##V3_BDPV12</stp>
        <stp>SPCSUSAY Index</stp>
        <stp>PRIOR OBSERVATION DATE</stp>
        <stp>[GMIC Info Template.xlsm]ECO Calendar!R40C14</stp>
        <tr r="N40" s="2"/>
      </tp>
      <tp t="s">
        <v>#N/A N/A</v>
        <stp/>
        <stp>##V3_BDPV12</stp>
        <stp>COMFBTWR Index</stp>
        <stp>BN SURVEY MEDIAN</stp>
        <stp>[GMIC Info Template.xlsm]ECO Calendar!R115C8</stp>
        <tr r="H115" s="2"/>
      </tp>
      <tp t="s">
        <v>2/28/2015</v>
        <stp/>
        <stp>##V3_BDPV12</stp>
        <stp>USEMNCHG Index</stp>
        <stp>PRIOR OBSERVATION DATE</stp>
        <stp>[GMIC Info Template.xlsm]ECO Calendar!R81C14</stp>
        <tr r="N81" s="2"/>
      </tp>
      <tp t="s">
        <v>#N/A N/A</v>
        <stp/>
        <stp>##V3_BDPV12</stp>
        <stp>IPMGCHNG Index</stp>
        <stp>BN SURVEY MEDIAN</stp>
        <stp>[GMIC Info Template.xlsm]ECO Calendar!R106C8</stp>
        <tr r="H106" s="2"/>
      </tp>
      <tp t="s">
        <v>US Employees on Nonfarm Payrolls Total Private MoM Net Change SA</v>
        <stp/>
        <stp>##V3_BDPV12</stp>
        <stp>NFP PCH Index</stp>
        <stp>Long Comp Name</stp>
        <stp>[GMIC Info Template.xlsm]ECO Calendar!R77C3</stp>
        <tr r="C77" s="2"/>
      </tp>
      <tp t="s">
        <v>5/1/2015</v>
        <stp/>
        <stp>##V3_BDPV12</stp>
        <stp>CONSPXMD Index</stp>
        <stp>ECO RELEASE DT</stp>
        <stp>[GMIC Info Template.xlsm]ECO Calendar!R9C16</stp>
        <tr r="P9" s="2"/>
      </tp>
      <tp t="s">
        <v>5/1/2015</v>
        <stp/>
        <stp>##V3_BDPV12</stp>
        <stp>CONSP5MD Index</stp>
        <stp>ECO RELEASE DT</stp>
        <stp>[GMIC Info Template.xlsm]ECO Calendar!R8C16</stp>
        <tr r="P8" s="2"/>
      </tp>
      <tp t="s">
        <v>10:00:00 AM</v>
        <stp/>
        <stp>##V3_BDPV12</stp>
        <stp>MWSLCHNG Index</stp>
        <stp>ECO RELEASE TIME</stp>
        <stp>[GMIC Info Template.xlsm]ECO Calendar!R86C18</stp>
        <tr r="R86" s="2"/>
      </tp>
      <tp t="s">
        <v>Net Yearly Change SA</v>
        <stp/>
        <stp>##V3_BDPV12</stp>
        <stp>NFP TYCH Index</stp>
        <stp>SEASONALITY AND TRANSFORMATION</stp>
        <stp>[GMIC Info Template.xlsm]ECO Calendar!R119C11</stp>
        <tr r="K119" s="2"/>
      </tp>
      <tp t="s">
        <v>YoY% SA</v>
        <stp/>
        <stp>##V3_BDPV12</stp>
        <stp>NFP TYOY Index</stp>
        <stp>SEASONALITY AND TRANSFORMATION</stp>
        <stp>[GMIC Info Template.xlsm]ECO Calendar!R121C11</stp>
        <tr r="K121" s="2"/>
      </tp>
      <tp t="s">
        <v>MoM% SA</v>
        <stp/>
        <stp>##V3_BDPV12</stp>
        <stp>NFP TMOM Index</stp>
        <stp>SEASONALITY AND TRANSFORMATION</stp>
        <stp>[GMIC Info Template.xlsm]ECO Calendar!R120C11</stp>
        <tr r="K120" s="2"/>
      </tp>
      <tp t="s">
        <v>None</v>
        <stp/>
        <stp>##V3_BDPV12</stp>
        <stp>SPCS20SM Index</stp>
        <stp>SCALING FORMAT</stp>
        <stp>[GMIC Info Template.xlsm]ECO Calendar!R42C10</stp>
        <tr r="J42" s="2"/>
      </tp>
      <tp t="s">
        <v>9:00:00 AM</v>
        <stp/>
        <stp>##V3_BDPV12</stp>
        <stp>HPIMMOM% Index</stp>
        <stp>ECO RELEASE TIME</stp>
        <stp>[GMIC Info Template.xlsm]ECO Calendar!R21C18</stp>
        <tr r="R21" s="2"/>
      </tp>
      <tp t="s">
        <v>10:00:00 AM</v>
        <stp/>
        <stp>##V3_BDPV12</stp>
        <stp>MWINCHNG Index</stp>
        <stp>ECO RELEASE TIME</stp>
        <stp>[GMIC Info Template.xlsm]ECO Calendar!R85C18</stp>
        <tr r="R85" s="2"/>
      </tp>
      <tp>
        <v>10.257503587994259</v>
        <stp/>
        <stp>##V3_BDPV12</stp>
        <stp>CVX US Equity</stp>
        <stp>OPER MARGIN</stp>
        <stp>[GMIC Info Template.xlsm]Security Analysis!R16C23</stp>
        <tr r="W16" s="13"/>
      </tp>
      <tp>
        <v>12.955718642570021</v>
        <stp/>
        <stp>##V3_BDPV12</stp>
        <stp>IBM US Equity</stp>
        <stp>PROF MARGIN</stp>
        <stp>[GMIC Info Template.xlsm]Security Analysis!R21C24</stp>
        <tr r="X21" s="13"/>
      </tp>
      <tp t="s">
        <v>INTEL CORP</v>
        <stp/>
        <stp>##V3_BDPV12</stp>
        <stp>INTC US Equity</stp>
        <stp>SHORT NAME</stp>
        <stp>[GMIC Info Template.xlsm]Security Analysis!R23C2</stp>
        <tr r="B23" s="13"/>
      </tp>
      <tp t="s">
        <v>CHEVRON CORP</v>
        <stp/>
        <stp>##V3_BDPV12</stp>
        <stp>CVX US Equity</stp>
        <stp>SHORT NAME</stp>
        <stp>[GMIC Info Template.xlsm]Security Analysis!R16C2</stp>
        <tr r="B16" s="13"/>
      </tp>
      <tp>
        <v>9.6549724557842858</v>
        <stp/>
        <stp>##V3_BDPV12</stp>
        <stp>CAT US Equity</stp>
        <stp>OPER MARGIN</stp>
        <stp>[GMIC Info Template.xlsm]Security Analysis!R35C23</stp>
        <tr r="W35" s="13"/>
      </tp>
      <tp>
        <v>43.110204519834667</v>
        <stp/>
        <stp>##V3_BDPV12</stp>
        <stp>INTC US Equity</stp>
        <stp>EBITDA MARGIN</stp>
        <stp>[GMIC Info Template.xlsm]Security Analysis!R23C22</stp>
        <tr r="V23" s="13"/>
      </tp>
      <tp t="s">
        <v>8:30:00 AM</v>
        <stp/>
        <stp>##V3_BDPV12</stp>
        <stp>CPURNSA Index</stp>
        <stp>ECO RELEASE TIME</stp>
        <stp>[GMIC Info Template.xlsm]ECO Calendar!R17C18</stp>
        <tr r="R17" s="2"/>
      </tp>
      <tp t="s">
        <v>Monthly</v>
        <stp/>
        <stp>##V3_BDPV12</stp>
        <stp>PCE DEFM Index</stp>
        <stp>INDX FREQ</stp>
        <stp>[GMIC Info Template.xlsm]ECO Calendar!R57C15</stp>
        <tr r="O57" s="2"/>
      </tp>
      <tp t="s">
        <v>UNITED STATES</v>
        <stp/>
        <stp>##V3_BDPV12</stp>
        <stp>CPUPXCHG Index</stp>
        <stp>REGION OR COUNTRY</stp>
        <stp>[GMIC Info Template.xlsm]ECO Calendar!R13C20</stp>
        <tr r="T13" s="2"/>
      </tp>
      <tp t="s">
        <v>US Existing Homes Sales MoM SA</v>
        <stp/>
        <stp>##V3_BDPV12</stp>
        <stp>ETSLMOM Index</stp>
        <stp>NAME</stp>
        <stp>[GMIC Info Template.xlsm]ECO Calendar!R23C6</stp>
        <tr r="F23" s="2"/>
      </tp>
      <tp t="s">
        <v>United States</v>
        <stp/>
        <stp>##V3_BDPV12</stp>
        <stp>NHSLCHNG Index</stp>
        <stp>REGION OR COUNTRY</stp>
        <stp>[GMIC Info Template.xlsm]ECO Calendar!R30C20</stp>
        <tr r="T30" s="2"/>
      </tp>
      <tp t="s">
        <v>United States</v>
        <stp/>
        <stp>##V3_BDPV12</stp>
        <stp>MWSLCHNG Index</stp>
        <stp>REGION OR COUNTRY</stp>
        <stp>[GMIC Info Template.xlsm]ECO Calendar!R86C20</stp>
        <tr r="T86" s="2"/>
      </tp>
      <tp t="s">
        <v>Monthly</v>
        <stp/>
        <stp>##V3_BDPV12</stp>
        <stp>PCE DEFY Index</stp>
        <stp>INDX FREQ</stp>
        <stp>[GMIC Info Template.xlsm]ECO Calendar!R56C15</stp>
        <tr r="O56" s="2"/>
      </tp>
      <tp t="s">
        <v>4/22/2015</v>
        <stp/>
        <stp>##V3_BDPV12</stp>
        <stp>MBAVCHNG Index</stp>
        <stp>ECO RELEASE DT</stp>
        <stp>[GMIC Info Template.xlsm]ECO Calendar!R20C16</stp>
        <tr r="P20" s="2"/>
      </tp>
      <tp t="s">
        <v>1/31/2015</v>
        <stp/>
        <stp>##V3_BDPV12</stp>
        <stp>MWINCHNG Index</stp>
        <stp>PRIOR OBSERVATION DATE</stp>
        <stp>[GMIC Info Template.xlsm]ECO Calendar!R85C14</stp>
        <tr r="N85" s="2"/>
      </tp>
      <tp t="s">
        <v>#N/A N/A</v>
        <stp/>
        <stp>##V3_BDPV12</stp>
        <stp>NHSPSTOT Index</stp>
        <stp>BN SURVEY MEDIAN</stp>
        <stp>[GMIC Info Template.xlsm]ECO Calendar!R111C8</stp>
        <tr r="H111" s="2"/>
      </tp>
      <tp t="s">
        <v>5/1/2015</v>
        <stp/>
        <stp>##V3_BDPV12</stp>
        <stp>CONSSENT Index</stp>
        <stp>ECO RELEASE DT</stp>
        <stp>[GMIC Info Template.xlsm]ECO Calendar!R7C16</stp>
        <tr r="P7" s="2"/>
      </tp>
      <tp t="s">
        <v>1/31/2015</v>
        <stp/>
        <stp>##V3_BDPV12</stp>
        <stp>CICRTOT Index</stp>
        <stp>PRIOR OBSERVATION DATE</stp>
        <stp>[GMIC Info Template.xlsm]ECO Calendar!R73C14</stp>
        <tr r="N73" s="2"/>
      </tp>
      <tp t="s">
        <v>Billion</v>
        <stp/>
        <stp>##V3_BDPV12</stp>
        <stp>USTBTOT Index</stp>
        <stp>SCALING FORMAT</stp>
        <stp>[GMIC Info Template.xlsm]ECO Calendar!R68C10</stp>
        <tr r="J68" s="2"/>
      </tp>
      <tp>
        <v>49938625.905000001</v>
        <stp/>
        <stp>##V3_BDPV12</stp>
        <stp>KUTV US EQUITY</stp>
        <stp>CUR MKT CAP</stp>
        <stp>[GMIC Info Template.xlsm]Most Up &amp; Down!R15C13</stp>
        <tr r="M15" s="9"/>
      </tp>
      <tp t="s">
        <v>4/29/2015</v>
        <stp/>
        <stp>##V3_BDPV12</stp>
        <stp>USPHTYOY Index</stp>
        <stp>ECO RELEASE DT</stp>
        <stp>[GMIC Info Template.xlsm]ECO Calendar!R47C16</stp>
        <tr r="P47" s="2"/>
      </tp>
      <tp t="s">
        <v>#N/A N/A</v>
        <stp/>
        <stp>##V3_BDPV12</stp>
        <stp>CPTICHNG Index</stp>
        <stp>BN SURVEY MEDIAN</stp>
        <stp>[GMIC Info Template.xlsm]ECO Calendar!R105C8</stp>
        <tr r="H105" s="2"/>
      </tp>
      <tp t="s">
        <v>US Employees on Nonfarm Payrolls Total MoM Net Change SA</v>
        <stp/>
        <stp>##V3_BDPV12</stp>
        <stp>NFP TCH Index</stp>
        <stp>Long Comp Name</stp>
        <stp>[GMIC Info Template.xlsm]ECO Calendar!R74C3</stp>
        <tr r="C74" s="2"/>
      </tp>
      <tp t="s">
        <v>Million</v>
        <stp/>
        <stp>##V3_BDPV12</stp>
        <stp>SAARTOTL Index</stp>
        <stp>SCALING FORMAT</stp>
        <stp>[GMIC Info Template.xlsm]ECO Calendar!R64C10</stp>
        <tr r="J64" s="2"/>
      </tp>
      <tp t="s">
        <v>8:30:00 AM</v>
        <stp/>
        <stp>##V3_BDPV12</stp>
        <stp>RSTAXMOM Index</stp>
        <stp>ECO RELEASE TIME</stp>
        <stp>[GMIC Info Template.xlsm]ECO Calendar!R94C18</stp>
        <tr r="R94" s="2"/>
      </tp>
      <tp t="s">
        <v>10:00:00 AM</v>
        <stp/>
        <stp>##V3_BDPV12</stp>
        <stp>USPHTMOM Index</stp>
        <stp>ECO RELEASE TIME</stp>
        <stp>[GMIC Info Template.xlsm]ECO Calendar!R46C18</stp>
        <tr r="R46" s="2"/>
      </tp>
      <tp t="s">
        <v>5/15/2015</v>
        <stp/>
        <stp>##V3_BDPV12</stp>
        <stp>IP CHNG Index</stp>
        <stp>ECO RELEASE DT</stp>
        <stp>[GMIC Info Template.xlsm]ECO Calendar!R104C16</stp>
        <tr r="P104" s="2"/>
      </tp>
      <tp>
        <v>-5.7</v>
        <stp/>
        <stp>##V3_BDPV12</stp>
        <stp>NHCHATCH Index</stp>
        <stp>PX LAST</stp>
        <stp>[GMIC Info Template.xlsm]ECO Calendar!R114C7</stp>
        <tr r="G114" s="2"/>
      </tp>
      <tp>
        <v>40.476199999999999</v>
        <stp/>
        <stp>##V3_BDPV12</stp>
        <stp>CPUPAXFE Index</stp>
        <stp>RELEVANCE VALUE</stp>
        <stp>[GMIC Info Template.xlsm]ECO Calendar!R16C19</stp>
        <tr r="S16" s="2"/>
      </tp>
      <tp>
        <v>83.333299999999994</v>
        <stp/>
        <stp>##V3_BDPV12</stp>
        <stp>ADP CHNG Index</stp>
        <stp>RELEVANCE VALUE</stp>
        <stp>[GMIC Info Template.xlsm]ECO Calendar!R71C19</stp>
        <tr r="S71" s="2"/>
      </tp>
      <tp>
        <v>10.317500000000001</v>
        <stp/>
        <stp>##V3_BDPV12</stp>
        <stp>ECONGECC Index</stp>
        <stp>RELEVANCE VALUE</stp>
        <stp>[GMIC Info Template.xlsm]ECO Calendar!R84C19</stp>
        <tr r="S84" s="2"/>
      </tp>
      <tp t="s">
        <v>Monthly</v>
        <stp/>
        <stp>##V3_BDPV12</stp>
        <stp>SPCSUSAY Index</stp>
        <stp>INDX FREQ</stp>
        <stp>[GMIC Info Template.xlsm]ECO Calendar!R40C15</stp>
        <tr r="O40" s="2"/>
      </tp>
      <tp t="s">
        <v>United States</v>
        <stp/>
        <stp>##V3_BDPV12</stp>
        <stp>AWH TOTL Index</stp>
        <stp>REGION OR COUNTRY</stp>
        <stp>[GMIC Info Template.xlsm]ECO Calendar!R80C20</stp>
        <tr r="T80" s="2"/>
      </tp>
      <tp>
        <v>-15.44129</v>
        <stp/>
        <stp>##V3_BDPV12</stp>
        <stp>IBM US Equity</stp>
        <stp>CHG PCT 1YR</stp>
        <stp>[GMIC Info Template.xlsm]Security Analysis!R21C18</stp>
        <tr r="R21" s="13"/>
      </tp>
      <tp t="s">
        <v>XBIOTECH INC</v>
        <stp/>
        <stp>##V3_BDPV12</stp>
        <stp>XBIT US EQUITY</stp>
        <stp>NAME</stp>
        <stp>[GMIC Info Template.xlsm]Most Up &amp; Down!R17C9</stp>
        <tr r="I17" s="9"/>
      </tp>
      <tp t="s">
        <v>Monthly</v>
        <stp/>
        <stp>##V3_BDPV12</stp>
        <stp>NYPMCURR Index</stp>
        <stp>INDX FREQ</stp>
        <stp>[GMIC Info Template.xlsm]ECO Calendar!R66C15</stp>
        <tr r="O66" s="2"/>
      </tp>
      <tp t="s">
        <v>#N/A N/A</v>
        <stp/>
        <stp>##V3_BDPV12</stp>
        <stp>OUTFGAF Index</stp>
        <stp>BN SURVEY MEDIAN</stp>
        <stp>[GMIC Info Template.xlsm]ECO Calendar!R116C8</stp>
        <tr r="H116" s="2"/>
      </tp>
      <tp t="s">
        <v>United States</v>
        <stp/>
        <stp>##V3_BDPV12</stp>
        <stp>CNSTTMOM Index</stp>
        <stp>REGION OR COUNTRY</stp>
        <stp>[GMIC Info Template.xlsm]ECO Calendar!R62C20</stp>
        <tr r="T62" s="2"/>
      </tp>
      <tp t="s">
        <v>ISM Manufacturing Report on Bu</v>
        <stp/>
        <stp>##V3_BDPV12</stp>
        <stp>NAPMPRIC Index</stp>
        <stp>NAME</stp>
        <stp>[GMIC Info Template.xlsm]ECO Calendar!R63C6</stp>
        <tr r="F63" s="2"/>
      </tp>
      <tp t="s">
        <v>4/30/2015</v>
        <stp/>
        <stp>##V3_BDPV12</stp>
        <stp>CONSSENT Index</stp>
        <stp>CR OBSERVATION DATE</stp>
        <stp>[GMIC Info Template.xlsm]ECO Calendar!R7C13</stp>
        <tr r="M7" s="2"/>
      </tp>
      <tp t="s">
        <v>Markit US Composite PMI SA</v>
        <stp/>
        <stp>##V3_BDPV12</stp>
        <stp>MPMIUSCA Index</stp>
        <stp>NAME</stp>
        <stp>[GMIC Info Template.xlsm]ECO Calendar!R35C6</stp>
        <tr r="F35" s="2"/>
      </tp>
      <tp t="s">
        <v>United States</v>
        <stp/>
        <stp>##V3_BDPV12</stp>
        <stp>AHE YOY% Index</stp>
        <stp>REGION OR COUNTRY</stp>
        <stp>[GMIC Info Template.xlsm]ECO Calendar!R79C20</stp>
        <tr r="T79" s="2"/>
      </tp>
      <tp>
        <v>5.04</v>
        <stp/>
        <stp>##V3_BDPV12</stp>
        <stp>WMT US Equity</stp>
        <stp>TRAIL 12M EPS</stp>
        <stp>[GMIC Info Template.xlsm]Security Analysis!R12C14</stp>
        <tr r="N12" s="13"/>
      </tp>
      <tp>
        <v>6.3773989999999996</v>
        <stp/>
        <stp>##V3_BDPV12</stp>
        <stp>CAT US Equity</stp>
        <stp>TRAIL 12M EPS</stp>
        <stp>[GMIC Info Template.xlsm]Security Analysis!R35C14</stp>
        <tr r="N35" s="13"/>
      </tp>
      <tp t="s">
        <v>USD</v>
        <stp/>
        <stp>##V3_BDPV12</stp>
        <stp>UNH US Equity</stp>
        <stp>CRNCY</stp>
        <stp>[GMIC Info Template.xlsm]Security Analysis!R26C12</stp>
        <tr r="L26" s="13"/>
      </tp>
      <tp t="s">
        <v>United States</v>
        <stp/>
        <stp>##V3_BDPV12</stp>
        <stp>CONSCURR Index</stp>
        <stp>REGION OR COUNTRY</stp>
        <stp>[GMIC Info Template.xlsm]ECO Calendar!R11C20</stp>
        <tr r="T11" s="2"/>
      </tp>
      <tp t="s">
        <v>1/31/2015</v>
        <stp/>
        <stp>##V3_BDPV12</stp>
        <stp>DGNOCHNG Index</stp>
        <stp>PRIOR OBSERVATION DATE</stp>
        <stp>[GMIC Info Template.xlsm]ECO Calendar!R31C14</stp>
        <tr r="N31" s="2"/>
      </tp>
      <tp t="s">
        <v>3/31/2015</v>
        <stp/>
        <stp>##V3_BDPV12</stp>
        <stp>MPMIUSSA Index</stp>
        <stp>PRIOR OBSERVATION DATE</stp>
        <stp>[GMIC Info Template.xlsm]ECO Calendar!R36C14</stp>
        <tr r="N36" s="2"/>
      </tp>
      <tp t="s">
        <v>3/31/2015</v>
        <stp/>
        <stp>##V3_BDPV12</stp>
        <stp>MPMIUSCA Index</stp>
        <stp>PRIOR OBSERVATION DATE</stp>
        <stp>[GMIC Info Template.xlsm]ECO Calendar!R35C14</stp>
        <tr r="N35" s="2"/>
      </tp>
      <tp t="s">
        <v>3/31/2015</v>
        <stp/>
        <stp>##V3_BDPV12</stp>
        <stp>MPMIUSMA Index</stp>
        <stp>PRIOR OBSERVATION DATE</stp>
        <stp>[GMIC Info Template.xlsm]ECO Calendar!R27C14</stp>
        <tr r="N27" s="2"/>
      </tp>
      <tp t="s">
        <v>None</v>
        <stp/>
        <stp>##V3_BDPV12</stp>
        <stp>NYPMCURR Index</stp>
        <stp>SCALING FORMAT</stp>
        <stp>[GMIC Info Template.xlsm]ECO Calendar!R66C10</stp>
        <tr r="J66" s="2"/>
      </tp>
      <tp t="s">
        <v>None</v>
        <stp/>
        <stp>##V3_BDPV12</stp>
        <stp>PRUSTOT Index</stp>
        <stp>SCALING FORMAT</stp>
        <stp>[GMIC Info Template.xlsm]ECO Calendar!R83C10</stp>
        <tr r="J83" s="2"/>
      </tp>
      <tp t="s">
        <v>None</v>
        <stp/>
        <stp>##V3_BDPV12</stp>
        <stp>USURTOT Index</stp>
        <stp>SCALING FORMAT</stp>
        <stp>[GMIC Info Template.xlsm]ECO Calendar!R75C10</stp>
        <tr r="J75" s="2"/>
      </tp>
      <tp t="s">
        <v>1/31/2015</v>
        <stp/>
        <stp>##V3_BDPV12</stp>
        <stp>TMNOCHNG Index</stp>
        <stp>PRIOR OBSERVATION DATE</stp>
        <stp>[GMIC Info Template.xlsm]ECO Calendar!R67C14</stp>
        <tr r="N67" s="2"/>
      </tp>
      <tp t="s">
        <v>8:30:00 AM</v>
        <stp/>
        <stp>##V3_BDPV12</stp>
        <stp>PITLCHNG Index</stp>
        <stp>ECO RELEASE TIME</stp>
        <stp>[GMIC Info Template.xlsm]ECO Calendar!R52C18</stp>
        <tr r="R52" s="2"/>
      </tp>
      <tp t="s">
        <v>5/19/2015</v>
        <stp/>
        <stp>##V3_BDPV12</stp>
        <stp>NHCHATCH Index</stp>
        <stp>ECO RELEASE DT</stp>
        <stp>[GMIC Info Template.xlsm]ECO Calendar!R114C16</stp>
        <tr r="P114" s="2"/>
      </tp>
      <tp t="s">
        <v>5/19/2015</v>
        <stp/>
        <stp>##V3_BDPV12</stp>
        <stp>NHSPATOT Index</stp>
        <stp>ECO RELEASE DT</stp>
        <stp>[GMIC Info Template.xlsm]ECO Calendar!R112C16</stp>
        <tr r="P112" s="2"/>
      </tp>
      <tp>
        <v>0.9</v>
        <stp/>
        <stp>##V3_BDPV12</stp>
        <stp>FDIUSGYO Index</stp>
        <stp>PX LAST</stp>
        <stp>[GMIC Info Template.xlsm]ECO Calendar!R101C7</stp>
        <tr r="G101" s="2"/>
      </tp>
      <tp t="s">
        <v>None</v>
        <stp/>
        <stp>##V3_BDPV12</stp>
        <stp>USHBMIDX Index</stp>
        <stp>SCALING FORMAT</stp>
        <stp>[GMIC Info Template.xlsm]ECO Calendar!R110C10</stp>
        <tr r="J110" s="2"/>
      </tp>
      <tp>
        <v>-0.64</v>
        <stp/>
        <stp>##V3_BDPV12</stp>
        <stp>IP CHNG Index</stp>
        <stp>PX LAST</stp>
        <stp>[GMIC Info Template.xlsm]ECO Calendar!R104C7</stp>
        <tr r="G104" s="2"/>
      </tp>
      <tp t="s">
        <v>CARBYLAN THERAPEUTICS INC</v>
        <stp/>
        <stp>##V3_BDPV12</stp>
        <stp>CBYL US EQUITY</stp>
        <stp>NAME</stp>
        <stp>[GMIC Info Template.xlsm]Most Up &amp; Down!R18C9</stp>
        <tr r="I18" s="9"/>
      </tp>
      <tp t="s">
        <v>United States</v>
        <stp/>
        <stp>##V3_BDPV12</stp>
        <stp>PCE DEFY Index</stp>
        <stp>REGION OR COUNTRY</stp>
        <stp>[GMIC Info Template.xlsm]ECO Calendar!R56C20</stp>
        <tr r="T56" s="2"/>
      </tp>
      <tp t="s">
        <v>Monthly</v>
        <stp/>
        <stp>##V3_BDPV12</stp>
        <stp>MWSLCHNG Index</stp>
        <stp>INDX FREQ</stp>
        <stp>[GMIC Info Template.xlsm]ECO Calendar!R86C15</stp>
        <tr r="O86" s="2"/>
      </tp>
      <tp t="s">
        <v>Monthly</v>
        <stp/>
        <stp>##V3_BDPV12</stp>
        <stp>NHSLCHNG Index</stp>
        <stp>INDX FREQ</stp>
        <stp>[GMIC Info Template.xlsm]ECO Calendar!R30C15</stp>
        <tr r="O30" s="2"/>
      </tp>
      <tp>
        <v>3.3692919400969008</v>
        <stp/>
        <stp>##V3_BDPV12</stp>
        <stp>WMT US Equity</stp>
        <stp>PROF MARGIN</stp>
        <stp>[GMIC Info Template.xlsm]Security Analysis!R12C24</stp>
        <tr r="X12" s="13"/>
      </tp>
      <tp t="s">
        <v>United States</v>
        <stp/>
        <stp>##V3_BDPV12</stp>
        <stp>PCE DEFM Index</stp>
        <stp>REGION OR COUNTRY</stp>
        <stp>[GMIC Info Template.xlsm]ECO Calendar!R57C20</stp>
        <tr r="T57" s="2"/>
      </tp>
      <tp t="s">
        <v>Monthly</v>
        <stp/>
        <stp>##V3_BDPV12</stp>
        <stp>CPUPXCHG Index</stp>
        <stp>INDX FREQ</stp>
        <stp>[GMIC Info Template.xlsm]ECO Calendar!R13C15</stp>
        <tr r="O13" s="2"/>
      </tp>
      <tp t="s">
        <v>PFIZER INC</v>
        <stp/>
        <stp>##V3_BDPV12</stp>
        <stp>PFE US Equity</stp>
        <stp>SHORT NAME</stp>
        <stp>[GMIC Info Template.xlsm]Security Analysis!R15C2</stp>
        <tr r="B15" s="13"/>
      </tp>
      <tp t="s">
        <v>AXION POWER INTERNATIONAL</v>
        <stp/>
        <stp>##V3_BDPV12</stp>
        <stp>AXPW US EQUITY</stp>
        <stp>NAME</stp>
        <stp>[GMIC Info Template.xlsm]Most Up &amp; Down!R11C9</stp>
        <tr r="I11" s="9"/>
      </tp>
      <tp t="s">
        <v>KU6 MEDIA CO LTD-SPN ADR</v>
        <stp/>
        <stp>##V3_BDPV12</stp>
        <stp>KUTV US EQUITY</stp>
        <stp>NAME</stp>
        <stp>[GMIC Info Template.xlsm]Most Up &amp; Down!R15C9</stp>
        <tr r="I15" s="9"/>
      </tp>
      <tp t="s">
        <v>US CPI Urban Consumers MoM SA</v>
        <stp/>
        <stp>##V3_BDPV12</stp>
        <stp>CPI CHNG Index</stp>
        <stp>NAME</stp>
        <stp>[GMIC Info Template.xlsm]ECO Calendar!R12C6</stp>
        <tr r="F12" s="2"/>
      </tp>
      <tp t="s">
        <v>Federal Reserve Consumer Credi</v>
        <stp/>
        <stp>##V3_BDPV12</stp>
        <stp>CICRTOT Index</stp>
        <stp>NAME</stp>
        <stp>[GMIC Info Template.xlsm]ECO Calendar!R73C6</stp>
        <tr r="F73" s="2"/>
      </tp>
      <tp t="s">
        <v>US Continuing Jobless Claims S</v>
        <stp/>
        <stp>##V3_BDPV12</stp>
        <stp>INJCSP Index</stp>
        <stp>NAME</stp>
        <stp>[GMIC Info Template.xlsm]ECO Calendar!R26C6</stp>
        <tr r="F26" s="2"/>
      </tp>
      <tp>
        <v>2.0129479999999997</v>
        <stp/>
        <stp>##V3_BDPV12</stp>
        <stp>MRK US Equity</stp>
        <stp>TRAIL 12M EPS</stp>
        <stp>[GMIC Info Template.xlsm]Security Analysis!R20C14</stp>
        <tr r="N20" s="13"/>
      </tp>
      <tp t="s">
        <v>#N/A Field Not Applicable</v>
        <stp/>
        <stp>##V3_BDPV12</stp>
        <stp>NFP T Index</stp>
        <stp>OBSERVATION PERIOD</stp>
        <stp>[GMIC Info Template.xlsm]ECO Calendar!R118C12</stp>
        <tr r="L118" s="2"/>
      </tp>
      <tp>
        <v>16.67963</v>
        <stp/>
        <stp>##V3_BDPV12</stp>
        <stp>KUTV US EQUITY</stp>
        <stp>CHG PCT 1D</stp>
        <stp>[GMIC Info Template.xlsm]Most Up &amp; Down!R15C12</stp>
        <tr r="L15" s="9"/>
      </tp>
      <tp t="s">
        <v>None</v>
        <stp/>
        <stp>##V3_BDPV12</stp>
        <stp>ETSLMOM Index</stp>
        <stp>SCALING FORMAT</stp>
        <stp>[GMIC Info Template.xlsm]ECO Calendar!R23C10</stp>
        <tr r="J23" s="2"/>
      </tp>
      <tp t="s">
        <v>USD</v>
        <stp/>
        <stp>##V3_BDPV12</stp>
        <stp>AAPL US Equity</stp>
        <stp>CRNCY</stp>
        <stp>[GMIC Info Template.xlsm]Security Analysis!R7C12</stp>
        <tr r="L7" s="13"/>
      </tp>
      <tp t="s">
        <v>Million</v>
        <stp/>
        <stp>##V3_BDPV12</stp>
        <stp>ETSLTOTL Index</stp>
        <stp>SCALING FORMAT</stp>
        <stp>[GMIC Info Template.xlsm]ECO Calendar!R22C10</stp>
        <tr r="J22" s="2"/>
      </tp>
      <tp t="s">
        <v>MoM% SA</v>
        <stp/>
        <stp>##V3_BDPV12</stp>
        <stp>RSTAXAGM Index</stp>
        <stp>SEASONALITY AND TRANSFORMATION</stp>
        <stp>[GMIC Info Template.xlsm]ECO Calendar!R96C11</stp>
        <tr r="K96" s="2"/>
      </tp>
      <tp t="s">
        <v>MoM% SA</v>
        <stp/>
        <stp>##V3_BDPV12</stp>
        <stp>RSTAXMOM Index</stp>
        <stp>SEASONALITY AND TRANSFORMATION</stp>
        <stp>[GMIC Info Template.xlsm]ECO Calendar!R94C11</stp>
        <tr r="K94" s="2"/>
      </tp>
      <tp t="s">
        <v>None</v>
        <stp/>
        <stp>##V3_BDPV12</stp>
        <stp>GDPCPCEC Index</stp>
        <stp>SCALING FORMAT</stp>
        <stp>[GMIC Info Template.xlsm]ECO Calendar!R51C10</stp>
        <tr r="J51" s="2"/>
      </tp>
      <tp t="s">
        <v>2/28/2015</v>
        <stp/>
        <stp>##V3_BDPV12</stp>
        <stp>CPUPXCHG Index</stp>
        <stp>PRIOR OBSERVATION DATE</stp>
        <stp>[GMIC Info Template.xlsm]ECO Calendar!R13C14</stp>
        <tr r="N13" s="2"/>
      </tp>
      <tp t="s">
        <v>#N/A N/A</v>
        <stp/>
        <stp>##V3_BDPV12</stp>
        <stp>FDIDSGMO Index</stp>
        <stp>BN SURVEY MEDIAN</stp>
        <stp>[GMIC Info Template.xlsm]ECO Calendar!R100C8</stp>
        <tr r="H100" s="2"/>
      </tp>
      <tp t="s">
        <v>#N/A N/A</v>
        <stp/>
        <stp>##V3_BDPV12</stp>
        <stp>ECONUSIB Index</stp>
        <stp>SEASONALITY AND TRANSFORMATION</stp>
        <stp>[GMIC Info Template.xlsm]ECO Calendar!R70C11</stp>
        <tr r="K70" s="2"/>
      </tp>
      <tp t="s">
        <v>None</v>
        <stp/>
        <stp>##V3_BDPV12</stp>
        <stp>COMFCOMF Index</stp>
        <stp>SCALING FORMAT</stp>
        <stp>[GMIC Info Template.xlsm]ECO Calendar!R24C10</stp>
        <tr r="J24" s="2"/>
      </tp>
      <tp t="s">
        <v>None</v>
        <stp/>
        <stp>##V3_BDPV12</stp>
        <stp>CONSEXP Index</stp>
        <stp>SCALING FORMAT</stp>
        <stp>[GMIC Info Template.xlsm]ECO Calendar!R10C10</stp>
        <tr r="J10" s="2"/>
      </tp>
      <tp t="s">
        <v>Adjusted Retail &amp; Food Services Sales SA Total Monthly % Change</v>
        <stp/>
        <stp>##V3_BDPV12</stp>
        <stp>RSTAMOM Index</stp>
        <stp>Long Comp Name</stp>
        <stp>[GMIC Info Template.xlsm]ECO Calendar!R93C3</stp>
        <tr r="C93" s="2"/>
      </tp>
      <tp t="s">
        <v>None</v>
        <stp/>
        <stp>##V3_BDPV12</stp>
        <stp>SPCSUSQS Index</stp>
        <stp>SCALING FORMAT</stp>
        <stp>[GMIC Info Template.xlsm]ECO Calendar!R43C10</stp>
        <tr r="J43" s="2"/>
      </tp>
      <tp t="s">
        <v>10:00:00 AM</v>
        <stp/>
        <stp>##V3_BDPV12</stp>
        <stp>JOLTTOTL Index</stp>
        <stp>ECO RELEASE TIME</stp>
        <stp>[GMIC Info Template.xlsm]ECO Calendar!R88C18</stp>
        <tr r="R88" s="2"/>
      </tp>
      <tp t="s">
        <v>10:00:00 AM</v>
        <stp/>
        <stp>##V3_BDPV12</stp>
        <stp>NHSLCHNG Index</stp>
        <stp>ECO RELEASE TIME</stp>
        <stp>[GMIC Info Template.xlsm]ECO Calendar!R30C18</stp>
        <tr r="R30" s="2"/>
      </tp>
      <tp>
        <v>73.650800000000004</v>
        <stp/>
        <stp>##V3_BDPV12</stp>
        <stp>DGNOXTCH Index</stp>
        <stp>RELEVANCE VALUE</stp>
        <stp>[GMIC Info Template.xlsm]ECO Calendar!R32C19</stp>
        <tr r="S32" s="2"/>
      </tp>
      <tp t="s">
        <v>8:30:00 AM</v>
        <stp/>
        <stp>##V3_BDPV12</stp>
        <stp>FDIUFDYO Index</stp>
        <stp>ECO RELEASE TIME</stp>
        <stp>[GMIC Info Template.xlsm]ECO Calendar!R99C18</stp>
        <tr r="R99" s="2"/>
      </tp>
      <tp>
        <v>0.2</v>
        <stp/>
        <stp>##V3_BDPV12</stp>
        <stp>FDIDSGMO Index</stp>
        <stp>PX LAST</stp>
        <stp>[GMIC Info Template.xlsm]ECO Calendar!R100C7</stp>
        <tr r="G100" s="2"/>
      </tp>
      <tp t="s">
        <v>10:00:00 AM</v>
        <stp/>
        <stp>##V3_BDPV12</stp>
        <stp>LMCILMCC Index</stp>
        <stp>ECO RELEASE TIME</stp>
        <stp>[GMIC Info Template.xlsm]ECO Calendar!R87C18</stp>
        <tr r="R87" s="2"/>
      </tp>
      <tp t="s">
        <v>9:45:00 AM</v>
        <stp/>
        <stp>##V3_BDPV12</stp>
        <stp>COMFCOMF Index</stp>
        <stp>ECO RELEASE TIME</stp>
        <stp>[GMIC Info Template.xlsm]ECO Calendar!R24C18</stp>
        <tr r="R24" s="2"/>
      </tp>
      <tp t="s">
        <v>10:00:00 AM</v>
        <stp/>
        <stp>##V3_BDPV12</stp>
        <stp>CONCCONF Index</stp>
        <stp>ECO RELEASE TIME</stp>
        <stp>[GMIC Info Template.xlsm]ECO Calendar!R45C18</stp>
        <tr r="R45" s="2"/>
      </tp>
      <tp t="s">
        <v>10:00:00 AM</v>
        <stp/>
        <stp>##V3_BDPV12</stp>
        <stp>CONCCONF Index</stp>
        <stp>ECO RELEASE TIME</stp>
        <stp>[GMIC Info Template.xlsm]ECO Calendar!R44C18</stp>
        <tr r="R44" s="2"/>
      </tp>
      <tp t="s">
        <v>8:30:00 AM</v>
        <stp/>
        <stp>##V3_BDPV12</stp>
        <stp>FDIDFDMO Index</stp>
        <stp>ECO RELEASE TIME</stp>
        <stp>[GMIC Info Template.xlsm]ECO Calendar!R98C18</stp>
        <tr r="R98" s="2"/>
      </tp>
      <tp t="s">
        <v>5/22/2015</v>
        <stp/>
        <stp>##V3_BDPV12</stp>
        <stp>CPI YOY Index</stp>
        <stp>ECO RELEASE DT</stp>
        <stp>[GMIC Info Template.xlsm]ECO Calendar!R14C16</stp>
        <tr r="P14" s="2"/>
      </tp>
      <tp t="s">
        <v>Monthly</v>
        <stp/>
        <stp>##V3_BDPV12</stp>
        <stp>AHE YOY% Index</stp>
        <stp>INDX FREQ</stp>
        <stp>[GMIC Info Template.xlsm]ECO Calendar!R79C15</stp>
        <tr r="O79" s="2"/>
      </tp>
      <tp t="s">
        <v>Monthly</v>
        <stp/>
        <stp>##V3_BDPV12</stp>
        <stp>CONSCURR Index</stp>
        <stp>INDX FREQ</stp>
        <stp>[GMIC Info Template.xlsm]ECO Calendar!R11C15</stp>
        <tr r="O11" s="2"/>
      </tp>
      <tp t="s">
        <v>US92826C8394</v>
        <stp/>
        <stp>##V3_BDPV12</stp>
        <stp>V US Equity</stp>
        <stp>ID ISIN</stp>
        <stp>[GMIC Info Template.xlsm]Security Analysis!R22C3</stp>
        <tr r="C22" s="13"/>
      </tp>
      <tp>
        <v>0.28328140000000002</v>
        <stp/>
        <stp>##V3_BDPV12</stp>
        <stp>WMT US Equity</stp>
        <stp>CHG PCT 1YR</stp>
        <stp>[GMIC Info Template.xlsm]Security Analysis!R12C18</stp>
        <tr r="R12" s="13"/>
      </tp>
      <tp t="s">
        <v>Monthly</v>
        <stp/>
        <stp>##V3_BDPV12</stp>
        <stp>CNSTTMOM Index</stp>
        <stp>INDX FREQ</stp>
        <stp>[GMIC Info Template.xlsm]ECO Calendar!R62C15</stp>
        <tr r="O62" s="2"/>
      </tp>
      <tp t="s">
        <v>SUPERTEL HOSPITALITY INC</v>
        <stp/>
        <stp>##V3_BDPV12</stp>
        <stp>SPPR US EQUITY</stp>
        <stp>NAME</stp>
        <stp>[GMIC Info Template.xlsm]Most Up &amp; Down!R10C9</stp>
        <tr r="I10" s="9"/>
      </tp>
      <tp t="s">
        <v>US Labor Force Participation R</v>
        <stp/>
        <stp>##V3_BDPV12</stp>
        <stp>PRUSTOT Index</stp>
        <stp>NAME</stp>
        <stp>[GMIC Info Template.xlsm]ECO Calendar!R83C6</stp>
        <tr r="F83" s="2"/>
      </tp>
      <tp t="s">
        <v>United States</v>
        <stp/>
        <stp>##V3_BDPV12</stp>
        <stp>NYPMCURR Index</stp>
        <stp>REGION OR COUNTRY</stp>
        <stp>[GMIC Info Template.xlsm]ECO Calendar!R66C20</stp>
        <tr r="T66" s="2"/>
      </tp>
      <tp>
        <v>-35.779820000000001</v>
        <stp/>
        <stp>##V3_BDPV12</stp>
        <stp>ATHX US EQUITY</stp>
        <stp>CHG PCT 1D</stp>
        <stp>[GMIC Info Template.xlsm]Most Up &amp; Down!R22C12</stp>
        <tr r="L22" s="9"/>
      </tp>
      <tp t="s">
        <v>US Treasury Federal Budget Deb</v>
        <stp/>
        <stp>##V3_BDPV12</stp>
        <stp>FDDSSD Index</stp>
        <stp>NAME</stp>
        <stp>[GMIC Info Template.xlsm]ECO Calendar!R89C6</stp>
        <tr r="F89" s="2"/>
      </tp>
      <tp t="s">
        <v>Monthly</v>
        <stp/>
        <stp>##V3_BDPV12</stp>
        <stp>AWH TOTL Index</stp>
        <stp>INDX FREQ</stp>
        <stp>[GMIC Info Template.xlsm]ECO Calendar!R80C15</stp>
        <tr r="O80" s="2"/>
      </tp>
      <tp t="s">
        <v>MNI Chicago Business Barometer</v>
        <stp/>
        <stp>##V3_BDPV12</stp>
        <stp>CHPMINDX Index</stp>
        <stp>NAME</stp>
        <stp>[GMIC Info Template.xlsm]ECO Calendar!R59C6</stp>
        <tr r="F59" s="2"/>
      </tp>
      <tp t="s">
        <v>United States</v>
        <stp/>
        <stp>##V3_BDPV12</stp>
        <stp>SPCSUSAY Index</stp>
        <stp>REGION OR COUNTRY</stp>
        <stp>[GMIC Info Template.xlsm]ECO Calendar!R40C20</stp>
        <tr r="T40" s="2"/>
      </tp>
      <tp t="s">
        <v>US Auto Sales Total Annualized</v>
        <stp/>
        <stp>##V3_BDPV12</stp>
        <stp>SAARTOTL Index</stp>
        <stp>NAME</stp>
        <stp>[GMIC Info Template.xlsm]ECO Calendar!R64C6</stp>
        <tr r="F64" s="2"/>
      </tp>
      <tp>
        <v>5.9194979999999999</v>
        <stp/>
        <stp>##V3_BDPV12</stp>
        <stp>JNJ US Equity</stp>
        <stp>TRAIL 12M EPS</stp>
        <stp>[GMIC Info Template.xlsm]Security Analysis!R10C14</stp>
        <tr r="N10" s="13"/>
      </tp>
      <tp t="s">
        <v>USD</v>
        <stp/>
        <stp>##V3_BDPV12</stp>
        <stp>TRV US Equity</stp>
        <stp>CRNCY</stp>
        <stp>[GMIC Info Template.xlsm]Security Analysis!R36C12</stp>
        <tr r="L36" s="13"/>
      </tp>
      <tp t="s">
        <v>ADP National Employment Report</v>
        <stp/>
        <stp>##V3_BDPV12</stp>
        <stp>ADP CHNG Index</stp>
        <stp>NAME</stp>
        <stp>[GMIC Info Template.xlsm]ECO Calendar!R71C6</stp>
        <tr r="F71" s="2"/>
      </tp>
      <tp t="s">
        <v>US Labor Force Participation Rate Total SA</v>
        <stp/>
        <stp>##V3_BDPV12</stp>
        <stp>PRUSTOT Index</stp>
        <stp>Long Comp Name</stp>
        <stp>[GMIC Info Template.xlsm]ECO Calendar!R83C3</stp>
        <tr r="C83" s="2"/>
      </tp>
      <tp t="s">
        <v>#N/A N/A</v>
        <stp/>
        <stp>##V3_BDPV12</stp>
        <stp>ECONGECC Index</stp>
        <stp>SEASONALITY AND TRANSFORMATION</stp>
        <stp>[GMIC Info Template.xlsm]ECO Calendar!R84C11</stp>
        <tr r="K84" s="2"/>
      </tp>
      <tp t="s">
        <v>#N/A N/A</v>
        <stp/>
        <stp>##V3_BDPV12</stp>
        <stp>FDIUSGYO Index</stp>
        <stp>BN SURVEY MEDIAN</stp>
        <stp>[GMIC Info Template.xlsm]ECO Calendar!R101C8</stp>
        <tr r="H101" s="2"/>
      </tp>
      <tp t="s">
        <v>Value NSA</v>
        <stp/>
        <stp>##V3_BDPV12</stp>
        <stp>CONSSENT Index</stp>
        <stp>SEASONALITY AND TRANSFORMATION</stp>
        <stp>[GMIC Info Template.xlsm]ECO Calendar!R7C11</stp>
        <tr r="K7" s="2"/>
      </tp>
      <tp>
        <v>32.46</v>
        <stp/>
        <stp>##V3_BDPV12</stp>
        <stp>INTC US Equity</stp>
        <stp>PX ASK</stp>
        <stp>[GMIC Info Template.xlsm]Security Analysis!R23C13</stp>
        <tr r="M23" s="13"/>
      </tp>
      <tp t="s">
        <v>2/28/2015</v>
        <stp/>
        <stp>##V3_BDPV12</stp>
        <stp>USUDMAER Index</stp>
        <stp>PRIOR OBSERVATION DATE</stp>
        <stp>[GMIC Info Template.xlsm]ECO Calendar!R82C14</stp>
        <tr r="N82" s="2"/>
      </tp>
      <tp>
        <v>91059974.280000001</v>
        <stp/>
        <stp>##V3_BDPV12</stp>
        <stp>MOKO US EQUITY</stp>
        <stp>CUR MKT CAP</stp>
        <stp>[GMIC Info Template.xlsm]Most Up &amp; Down!R13C13</stp>
        <tr r="M13" s="9"/>
      </tp>
      <tp t="s">
        <v>5/1/2015</v>
        <stp/>
        <stp>##V3_BDPV12</stp>
        <stp>NAPMPRIC Index</stp>
        <stp>ECO RELEASE DT</stp>
        <stp>[GMIC Info Template.xlsm]ECO Calendar!R63C16</stp>
        <tr r="P63" s="2"/>
      </tp>
      <tp t="s">
        <v>None</v>
        <stp/>
        <stp>##V3_BDPV12</stp>
        <stp>CONSCURR Index</stp>
        <stp>SCALING FORMAT</stp>
        <stp>[GMIC Info Template.xlsm]ECO Calendar!R11C10</stp>
        <tr r="J11" s="2"/>
      </tp>
      <tp>
        <v>27.469124753892967</v>
        <stp/>
        <stp>##V3_BDPV12</stp>
        <stp>INTC US Equity</stp>
        <stp>OPER MARGIN</stp>
        <stp>[GMIC Info Template.xlsm]Security Analysis!R23C23</stp>
        <tr r="W23" s="13"/>
      </tp>
      <tp t="s">
        <v>None</v>
        <stp/>
        <stp>##V3_BDPV12</stp>
        <stp>NFP TMOM Index</stp>
        <stp>SCALING FORMAT</stp>
        <stp>[GMIC Info Template.xlsm]ECO Calendar!R120C10</stp>
        <tr r="J120" s="2"/>
      </tp>
      <tp>
        <v>53.968299999999999</v>
        <stp/>
        <stp>##V3_BDPV12</stp>
        <stp>ETSLMOM Index</stp>
        <stp>RELEVANCE VALUE</stp>
        <stp>[GMIC Info Template.xlsm]ECO Calendar!R23C19</stp>
        <tr r="S23" s="2"/>
      </tp>
      <tp t="s">
        <v>10:00:00 AM</v>
        <stp/>
        <stp>##V3_BDPV12</stp>
        <stp>CNSTTMOM Index</stp>
        <stp>ECO RELEASE TIME</stp>
        <stp>[GMIC Info Template.xlsm]ECO Calendar!R62C18</stp>
        <tr r="R62" s="2"/>
      </tp>
      <tp t="s">
        <v>9:45:00 AM</v>
        <stp/>
        <stp>##V3_BDPV12</stp>
        <stp>MPMIUSSA Index</stp>
        <stp>ECO RELEASE TIME</stp>
        <stp>[GMIC Info Template.xlsm]ECO Calendar!R36C18</stp>
        <tr r="R36" s="2"/>
      </tp>
      <tp t="s">
        <v>9:00:00 AM</v>
        <stp/>
        <stp>##V3_BDPV12</stp>
        <stp>SPCSUSQS Index</stp>
        <stp>ECO RELEASE TIME</stp>
        <stp>[GMIC Info Template.xlsm]ECO Calendar!R43C18</stp>
        <tr r="R43" s="2"/>
      </tp>
      <tp>
        <v>0.8</v>
        <stp/>
        <stp>##V3_BDPV12</stp>
        <stp>FDIUSGUY Index</stp>
        <stp>PX LAST</stp>
        <stp>[GMIC Info Template.xlsm]ECO Calendar!R103C7</stp>
        <tr r="G103" s="2"/>
      </tp>
      <tp>
        <v>90.476200000000006</v>
        <stp/>
        <stp>##V3_BDPV12</stp>
        <stp>NHSLTOT Index</stp>
        <stp>RELEVANCE VALUE</stp>
        <stp>[GMIC Info Template.xlsm]ECO Calendar!R29C19</stp>
        <tr r="S29" s="2"/>
      </tp>
      <tp t="s">
        <v>YoY% NSA</v>
        <stp/>
        <stp>##V3_BDPV12</stp>
        <stp>CPI YOY Index</stp>
        <stp>SEASONALITY AND TRANSFORMATION</stp>
        <stp>[GMIC Info Template.xlsm]ECO Calendar!R14C11</stp>
        <tr r="K14" s="2"/>
      </tp>
      <tp t="s">
        <v>None</v>
        <stp/>
        <stp>##V3_BDPV12</stp>
        <stp>NFP TYOY Index</stp>
        <stp>SCALING FORMAT</stp>
        <stp>[GMIC Info Template.xlsm]ECO Calendar!R121C10</stp>
        <tr r="J121" s="2"/>
      </tp>
      <tp t="s">
        <v>Thousand</v>
        <stp/>
        <stp>##V3_BDPV12</stp>
        <stp>NFP TYCH Index</stp>
        <stp>SCALING FORMAT</stp>
        <stp>[GMIC Info Template.xlsm]ECO Calendar!R119C10</stp>
        <tr r="J119" s="2"/>
      </tp>
      <tp t="s">
        <v>9:45:00 AM</v>
        <stp/>
        <stp>##V3_BDPV12</stp>
        <stp>MPMIUSCA Index</stp>
        <stp>ECO RELEASE TIME</stp>
        <stp>[GMIC Info Template.xlsm]ECO Calendar!R35C18</stp>
        <tr r="R35" s="2"/>
      </tp>
      <tp t="s">
        <v>9:45:00 AM</v>
        <stp/>
        <stp>##V3_BDPV12</stp>
        <stp>MPMIUSMA Index</stp>
        <stp>ECO RELEASE TIME</stp>
        <stp>[GMIC Info Template.xlsm]ECO Calendar!R27C18</stp>
        <tr r="R27" s="2"/>
      </tp>
      <tp t="s">
        <v>9:00:00 AM</v>
        <stp/>
        <stp>##V3_BDPV12</stp>
        <stp>SPCSUSAY Index</stp>
        <stp>ECO RELEASE TIME</stp>
        <stp>[GMIC Info Template.xlsm]ECO Calendar!R40C18</stp>
        <tr r="R40" s="2"/>
      </tp>
      <tp t="s">
        <v>2/28/2015</v>
        <stp/>
        <stp>##V3_BDPV12</stp>
        <stp>IPMGCHNG Index</stp>
        <stp>PRIOR OBSERVATION DATE</stp>
        <stp>[GMIC Info Template.xlsm]ECO Calendar!R106C14</stp>
        <tr r="N106" s="2"/>
      </tp>
      <tp t="s">
        <v>Monthly</v>
        <stp/>
        <stp>##V3_BDPV12</stp>
        <stp>USPHTMOM Index</stp>
        <stp>INDX FREQ</stp>
        <stp>[GMIC Info Template.xlsm]ECO Calendar!R46C15</stp>
        <tr r="O46" s="2"/>
      </tp>
      <tp>
        <v>21.596679999999999</v>
        <stp/>
        <stp>##V3_BDPV12</stp>
        <stp>TRV US Equity</stp>
        <stp>CHG PCT 1YR</stp>
        <stp>[GMIC Info Template.xlsm]Security Analysis!R36C18</stp>
        <tr r="R36" s="13"/>
      </tp>
      <tp t="s">
        <v>United States</v>
        <stp/>
        <stp>##V3_BDPV12</stp>
        <stp>GDP PIQQ Index</stp>
        <stp>REGION OR COUNTRY</stp>
        <stp>[GMIC Info Template.xlsm]ECO Calendar!R49C20</stp>
        <tr r="T49" s="2"/>
      </tp>
      <tp>
        <v>4.3066051473856861</v>
        <stp/>
        <stp>##V3_BDPV12</stp>
        <stp>UNH US Equity</stp>
        <stp>PROF MARGIN</stp>
        <stp>[GMIC Info Template.xlsm]Security Analysis!R26C24</stp>
        <tr r="X26" s="13"/>
      </tp>
      <tp t="s">
        <v>Monthly</v>
        <stp/>
        <stp>##V3_BDPV12</stp>
        <stp>USPHTYOY Index</stp>
        <stp>INDX FREQ</stp>
        <stp>[GMIC Info Template.xlsm]ECO Calendar!R47C15</stp>
        <tr r="O47" s="2"/>
      </tp>
      <tp>
        <v>9.5545314900153606</v>
        <stp/>
        <stp>##V3_BDPV12</stp>
        <stp>UTX US Equity</stp>
        <stp>PROF MARGIN</stp>
        <stp>[GMIC Info Template.xlsm]Security Analysis!R28C24</stp>
        <tr r="X28" s="13"/>
      </tp>
      <tp t="s">
        <v>University of Michigan Consume</v>
        <stp/>
        <stp>##V3_BDPV12</stp>
        <stp>CONSEXP Index</stp>
        <stp>NAME</stp>
        <stp>[GMIC Info Template.xlsm]ECO Calendar!R10C6</stp>
        <tr r="F10" s="2"/>
      </tp>
      <tp t="s">
        <v>8:30:00 AM</v>
        <stp/>
        <stp>##V3_BDPV12</stp>
        <stp>INJCSP Index</stp>
        <stp>ECO RELEASE TIME</stp>
        <stp>[GMIC Info Template.xlsm]ECO Calendar!R26C18</stp>
        <tr r="R26" s="2"/>
      </tp>
      <tp t="s">
        <v>8:30:00 AM</v>
        <stp/>
        <stp>##V3_BDPV12</stp>
        <stp>INJCJC Index</stp>
        <stp>ECO RELEASE TIME</stp>
        <stp>[GMIC Info Template.xlsm]ECO Calendar!R25C18</stp>
        <tr r="R25" s="2"/>
      </tp>
      <tp t="s">
        <v>Quarterly</v>
        <stp/>
        <stp>##V3_BDPV12</stp>
        <stp>GDP CQOQ Index</stp>
        <stp>INDX FREQ</stp>
        <stp>[GMIC Info Template.xlsm]ECO Calendar!R48C15</stp>
        <tr r="O48" s="2"/>
      </tp>
      <tp t="s">
        <v>2/28/2015</v>
        <stp/>
        <stp>##V3_BDPV12</stp>
        <stp>CHPMINDX Index</stp>
        <stp>PRIOR OBSERVATION DATE</stp>
        <stp>[GMIC Info Template.xlsm]ECO Calendar!R59C14</stp>
        <tr r="N59" s="2"/>
      </tp>
      <tp>
        <v>112330586.19999999</v>
        <stp/>
        <stp>##V3_BDPV12</stp>
        <stp>ATHX US EQUITY</stp>
        <stp>CUR MKT CAP</stp>
        <stp>[GMIC Info Template.xlsm]Most Up &amp; Down!R22C13</stp>
        <tr r="M22" s="9"/>
      </tp>
      <tp t="s">
        <v>2/28/2015</v>
        <stp/>
        <stp>##V3_BDPV12</stp>
        <stp>CPUPAXFE Index</stp>
        <stp>PRIOR OBSERVATION DATE</stp>
        <stp>[GMIC Info Template.xlsm]ECO Calendar!R16C14</stp>
        <tr r="N16" s="2"/>
      </tp>
      <tp t="s">
        <v>#N/A N/A</v>
        <stp/>
        <stp>##V3_BDPV12</stp>
        <stp>FDIDSGUM Index</stp>
        <stp>BN SURVEY MEDIAN</stp>
        <stp>[GMIC Info Template.xlsm]ECO Calendar!R102C8</stp>
        <tr r="H102" s="2"/>
      </tp>
      <tp t="s">
        <v>2/28/2015</v>
        <stp/>
        <stp>##V3_BDPV12</stp>
        <stp>MAPMINDX Index</stp>
        <stp>PRIOR OBSERVATION DATE</stp>
        <stp>[GMIC Info Template.xlsm]ECO Calendar!R60C14</stp>
        <tr r="N60" s="2"/>
      </tp>
      <tp t="s">
        <v>5/8/2015</v>
        <stp/>
        <stp>##V3_BDPV12</stp>
        <stp>ECONGECC Index</stp>
        <stp>ECO RELEASE DT</stp>
        <stp>[GMIC Info Template.xlsm]ECO Calendar!R84C16</stp>
        <tr r="P84" s="2"/>
      </tp>
      <tp t="s">
        <v>% Balance/Diffusion Index NSA</v>
        <stp/>
        <stp>##V3_BDPV12</stp>
        <stp>NAPMPRIC Index</stp>
        <stp>SEASONALITY AND TRANSFORMATION</stp>
        <stp>[GMIC Info Template.xlsm]ECO Calendar!R63C11</stp>
        <tr r="K63" s="2"/>
      </tp>
      <tp t="s">
        <v>Value NSA</v>
        <stp/>
        <stp>##V3_BDPV12</stp>
        <stp>CONSPXMD Index</stp>
        <stp>SEASONALITY AND TRANSFORMATION</stp>
        <stp>[GMIC Info Template.xlsm]ECO Calendar!R9C11</stp>
        <tr r="K9" s="2"/>
      </tp>
      <tp t="s">
        <v>Value NSA</v>
        <stp/>
        <stp>##V3_BDPV12</stp>
        <stp>CONSP5MD Index</stp>
        <stp>SEASONALITY AND TRANSFORMATION</stp>
        <stp>[GMIC Info Template.xlsm]ECO Calendar!R8C11</stp>
        <tr r="K8" s="2"/>
      </tp>
      <tp>
        <v>73.015900000000002</v>
        <stp/>
        <stp>##V3_BDPV12</stp>
        <stp>NAPMPRIC Index</stp>
        <stp>RELEVANCE VALUE</stp>
        <stp>[GMIC Info Template.xlsm]ECO Calendar!R63C19</stp>
        <tr r="S63" s="2"/>
      </tp>
      <tp>
        <v>76.984099999999998</v>
        <stp/>
        <stp>##V3_BDPV12</stp>
        <stp>NAPMNMI Index</stp>
        <stp>RELEVANCE VALUE</stp>
        <stp>[GMIC Info Template.xlsm]ECO Calendar!R69C19</stp>
        <tr r="S69" s="2"/>
      </tp>
      <tp>
        <v>0.2</v>
        <stp/>
        <stp>##V3_BDPV12</stp>
        <stp>FDIDSGUM Index</stp>
        <stp>PX LAST</stp>
        <stp>[GMIC Info Template.xlsm]ECO Calendar!R102C7</stp>
        <tr r="G102" s="2"/>
      </tp>
      <tp t="s">
        <v>8:30:00 AM</v>
        <stp/>
        <stp>##V3_BDPV12</stp>
        <stp>IMP1YOY% Index</stp>
        <stp>ECO RELEASE TIME</stp>
        <stp>[GMIC Info Template.xlsm]ECO Calendar!R92C18</stp>
        <tr r="R92" s="2"/>
      </tp>
      <tp t="s">
        <v>11:00:00 AM</v>
        <stp/>
        <stp>##V3_BDPV12</stp>
        <stp>KCLSSACI Index</stp>
        <stp>ECO RELEASE TIME</stp>
        <stp>[GMIC Info Template.xlsm]ECO Calendar!R28C18</stp>
        <tr r="R28" s="2"/>
      </tp>
      <tp>
        <v>96.031700000000001</v>
        <stp/>
        <stp>##V3_BDPV12</stp>
        <stp>NAPMPMI Index</stp>
        <stp>RELEVANCE VALUE</stp>
        <stp>[GMIC Info Template.xlsm]ECO Calendar!R61C19</stp>
        <tr r="S61" s="2"/>
      </tp>
      <tp>
        <v>23.015899999999998</v>
        <stp/>
        <stp>##V3_BDPV12</stp>
        <stp>JOLTTOTL Index</stp>
        <stp>RELEVANCE VALUE</stp>
        <stp>[GMIC Info Template.xlsm]ECO Calendar!R88C19</stp>
        <tr r="S88" s="2"/>
      </tp>
      <tp>
        <v>-2.918107</v>
        <stp/>
        <stp>##V3_BDPV12</stp>
        <stp>UTX US Equity</stp>
        <stp>CHG PCT 1YR</stp>
        <stp>[GMIC Info Template.xlsm]Security Analysis!R28C18</stp>
        <tr r="R28" s="13"/>
      </tp>
      <tp t="s">
        <v>Monthly</v>
        <stp/>
        <stp>##V3_BDPV12</stp>
        <stp>MPMIUSSA Index</stp>
        <stp>INDX FREQ</stp>
        <stp>[GMIC Info Template.xlsm]ECO Calendar!R36C15</stp>
        <tr r="O36" s="2"/>
      </tp>
      <tp>
        <v>13.5925189603122</v>
        <stp/>
        <stp>##V3_BDPV12</stp>
        <stp>TRV US Equity</stp>
        <stp>PROF MARGIN</stp>
        <stp>[GMIC Info Template.xlsm]Security Analysis!R36C24</stp>
        <tr r="X36" s="13"/>
      </tp>
      <tp>
        <v>56.650829999999999</v>
        <stp/>
        <stp>##V3_BDPV12</stp>
        <stp>UNH US Equity</stp>
        <stp>CHG PCT 1YR</stp>
        <stp>[GMIC Info Template.xlsm]Security Analysis!R26C18</stp>
        <tr r="R26" s="13"/>
      </tp>
      <tp t="s">
        <v>Monthly</v>
        <stp/>
        <stp>##V3_BDPV12</stp>
        <stp>ADP CHNG Index</stp>
        <stp>INDX FREQ</stp>
        <stp>[GMIC Info Template.xlsm]ECO Calendar!R71C15</stp>
        <tr r="O71" s="2"/>
      </tp>
      <tp t="s">
        <v>S&amp;P/Case-Shiller United States</v>
        <stp/>
        <stp>##V3_BDPV12</stp>
        <stp>SPCSUSA Index</stp>
        <stp>NAME</stp>
        <stp>[GMIC Info Template.xlsm]ECO Calendar!R41C6</stp>
        <tr r="F41" s="2"/>
      </tp>
      <tp t="s">
        <v>University of Michigan Current</v>
        <stp/>
        <stp>##V3_BDPV12</stp>
        <stp>CONSCURR Index</stp>
        <stp>NAME</stp>
        <stp>[GMIC Info Template.xlsm]ECO Calendar!R11C6</stp>
        <tr r="F11" s="2"/>
      </tp>
      <tp>
        <v>-15.12346</v>
        <stp/>
        <stp>##V3_BDPV12</stp>
        <stp>NVDQ US EQUITY</stp>
        <stp>CHG PCT 1D</stp>
        <stp>[GMIC Info Template.xlsm]Most Up &amp; Down!R27C12</stp>
        <tr r="L27" s="9"/>
      </tp>
      <tp t="s">
        <v>Monthly</v>
        <stp/>
        <stp>##V3_BDPV12</stp>
        <stp>IMP1CHNG Index</stp>
        <stp>INDX FREQ</stp>
        <stp>[GMIC Info Template.xlsm]ECO Calendar!R91C15</stp>
        <tr r="O91" s="2"/>
      </tp>
      <tp t="s">
        <v>US Initial Jobless Claims SA</v>
        <stp/>
        <stp>##V3_BDPV12</stp>
        <stp>INJCJC Index</stp>
        <stp>NAME</stp>
        <stp>[GMIC Info Template.xlsm]ECO Calendar!R25C6</stp>
        <tr r="F25" s="2"/>
      </tp>
      <tp t="s">
        <v>United States</v>
        <stp/>
        <stp>##V3_BDPV12</stp>
        <stp>MPMIUSMA Index</stp>
        <stp>REGION OR COUNTRY</stp>
        <stp>[GMIC Info Template.xlsm]ECO Calendar!R27C20</stp>
        <tr r="T27" s="2"/>
      </tp>
      <tp t="s">
        <v>United States</v>
        <stp/>
        <stp>##V3_BDPV12</stp>
        <stp>TMNOCHNG Index</stp>
        <stp>REGION OR COUNTRY</stp>
        <stp>[GMIC Info Template.xlsm]ECO Calendar!R67C20</stp>
        <tr r="T67" s="2"/>
      </tp>
      <tp t="s">
        <v>United States</v>
        <stp/>
        <stp>##V3_BDPV12</stp>
        <stp>DGNOCHNG Index</stp>
        <stp>REGION OR COUNTRY</stp>
        <stp>[GMIC Info Template.xlsm]ECO Calendar!R31C20</stp>
        <tr r="T31" s="2"/>
      </tp>
      <tp t="s">
        <v>United States</v>
        <stp/>
        <stp>##V3_BDPV12</stp>
        <stp>LMCILMCC Index</stp>
        <stp>REGION OR COUNTRY</stp>
        <stp>[GMIC Info Template.xlsm]ECO Calendar!R87C20</stp>
        <tr r="T87" s="2"/>
      </tp>
      <tp t="s">
        <v>United States</v>
        <stp/>
        <stp>##V3_BDPV12</stp>
        <stp>CONCCONF Index</stp>
        <stp>REGION OR COUNTRY</stp>
        <stp>[GMIC Info Template.xlsm]ECO Calendar!R45C20</stp>
        <tr r="T45" s="2"/>
      </tp>
      <tp t="s">
        <v>United States</v>
        <stp/>
        <stp>##V3_BDPV12</stp>
        <stp>CONCCONF Index</stp>
        <stp>REGION OR COUNTRY</stp>
        <stp>[GMIC Info Template.xlsm]ECO Calendar!R44C20</stp>
        <tr r="T44" s="2"/>
      </tp>
      <tp>
        <v>5.9512559999999999</v>
        <stp/>
        <stp>##V3_BDPV12</stp>
        <stp>UNH US Equity</stp>
        <stp>TRAIL 12M EPS</stp>
        <stp>[GMIC Info Template.xlsm]Security Analysis!R26C14</stp>
        <tr r="N26" s="13"/>
      </tp>
      <tp t="s">
        <v>USD</v>
        <stp/>
        <stp>##V3_BDPV12</stp>
        <stp>CAT US Equity</stp>
        <stp>CRNCY</stp>
        <stp>[GMIC Info Template.xlsm]Security Analysis!R35C12</stp>
        <tr r="L35" s="13"/>
      </tp>
      <tp t="s">
        <v>USD</v>
        <stp/>
        <stp>##V3_BDPV12</stp>
        <stp>WMT US Equity</stp>
        <stp>CRNCY</stp>
        <stp>[GMIC Info Template.xlsm]Security Analysis!R12C12</stp>
        <tr r="L12" s="13"/>
      </tp>
      <tp t="s">
        <v>United States</v>
        <stp/>
        <stp>##V3_BDPV12</stp>
        <stp>COMFCOMF Index</stp>
        <stp>REGION OR COUNTRY</stp>
        <stp>[GMIC Info Template.xlsm]ECO Calendar!R24C20</stp>
        <tr r="T24" s="2"/>
      </tp>
      <tp t="s">
        <v>5/13/2015</v>
        <stp/>
        <stp>##V3_BDPV12</stp>
        <stp>RSTAXAGM Index</stp>
        <stp>ECO RELEASE DT</stp>
        <stp>[GMIC Info Template.xlsm]ECO Calendar!R96C16</stp>
        <tr r="P96" s="2"/>
      </tp>
      <tp t="s">
        <v>5/13/2015</v>
        <stp/>
        <stp>##V3_BDPV12</stp>
        <stp>RSTAXMOM Index</stp>
        <stp>ECO RELEASE DT</stp>
        <stp>[GMIC Info Template.xlsm]ECO Calendar!R94C16</stp>
        <tr r="P94" s="2"/>
      </tp>
      <tp>
        <v>830341399.58000004</v>
        <stp/>
        <stp>##V3_BDPV12</stp>
        <stp>XBIT US EQUITY</stp>
        <stp>CUR MKT CAP</stp>
        <stp>[GMIC Info Template.xlsm]Most Up &amp; Down!R17C13</stp>
        <tr r="M17" s="9"/>
      </tp>
      <tp t="s">
        <v>#N/A N/A</v>
        <stp/>
        <stp>##V3_BDPV12</stp>
        <stp>FDIUSGUY Index</stp>
        <stp>BN SURVEY MEDIAN</stp>
        <stp>[GMIC Info Template.xlsm]ECO Calendar!R103C8</stp>
        <tr r="H103" s="2"/>
      </tp>
      <tp>
        <v>0.99198787724531878</v>
        <stp/>
        <stp>##V3_BDPV12</stp>
        <stp>INTC US Equity</stp>
        <stp>BETA RAW OVERRIDABLE</stp>
        <stp>[GMIC Info Template.xlsm]Security Analysis!R23C10</stp>
        <stp>BETA_OVERRIDE_REL_INDEX=SPX INDEX</stp>
        <tr r="J23" s="13"/>
      </tp>
      <tp t="s">
        <v>US Empire State Manufacturing Survey General Business Conditions SA</v>
        <stp/>
        <stp>##V3_BDPV12</stp>
        <stp>EMPRGBCI Index</stp>
        <stp>Long Comp Name</stp>
        <stp>[GMIC Info Template.xlsm]ECO Calendar!R107C3</stp>
        <tr r="C107" s="2"/>
      </tp>
      <tp t="s">
        <v>2/28/2015</v>
        <stp/>
        <stp>##V3_BDPV12</stp>
        <stp>IMP1YOY% Index</stp>
        <stp>PRIOR OBSERVATION DATE</stp>
        <stp>[GMIC Info Template.xlsm]ECO Calendar!R92C14</stp>
        <tr r="N92" s="2"/>
      </tp>
      <tp t="s">
        <v>5/5/2015</v>
        <stp/>
        <stp>##V3_BDPV12</stp>
        <stp>ECONUSIB Index</stp>
        <stp>ECO RELEASE DT</stp>
        <stp>[GMIC Info Template.xlsm]ECO Calendar!R70C16</stp>
        <tr r="P70" s="2"/>
      </tp>
      <tp>
        <v>17049681</v>
        <stp/>
        <stp>##V3_BDPV12</stp>
        <stp>PBIB US EQUITY</stp>
        <stp>CUR MKT CAP</stp>
        <stp>[GMIC Info Template.xlsm]Most Up &amp; Down!R28C13</stp>
        <tr r="M28" s="9"/>
      </tp>
      <tp t="s">
        <v>Percent SA</v>
        <stp/>
        <stp>##V3_BDPV12</stp>
        <stp>CPTICHNG Index</stp>
        <stp>SEASONALITY AND TRANSFORMATION</stp>
        <stp>[GMIC Info Template.xlsm]ECO Calendar!R105C11</stp>
        <tr r="K105" s="2"/>
      </tp>
      <tp t="s">
        <v>8:30:00 AM</v>
        <stp/>
        <stp>##V3_BDPV12</stp>
        <stp>IMP1CHNG Index</stp>
        <stp>ECO RELEASE TIME</stp>
        <stp>[GMIC Info Template.xlsm]ECO Calendar!R91C18</stp>
        <tr r="R91" s="2"/>
      </tp>
      <tp t="s">
        <v>YoY% SA</v>
        <stp/>
        <stp>##V3_BDPV12</stp>
        <stp>CONCCYOY Index</stp>
        <stp>SEASONALITY AND TRANSFORMATION</stp>
        <stp>[GMIC Info Template.xlsm]ECO Calendar!R122C11</stp>
        <tr r="K122" s="2"/>
      </tp>
      <tp t="s">
        <v>10:00:00 AM</v>
        <stp/>
        <stp>##V3_BDPV12</stp>
        <stp>TMNOCHNG Index</stp>
        <stp>ECO RELEASE TIME</stp>
        <stp>[GMIC Info Template.xlsm]ECO Calendar!R67C18</stp>
        <tr r="R67" s="2"/>
      </tp>
      <tp>
        <v>2.5978940000000001</v>
        <stp/>
        <stp>##V3_BDPV12</stp>
        <stp>GE US Equity</stp>
        <stp>CHG PCT 1YR</stp>
        <stp>[GMIC Info Template.xlsm]Security Analysis!R11C18</stp>
        <tr r="R11" s="13"/>
      </tp>
      <tp>
        <v>25.349340000000002</v>
        <stp/>
        <stp>##V3_BDPV12</stp>
        <stp>GS US Equity</stp>
        <stp>CHG PCT 1YR</stp>
        <stp>[GMIC Info Template.xlsm]Security Analysis!R31C18</stp>
        <tr r="R31" s="13"/>
      </tp>
      <tp>
        <v>6.822927</v>
        <stp/>
        <stp>##V3_BDPV12</stp>
        <stp>DD US Equity</stp>
        <stp>CHG PCT 1YR</stp>
        <stp>[GMIC Info Template.xlsm]Security Analysis!R34C18</stp>
        <tr r="R34" s="13"/>
      </tp>
      <tp>
        <v>16.948090000000001</v>
        <stp/>
        <stp>##V3_BDPV12</stp>
        <stp>BA US Equity</stp>
        <stp>CHG PCT 1YR</stp>
        <stp>[GMIC Info Template.xlsm]Security Analysis!R27C18</stp>
        <tr r="R27" s="13"/>
      </tp>
      <tp t="s">
        <v>Monthly</v>
        <stp/>
        <stp>##V3_BDPV12</stp>
        <stp>NAPMPRIC Index</stp>
        <stp>INDX FREQ</stp>
        <stp>[GMIC Info Template.xlsm]ECO Calendar!R63C15</stp>
        <tr r="O63" s="2"/>
      </tp>
      <tp>
        <v>-1.0314369999999999</v>
        <stp/>
        <stp>##V3_BDPV12</stp>
        <stp>KO US Equity</stp>
        <stp>CHG PCT 1YR</stp>
        <stp>[GMIC Info Template.xlsm]Security Analysis!R19C18</stp>
        <tr r="R19" s="13"/>
      </tp>
      <tp>
        <v>45.414459999999998</v>
        <stp/>
        <stp>##V3_BDPV12</stp>
        <stp>HD US Equity</stp>
        <stp>CHG PCT 1YR</stp>
        <stp>[GMIC Info Template.xlsm]Security Analysis!R24C18</stp>
        <tr r="R24" s="13"/>
      </tp>
      <tp>
        <v>2.731096</v>
        <stp/>
        <stp>##V3_BDPV12</stp>
        <stp>VZ US Equity</stp>
        <stp>CHG PCT 1YR</stp>
        <stp>[GMIC Info Template.xlsm]Security Analysis!R17C18</stp>
        <tr r="R17" s="13"/>
      </tp>
      <tp t="s">
        <v>3M CO</v>
        <stp/>
        <stp>##V3_BDPV12</stp>
        <stp>MMM US Equity</stp>
        <stp>SHORT NAME</stp>
        <stp>[GMIC Info Template.xlsm]Security Analysis!R29C2</stp>
        <tr r="B29" s="13"/>
      </tp>
      <tp t="s">
        <v>MCDONALDS CORP</v>
        <stp/>
        <stp>##V3_BDPV12</stp>
        <stp>MCD US Equity</stp>
        <stp>SHORT NAME</stp>
        <stp>[GMIC Info Template.xlsm]Security Analysis!R30C2</stp>
        <tr r="B30" s="13"/>
      </tp>
      <tp>
        <v>0.94177820000000001</v>
        <stp/>
        <stp>##V3_BDPV12</stp>
        <stp>PG US Equity</stp>
        <stp>CHG PCT 1YR</stp>
        <stp>[GMIC Info Template.xlsm]Security Analysis!R14C18</stp>
        <tr r="R14" s="13"/>
      </tp>
      <tp t="s">
        <v>United States</v>
        <stp/>
        <stp>##V3_BDPV12</stp>
        <stp>CGNOXAI% Index</stp>
        <stp>REGION OR COUNTRY</stp>
        <stp>[GMIC Info Template.xlsm]ECO Calendar!R33C20</stp>
        <tr r="T33" s="2"/>
      </tp>
      <tp t="s">
        <v>United States</v>
        <stp/>
        <stp>##V3_BDPV12</stp>
        <stp>LEI CHNG Index</stp>
        <stp>REGION OR COUNTRY</stp>
        <stp>[GMIC Info Template.xlsm]ECO Calendar!R18C20</stp>
        <tr r="T18" s="2"/>
      </tp>
      <tp t="s">
        <v>United States</v>
        <stp/>
        <stp>##V3_BDPV12</stp>
        <stp>CPI CHNG Index</stp>
        <stp>REGION OR COUNTRY</stp>
        <stp>[GMIC Info Template.xlsm]ECO Calendar!R12C20</stp>
        <tr r="T12" s="2"/>
      </tp>
      <tp t="s">
        <v>3:00:00 PM</v>
        <stp/>
        <stp>##V3_BDPV12</stp>
        <stp>CICRTOT Index</stp>
        <stp>ECO RELEASE TIME</stp>
        <stp>[GMIC Info Template.xlsm]ECO Calendar!R73C18</stp>
        <tr r="R73" s="2"/>
      </tp>
      <tp t="s">
        <v>US CPI Urban Consumers NSA</v>
        <stp/>
        <stp>##V3_BDPV12</stp>
        <stp>CPURNSA Index</stp>
        <stp>NAME</stp>
        <stp>[GMIC Info Template.xlsm]ECO Calendar!R17C6</stp>
        <tr r="F17" s="2"/>
      </tp>
      <tp t="s">
        <v>Net Revisions to Nonfarm Payro</v>
        <stp/>
        <stp>##V3_BDPV12</stp>
        <stp>ECONGECC Index</stp>
        <stp>NAME</stp>
        <stp>[GMIC Info Template.xlsm]ECO Calendar!R84C6</stp>
        <tr r="F84" s="2"/>
      </tp>
      <tp t="s">
        <v>S&amp;P/Case-Shiller United States</v>
        <stp/>
        <stp>##V3_BDPV12</stp>
        <stp>SPCSUSAY Index</stp>
        <stp>NAME</stp>
        <stp>[GMIC Info Template.xlsm]ECO Calendar!R40C6</stp>
        <tr r="F40" s="2"/>
      </tp>
      <tp t="s">
        <v>United States</v>
        <stp/>
        <stp>##V3_BDPV12</stp>
        <stp>MWINCHNG Index</stp>
        <stp>REGION OR COUNTRY</stp>
        <stp>[GMIC Info Template.xlsm]ECO Calendar!R85C20</stp>
        <tr r="T85" s="2"/>
      </tp>
      <tp t="s">
        <v>US Durable Goods New Orders In</v>
        <stp/>
        <stp>##V3_BDPV12</stp>
        <stp>DGNOCHNG Index</stp>
        <stp>NAME</stp>
        <stp>[GMIC Info Template.xlsm]ECO Calendar!R31C6</stp>
        <tr r="F31" s="2"/>
      </tp>
      <tp t="s">
        <v>United States</v>
        <stp/>
        <stp>##V3_BDPV12</stp>
        <stp>MTIBCHNG Index</stp>
        <stp>REGION OR COUNTRY</stp>
        <stp>[GMIC Info Template.xlsm]ECO Calendar!R97C20</stp>
        <tr r="T97" s="2"/>
      </tp>
      <tp t="s">
        <v>USD</v>
        <stp/>
        <stp>##V3_BDPV12</stp>
        <stp>DIS US Equity</stp>
        <stp>CRNCY</stp>
        <stp>[GMIC Info Template.xlsm]Security Analysis!R18C12</stp>
        <tr r="L18" s="13"/>
      </tp>
      <tp t="s">
        <v>United States</v>
        <stp/>
        <stp>##V3_BDPV12</stp>
        <stp>ETSLTOTL Index</stp>
        <stp>REGION OR COUNTRY</stp>
        <stp>[GMIC Info Template.xlsm]ECO Calendar!R22C20</stp>
        <tr r="T22" s="2"/>
      </tp>
      <tp t="s">
        <v>US Pending Home Sales Index Yo</v>
        <stp/>
        <stp>##V3_BDPV12</stp>
        <stp>USPHTYOY Index</stp>
        <stp>NAME</stp>
        <stp>[GMIC Info Template.xlsm]ECO Calendar!R47C6</stp>
        <tr r="F47" s="2"/>
      </tp>
      <tp t="s">
        <v>4/23/2015</v>
        <stp/>
        <stp>##V3_BDPV12</stp>
        <stp>NHSLCHNG Index</stp>
        <stp>ECO RELEASE DT</stp>
        <stp>[GMIC Info Template.xlsm]ECO Calendar!R30C16</stp>
        <tr r="P30" s="2"/>
      </tp>
      <tp t="s">
        <v>MoM% SA</v>
        <stp/>
        <stp>##V3_BDPV12</stp>
        <stp>DGNOCHNG Index</stp>
        <stp>SEASONALITY AND TRANSFORMATION</stp>
        <stp>[GMIC Info Template.xlsm]ECO Calendar!R31C11</stp>
        <tr r="K31" s="2"/>
      </tp>
      <tp>
        <v>0.980353594096534</v>
        <stp/>
        <stp>##V3_BDPV12</stp>
        <stp>BA US Equity</stp>
        <stp>BETA RAW OVERRIDABLE</stp>
        <stp>[GMIC Info Template.xlsm]Security Analysis!R27C10</stp>
        <stp>BETA_OVERRIDE_REL_INDEX=SPX INDEX</stp>
        <tr r="J27" s="13"/>
      </tp>
      <tp t="s">
        <v>US PPI Final Demand Less Foods and Energy YoY NSA</v>
        <stp/>
        <stp>##V3_BDPV12</stp>
        <stp>FDIUSGYO Index</stp>
        <stp>Long Comp Name</stp>
        <stp>[GMIC Info Template.xlsm]ECO Calendar!R101C3</stp>
        <tr r="C101" s="2"/>
      </tp>
      <tp>
        <v>0.92653619193896286</v>
        <stp/>
        <stp>##V3_BDPV12</stp>
        <stp>HD US Equity</stp>
        <stp>BETA RAW OVERRIDABLE</stp>
        <stp>[GMIC Info Template.xlsm]Security Analysis!R24C10</stp>
        <stp>BETA_OVERRIDE_REL_INDEX=SPX INDEX</stp>
        <tr r="J24" s="13"/>
      </tp>
      <tp t="s">
        <v>5/8/2015</v>
        <stp/>
        <stp>##V3_BDPV12</stp>
        <stp>MWSLCHNG Index</stp>
        <stp>ECO RELEASE DT</stp>
        <stp>[GMIC Info Template.xlsm]ECO Calendar!R86C16</stp>
        <tr r="P86" s="2"/>
      </tp>
      <tp t="s">
        <v>5/14/2015</v>
        <stp/>
        <stp>##V3_BDPV12</stp>
        <stp>FDIDFDMO Index</stp>
        <stp>ECO RELEASE DT</stp>
        <stp>[GMIC Info Template.xlsm]ECO Calendar!R98C16</stp>
        <tr r="P98" s="2"/>
      </tp>
      <tp t="s">
        <v>MoM% SA</v>
        <stp/>
        <stp>##V3_BDPV12</stp>
        <stp>TMNOCHNG Index</stp>
        <stp>SEASONALITY AND TRANSFORMATION</stp>
        <stp>[GMIC Info Template.xlsm]ECO Calendar!R67C11</stp>
        <tr r="K67" s="2"/>
      </tp>
      <tp t="s">
        <v>US CPI Urban Consumers YoY NSA</v>
        <stp/>
        <stp>##V3_BDPV12</stp>
        <stp>CPI YOY Index</stp>
        <stp>Long Comp Name</stp>
        <stp>[GMIC Info Template.xlsm]ECO Calendar!R14C3</stp>
        <tr r="C14" s="2"/>
      </tp>
      <tp t="s">
        <v>% Balance/Diffusion Index SA</v>
        <stp/>
        <stp>##V3_BDPV12</stp>
        <stp>MPMIUSMA Index</stp>
        <stp>SEASONALITY AND TRANSFORMATION</stp>
        <stp>[GMIC Info Template.xlsm]ECO Calendar!R27C11</stp>
        <tr r="K27" s="2"/>
      </tp>
      <tp t="s">
        <v>% Balance/Diffusion Index SA</v>
        <stp/>
        <stp>##V3_BDPV12</stp>
        <stp>MPMIUSCA Index</stp>
        <stp>SEASONALITY AND TRANSFORMATION</stp>
        <stp>[GMIC Info Template.xlsm]ECO Calendar!R35C11</stp>
        <tr r="K35" s="2"/>
      </tp>
      <tp t="s">
        <v>% Balance/Diffusion Index SA</v>
        <stp/>
        <stp>##V3_BDPV12</stp>
        <stp>MPMIUSSA Index</stp>
        <stp>SEASONALITY AND TRANSFORMATION</stp>
        <stp>[GMIC Info Template.xlsm]ECO Calendar!R36C11</stp>
        <tr r="K36" s="2"/>
      </tp>
      <tp t="s">
        <v>4/30/2015</v>
        <stp/>
        <stp>##V3_BDPV12</stp>
        <stp>PITLCHNG Index</stp>
        <stp>ECO RELEASE DT</stp>
        <stp>[GMIC Info Template.xlsm]ECO Calendar!R52C16</stp>
        <tr r="P52" s="2"/>
      </tp>
      <tp t="s">
        <v>5/15/2015</v>
        <stp/>
        <stp>##V3_BDPV12</stp>
        <stp>IPMGCHNG Index</stp>
        <stp>ECO RELEASE DT</stp>
        <stp>[GMIC Info Template.xlsm]ECO Calendar!R106C16</stp>
        <tr r="P106" s="2"/>
      </tp>
      <tp t="s">
        <v>% Balance/Diffusion Index NSA</v>
        <stp/>
        <stp>##V3_BDPV12</stp>
        <stp>COMFBTWR Index</stp>
        <stp>SEASONALITY AND TRANSFORMATION</stp>
        <stp>[GMIC Info Template.xlsm]ECO Calendar!R115C11</stp>
        <tr r="K115" s="2"/>
      </tp>
      <tp>
        <v>69.444400000000002</v>
        <stp/>
        <stp>##V3_BDPV12</stp>
        <stp>USMMMNCH Index</stp>
        <stp>RELEVANCE VALUE</stp>
        <stp>[GMIC Info Template.xlsm]ECO Calendar!R76C19</stp>
        <tr r="S76" s="2"/>
      </tp>
      <tp>
        <v>21.428599999999999</v>
        <stp/>
        <stp>##V3_BDPV12</stp>
        <stp>USUDMAER Index</stp>
        <stp>RELEVANCE VALUE</stp>
        <stp>[GMIC Info Template.xlsm]ECO Calendar!R82C19</stp>
        <tr r="S82" s="2"/>
      </tp>
      <tp t="s">
        <v>None</v>
        <stp/>
        <stp>##V3_BDPV12</stp>
        <stp>NHCHSTCH Index</stp>
        <stp>SCALING FORMAT</stp>
        <stp>[GMIC Info Template.xlsm]ECO Calendar!R113C10</stp>
        <tr r="J113" s="2"/>
      </tp>
      <tp t="s">
        <v>Thousand</v>
        <stp/>
        <stp>##V3_BDPV12</stp>
        <stp>NHSPSTOT Index</stp>
        <stp>SCALING FORMAT</stp>
        <stp>[GMIC Info Template.xlsm]ECO Calendar!R111C10</stp>
        <tr r="J111" s="2"/>
      </tp>
      <tp>
        <v>70</v>
        <stp/>
        <stp>##V3_BDPV12</stp>
        <stp>MPMIUSSA Index</stp>
        <stp>RELEVANCE VALUE</stp>
        <stp>[GMIC Info Template.xlsm]ECO Calendar!R36C19</stp>
        <tr r="S36" s="2"/>
      </tp>
      <tp>
        <v>70</v>
        <stp/>
        <stp>##V3_BDPV12</stp>
        <stp>MPMIUSCA Index</stp>
        <stp>RELEVANCE VALUE</stp>
        <stp>[GMIC Info Template.xlsm]ECO Calendar!R35C19</stp>
        <tr r="S35" s="2"/>
      </tp>
      <tp>
        <v>90</v>
        <stp/>
        <stp>##V3_BDPV12</stp>
        <stp>MPMIUSMA Index</stp>
        <stp>RELEVANCE VALUE</stp>
        <stp>[GMIC Info Template.xlsm]ECO Calendar!R27C19</stp>
        <tr r="S27" s="2"/>
      </tp>
      <tp>
        <v>18.254000000000001</v>
        <stp/>
        <stp>##V3_BDPV12</stp>
        <stp>KCLSSACI Index</stp>
        <stp>RELEVANCE VALUE</stp>
        <stp>[GMIC Info Template.xlsm]ECO Calendar!R28C19</stp>
        <tr r="S28" s="2"/>
      </tp>
      <tp>
        <v>27.777799999999999</v>
        <stp/>
        <stp>##V3_BDPV12</stp>
        <stp>AHE YOY% Index</stp>
        <stp>RELEVANCE VALUE</stp>
        <stp>[GMIC Info Template.xlsm]ECO Calendar!R79C19</stp>
        <tr r="S79" s="2"/>
      </tp>
      <tp>
        <v>14.0172401338759</v>
        <stp/>
        <stp>##V3_BDPV12</stp>
        <stp>PG US Equity</stp>
        <stp>PROF MARGIN</stp>
        <stp>[GMIC Info Template.xlsm]Security Analysis!R14C24</stp>
        <tr r="X14" s="13"/>
      </tp>
      <tp t="s">
        <v>United States</v>
        <stp/>
        <stp>##V3_BDPV12</stp>
        <stp>CPI XYOY Index</stp>
        <stp>REGION OR COUNTRY</stp>
        <stp>[GMIC Info Template.xlsm]ECO Calendar!R15C20</stp>
        <tr r="T15" s="2"/>
      </tp>
      <tp>
        <v>7.5740287537673412</v>
        <stp/>
        <stp>##V3_BDPV12</stp>
        <stp>VZ US Equity</stp>
        <stp>PROF MARGIN</stp>
        <stp>[GMIC Info Template.xlsm]Security Analysis!R17C24</stp>
        <tr r="X17" s="13"/>
      </tp>
      <tp>
        <v>6.0003084991516271</v>
        <stp/>
        <stp>##V3_BDPV12</stp>
        <stp>BA US Equity</stp>
        <stp>PROF MARGIN</stp>
        <stp>[GMIC Info Template.xlsm]Security Analysis!R27C24</stp>
        <tr r="X27" s="13"/>
      </tp>
    </main>
    <main first="bloomberg.rtd">
      <tp>
        <v>10.439766149238256</v>
        <stp/>
        <stp>##V3_BDPV12</stp>
        <stp>DD US Equity</stp>
        <stp>PROF MARGIN</stp>
        <stp>[GMIC Info Template.xlsm]Security Analysis!R34C24</stp>
        <tr r="X34" s="13"/>
      </tp>
      <tp t="s">
        <v>United States</v>
        <stp/>
        <stp>##V3_BDPV12</stp>
        <stp>PCE CRCH Index</stp>
        <stp>REGION OR COUNTRY</stp>
        <stp>[GMIC Info Template.xlsm]ECO Calendar!R53C20</stp>
        <tr r="T53" s="2"/>
      </tp>
      <tp>
        <v>21.14756143195709</v>
        <stp/>
        <stp>##V3_BDPV12</stp>
        <stp>GS US Equity</stp>
        <stp>PROF MARGIN</stp>
        <stp>[GMIC Info Template.xlsm]Security Analysis!R31C24</stp>
        <tr r="X31" s="13"/>
      </tp>
      <tp>
        <v>10.305728261090175</v>
        <stp/>
        <stp>##V3_BDPV12</stp>
        <stp>GE US Equity</stp>
        <stp>PROF MARGIN</stp>
        <stp>[GMIC Info Template.xlsm]Security Analysis!R11C24</stp>
        <tr r="X11" s="13"/>
      </tp>
      <tp>
        <v>7.6284024237760883</v>
        <stp/>
        <stp>##V3_BDPV12</stp>
        <stp>HD US Equity</stp>
        <stp>PROF MARGIN</stp>
        <stp>[GMIC Info Template.xlsm]Security Analysis!R24C24</stp>
        <tr r="X24" s="13"/>
      </tp>
      <tp>
        <v>15.431105700247837</v>
        <stp/>
        <stp>##V3_BDPV12</stp>
        <stp>KO US Equity</stp>
        <stp>PROF MARGIN</stp>
        <stp>[GMIC Info Template.xlsm]Security Analysis!R19C24</stp>
        <tr r="X19" s="13"/>
      </tp>
      <tp t="s">
        <v>Monthly</v>
        <stp/>
        <stp>##V3_BDPV12</stp>
        <stp>JOLTTOTL Index</stp>
        <stp>INDX FREQ</stp>
        <stp>[GMIC Info Template.xlsm]ECO Calendar!R88C15</stp>
        <tr r="O88" s="2"/>
      </tp>
      <tp>
        <v>-11.35431</v>
        <stp/>
        <stp>##V3_BDPV12</stp>
        <stp>XPLR US EQUITY</stp>
        <stp>CHG PCT 1D</stp>
        <stp>[GMIC Info Template.xlsm]Most Up &amp; Down!R29C12</stp>
        <tr r="L29" s="9"/>
      </tp>
      <tp>
        <v>24.983550000000001</v>
        <stp/>
        <stp>##V3_BDPV12</stp>
        <stp>VPCO US EQUITY</stp>
        <stp>CHG PCT 1D</stp>
        <stp>[GMIC Info Template.xlsm]Most Up &amp; Down!R12C12</stp>
        <tr r="L12" s="9"/>
      </tp>
      <tp t="s">
        <v>US Pending Home Sales Index Mo</v>
        <stp/>
        <stp>##V3_BDPV12</stp>
        <stp>USPHTMOM Index</stp>
        <stp>NAME</stp>
        <stp>[GMIC Info Template.xlsm]ECO Calendar!R46C6</stp>
        <tr r="F46" s="2"/>
      </tp>
      <tp t="s">
        <v>Monthly</v>
        <stp/>
        <stp>##V3_BDPV12</stp>
        <stp>CHALYOY% Index</stp>
        <stp>INDX FREQ</stp>
        <stp>[GMIC Info Template.xlsm]ECO Calendar!R72C15</stp>
        <tr r="O72" s="2"/>
      </tp>
      <tp>
        <v>-27.951809999999998</v>
        <stp/>
        <stp>##V3_BDPV12</stp>
        <stp>IPDN US EQUITY</stp>
        <stp>CHG PCT 1D</stp>
        <stp>[GMIC Info Template.xlsm]Most Up &amp; Down!R23C12</stp>
        <tr r="L23" s="9"/>
      </tp>
      <tp t="s">
        <v>UNITED STATES</v>
        <stp/>
        <stp>##V3_BDPV12</stp>
        <stp>ECONUSIB Index</stp>
        <stp>REGION OR COUNTRY</stp>
        <stp>[GMIC Info Template.xlsm]ECO Calendar!R70C20</stp>
        <tr r="T70" s="2"/>
      </tp>
      <tp t="s">
        <v>Average Monthly Change in Fed</v>
        <stp/>
        <stp>##V3_BDPV12</stp>
        <stp>LMCILMCC Index</stp>
        <stp>NAME</stp>
        <stp>[GMIC Info Template.xlsm]ECO Calendar!R87C6</stp>
        <tr r="F87" s="2"/>
      </tp>
      <tp t="s">
        <v>Conference Board US Leading In</v>
        <stp/>
        <stp>##V3_BDPV12</stp>
        <stp>LEI CHNG Index</stp>
        <stp>NAME</stp>
        <stp>[GMIC Info Template.xlsm]ECO Calendar!R18C6</stp>
        <tr r="F18" s="2"/>
      </tp>
      <tp t="s">
        <v>NFIB Small Business Optimism I</v>
        <stp/>
        <stp>##V3_BDPV12</stp>
        <stp>SBOITOTL Index</stp>
        <stp>NAME</stp>
        <stp>[GMIC Info Template.xlsm]ECO Calendar!R90C6</stp>
        <tr r="F90" s="2"/>
      </tp>
      <tp>
        <v>60.732979999999998</v>
        <stp/>
        <stp>##V3_BDPV12</stp>
        <stp>SPPR US EQUITY</stp>
        <stp>CHG PCT 1D</stp>
        <stp>[GMIC Info Template.xlsm]Most Up &amp; Down!R10C12</stp>
        <tr r="L10" s="9"/>
      </tp>
      <tp t="s">
        <v>None</v>
        <stp/>
        <stp>##V3_BDPV12</stp>
        <stp>AHE YOY% Index</stp>
        <stp>SCALING FORMAT</stp>
        <stp>[GMIC Info Template.xlsm]ECO Calendar!R79C10</stp>
        <tr r="J79" s="2"/>
      </tp>
      <tp t="s">
        <v>Thousand</v>
        <stp/>
        <stp>##V3_BDPV12</stp>
        <stp>USMMMNCH Index</stp>
        <stp>SCALING FORMAT</stp>
        <stp>[GMIC Info Template.xlsm]ECO Calendar!R76C10</stp>
        <tr r="J76" s="2"/>
      </tp>
      <tp>
        <v>1.0050508545044019</v>
        <stp/>
        <stp>##V3_BDPV12</stp>
        <stp>DD US Equity</stp>
        <stp>BETA RAW OVERRIDABLE</stp>
        <stp>[GMIC Info Template.xlsm]Security Analysis!R34C10</stp>
        <stp>BETA_OVERRIDE_REL_INDEX=SPX INDEX</stp>
        <tr r="J34" s="13"/>
      </tp>
      <tp t="s">
        <v>Net Monthly Change SA</v>
        <stp/>
        <stp>##V3_BDPV12</stp>
        <stp>CICRTOT Index</stp>
        <stp>SEASONALITY AND TRANSFORMATION</stp>
        <stp>[GMIC Info Template.xlsm]ECO Calendar!R73C11</stp>
        <tr r="K73" s="2"/>
      </tp>
      <tp>
        <v>1.3073857870977799</v>
        <stp/>
        <stp>##V3_BDPV12</stp>
        <stp>GS US Equity</stp>
        <stp>BETA RAW OVERRIDABLE</stp>
        <stp>[GMIC Info Template.xlsm]Security Analysis!R31C10</stp>
        <stp>BETA_OVERRIDE_REL_INDEX=SPX INDEX</stp>
        <tr r="J31" s="13"/>
      </tp>
      <tp t="s">
        <v>MoM% SA</v>
        <stp/>
        <stp>##V3_BDPV12</stp>
        <stp>MWINCHNG Index</stp>
        <stp>SEASONALITY AND TRANSFORMATION</stp>
        <stp>[GMIC Info Template.xlsm]ECO Calendar!R85C11</stp>
        <tr r="K85" s="2"/>
      </tp>
      <tp t="s">
        <v>4/28/2015</v>
        <stp/>
        <stp>##V3_BDPV12</stp>
        <stp>SPCSUSAY Index</stp>
        <stp>ECO RELEASE DT</stp>
        <stp>[GMIC Info Template.xlsm]ECO Calendar!R40C16</stp>
        <tr r="P40" s="2"/>
      </tp>
      <tp>
        <v>205775928.69999999</v>
        <stp/>
        <stp>##V3_BDPV12</stp>
        <stp>TROV US EQUITY</stp>
        <stp>CUR MKT CAP</stp>
        <stp>[GMIC Info Template.xlsm]Most Up &amp; Down!R14C13</stp>
        <tr r="M14" s="9"/>
      </tp>
      <tp t="s">
        <v>5/22/2015</v>
        <stp/>
        <stp>##V3_BDPV12</stp>
        <stp>CPURNSA Index</stp>
        <stp>ECO RELEASE DT</stp>
        <stp>[GMIC Info Template.xlsm]ECO Calendar!R17C16</stp>
        <tr r="P17" s="2"/>
      </tp>
      <tp t="s">
        <v>5/11/2015</v>
        <stp/>
        <stp>##V3_BDPV12</stp>
        <stp>LMCILMCC Index</stp>
        <stp>ECO RELEASE DT</stp>
        <stp>[GMIC Info Template.xlsm]ECO Calendar!R87C16</stp>
        <tr r="P87" s="2"/>
      </tp>
      <tp t="s">
        <v>National Association of Home Builders Market Index SA</v>
        <stp/>
        <stp>##V3_BDPV12</stp>
        <stp>USHBMIDX Index</stp>
        <stp>Long Comp Name</stp>
        <stp>[GMIC Info Template.xlsm]ECO Calendar!R110C3</stp>
        <tr r="C110" s="2"/>
      </tp>
      <tp t="s">
        <v>None</v>
        <stp/>
        <stp>##V3_BDPV12</stp>
        <stp>MTIBCHNG Index</stp>
        <stp>SCALING FORMAT</stp>
        <stp>[GMIC Info Template.xlsm]ECO Calendar!R97C10</stp>
        <tr r="J97" s="2"/>
      </tp>
      <tp t="s">
        <v>5/8/2015</v>
        <stp/>
        <stp>##V3_BDPV12</stp>
        <stp>USEMNCHG Index</stp>
        <stp>ECO RELEASE DT</stp>
        <stp>[GMIC Info Template.xlsm]ECO Calendar!R81C16</stp>
        <tr r="P81" s="2"/>
      </tp>
      <tp t="s">
        <v>None</v>
        <stp/>
        <stp>##V3_BDPV12</stp>
        <stp>AHE MOM% Index</stp>
        <stp>SCALING FORMAT</stp>
        <stp>[GMIC Info Template.xlsm]ECO Calendar!R78C10</stp>
        <tr r="J78" s="2"/>
      </tp>
      <tp>
        <v>142.49878000096498</v>
        <stp/>
        <stp>##V3_BDPV12</stp>
        <stp>CSCO US Equity</stp>
        <stp>CRNCY ADJ MKT CAP</stp>
        <stp>[GMIC Info Template.xlsm]Security Analysis!R25C6</stp>
        <stp>EQY_FUND_CRNCY=USD</stp>
        <stp>SCALING_FORMAT=MMM</stp>
        <tr r="F25" s="13"/>
      </tp>
      <tp t="s">
        <v>None</v>
        <stp/>
        <stp>##V3_BDPV12</stp>
        <stp>CONCCONF Index</stp>
        <stp>SCALING FORMAT</stp>
        <stp>[GMIC Info Template.xlsm]ECO Calendar!R45C10</stp>
        <tr r="J45" s="2"/>
      </tp>
      <tp t="s">
        <v>None</v>
        <stp/>
        <stp>##V3_BDPV12</stp>
        <stp>CONCCONF Index</stp>
        <stp>SCALING FORMAT</stp>
        <stp>[GMIC Info Template.xlsm]ECO Calendar!R44C10</stp>
        <tr r="J44" s="2"/>
      </tp>
      <tp t="s">
        <v>None</v>
        <stp/>
        <stp>##V3_BDPV12</stp>
        <stp>USPHTMOM Index</stp>
        <stp>SCALING FORMAT</stp>
        <stp>[GMIC Info Template.xlsm]ECO Calendar!R46C10</stp>
        <tr r="J46" s="2"/>
      </tp>
      <tp t="s">
        <v>None</v>
        <stp/>
        <stp>##V3_BDPV12</stp>
        <stp>SBOITOTL Index</stp>
        <stp>SCALING FORMAT</stp>
        <stp>[GMIC Info Template.xlsm]ECO Calendar!R90C10</stp>
        <tr r="J90" s="2"/>
      </tp>
      <tp t="s">
        <v>7:30:00 AM</v>
        <stp/>
        <stp>##V3_BDPV12</stp>
        <stp>CHALYOY% Index</stp>
        <stp>ECO RELEASE TIME</stp>
        <stp>[GMIC Info Template.xlsm]ECO Calendar!R72C18</stp>
        <tr r="R72" s="2"/>
      </tp>
      <tp t="s">
        <v>8:30:00 AM</v>
        <stp/>
        <stp>##V3_BDPV12</stp>
        <stp>AHE YOY% Index</stp>
        <stp>ECO RELEASE TIME</stp>
        <stp>[GMIC Info Template.xlsm]ECO Calendar!R79C18</stp>
        <tr r="R79" s="2"/>
      </tp>
      <tp>
        <v>75.555599999999998</v>
        <stp/>
        <stp>##V3_BDPV12</stp>
        <stp>CPUPXCHG Index</stp>
        <stp>RELEVANCE VALUE</stp>
        <stp>[GMIC Info Template.xlsm]ECO Calendar!R13C19</stp>
        <tr r="S13" s="2"/>
      </tp>
      <tp t="s">
        <v>Thousand</v>
        <stp/>
        <stp>##V3_BDPV12</stp>
        <stp>NFP PCH Index</stp>
        <stp>SCALING FORMAT</stp>
        <stp>[GMIC Info Template.xlsm]ECO Calendar!R77C10</stp>
        <tr r="J77" s="2"/>
      </tp>
      <tp t="s">
        <v>Thousand</v>
        <stp/>
        <stp>##V3_BDPV12</stp>
        <stp>NFP TCH Index</stp>
        <stp>SCALING FORMAT</stp>
        <stp>[GMIC Info Template.xlsm]ECO Calendar!R74C10</stp>
        <tr r="J74" s="2"/>
      </tp>
      <tp>
        <v>22.222200000000001</v>
        <stp/>
        <stp>##V3_BDPV12</stp>
        <stp>USEMNCHG Index</stp>
        <stp>RELEVANCE VALUE</stp>
        <stp>[GMIC Info Template.xlsm]ECO Calendar!R81C19</stp>
        <tr r="S81" s="2"/>
      </tp>
      <tp t="s">
        <v>8:30:00 AM</v>
        <stp/>
        <stp>##V3_BDPV12</stp>
        <stp>GDPCPCEC Index</stp>
        <stp>ECO RELEASE TIME</stp>
        <stp>[GMIC Info Template.xlsm]ECO Calendar!R51C18</stp>
        <tr r="R51" s="2"/>
      </tp>
      <tp t="s">
        <v>8:30:00 AM</v>
        <stp/>
        <stp>##V3_BDPV12</stp>
        <stp>AHE MOM% Index</stp>
        <stp>ECO RELEASE TIME</stp>
        <stp>[GMIC Info Template.xlsm]ECO Calendar!R78C18</stp>
        <tr r="R78" s="2"/>
      </tp>
      <tp>
        <v>51.587299999999999</v>
        <stp/>
        <stp>##V3_BDPV12</stp>
        <stp>CPI XYOY Index</stp>
        <stp>RELEVANCE VALUE</stp>
        <stp>[GMIC Info Template.xlsm]ECO Calendar!R15C19</stp>
        <tr r="S15" s="2"/>
      </tp>
      <tp t="s">
        <v>% Balance/Diffusion Index SA</v>
        <stp/>
        <stp>##V3_BDPV12</stp>
        <stp>EMPRGBCI Index</stp>
        <stp>SEASONALITY AND TRANSFORMATION</stp>
        <stp>[GMIC Info Template.xlsm]ECO Calendar!R107C11</stp>
        <tr r="K107" s="2"/>
      </tp>
      <tp>
        <v>59.523800000000001</v>
        <stp/>
        <stp>##V3_BDPV12</stp>
        <stp>CGSHXAI% Index</stp>
        <stp>RELEVANCE VALUE</stp>
        <stp>[GMIC Info Template.xlsm]ECO Calendar!R34C19</stp>
        <tr r="S34" s="2"/>
      </tp>
      <tp>
        <v>60.317500000000003</v>
        <stp/>
        <stp>##V3_BDPV12</stp>
        <stp>CGNOXAI% Index</stp>
        <stp>RELEVANCE VALUE</stp>
        <stp>[GMIC Info Template.xlsm]ECO Calendar!R33C19</stp>
        <tr r="S33" s="2"/>
      </tp>
      <tp t="s">
        <v>Monthly</v>
        <stp/>
        <stp>##V3_BDPV12</stp>
        <stp>SBOITOTL Index</stp>
        <stp>INDX FREQ</stp>
        <stp>[GMIC Info Template.xlsm]ECO Calendar!R90C15</stp>
        <tr r="O90" s="2"/>
      </tp>
      <tp t="s">
        <v>Monthly</v>
        <stp/>
        <stp>##V3_BDPV12</stp>
        <stp>RSTAXMOM Index</stp>
        <stp>INDX FREQ</stp>
        <stp>[GMIC Info Template.xlsm]ECO Calendar!R94C15</stp>
        <tr r="O94" s="2"/>
      </tp>
      <tp t="s">
        <v>FORCEFIELD ENERGY INC</v>
        <stp/>
        <stp>##V3_BDPV12</stp>
        <stp>FNRG US EQUITY</stp>
        <stp>NAME</stp>
        <stp>[GMIC Info Template.xlsm]Most Up &amp; Down!R25C9</stp>
        <tr r="I25" s="9"/>
      </tp>
      <tp>
        <v>15.834709999999999</v>
        <stp/>
        <stp>##V3_BDPV12</stp>
        <stp>PFE US Equity</stp>
        <stp>CHG PCT 1YR</stp>
        <stp>[GMIC Info Template.xlsm]Security Analysis!R15C18</stp>
        <tr r="R15" s="13"/>
      </tp>
      <tp t="s">
        <v>U-3 US Unemployment Rate Total</v>
        <stp/>
        <stp>##V3_BDPV12</stp>
        <stp>USURTOT Index</stp>
        <stp>NAME</stp>
        <stp>[GMIC Info Template.xlsm]ECO Calendar!R75C6</stp>
        <tr r="F75" s="2"/>
      </tp>
      <tp>
        <v>-11.28571</v>
        <stp/>
        <stp>##V3_BDPV12</stp>
        <stp>ESCR US EQUITY</stp>
        <stp>CHG PCT 1D</stp>
        <stp>[GMIC Info Template.xlsm]Most Up &amp; Down!R31C12</stp>
        <tr r="L31" s="9"/>
      </tp>
      <tp t="s">
        <v>FHFA US House Price Index Purc</v>
        <stp/>
        <stp>##V3_BDPV12</stp>
        <stp>HPIMMOM% Index</stp>
        <stp>NAME</stp>
        <stp>[GMIC Info Template.xlsm]ECO Calendar!R21C6</stp>
        <tr r="F21" s="2"/>
      </tp>
      <tp>
        <v>-18.840579999999999</v>
        <stp/>
        <stp>##V3_BDPV12</stp>
        <stp>DSCO US EQUITY</stp>
        <stp>CHG PCT 1D</stp>
        <stp>[GMIC Info Template.xlsm]Most Up &amp; Down!R24C12</stp>
        <tr r="L24" s="9"/>
      </tp>
      <tp t="s">
        <v>USD</v>
        <stp/>
        <stp>##V3_BDPV12</stp>
        <stp>CSCO US Equity</stp>
        <stp>CRNCY</stp>
        <stp>[GMIC Info Template.xlsm]Security Analysis!R25C12</stp>
        <tr r="L25" s="13"/>
      </tp>
      <tp t="s">
        <v>US Average Hourly Earnings All</v>
        <stp/>
        <stp>##V3_BDPV12</stp>
        <stp>AHE MOM% Index</stp>
        <stp>NAME</stp>
        <stp>[GMIC Info Template.xlsm]ECO Calendar!R78C6</stp>
        <tr r="F78" s="2"/>
      </tp>
      <tp t="s">
        <v>Conference Board Consumer Conf</v>
        <stp/>
        <stp>##V3_BDPV12</stp>
        <stp>CONCCONF Index</stp>
        <stp>NAME</stp>
        <stp>[GMIC Info Template.xlsm]ECO Calendar!R44C6</stp>
        <tr r="F44" s="2"/>
      </tp>
      <tp t="s">
        <v>Bloomberg US Weekly Consumer C</v>
        <stp/>
        <stp>##V3_BDPV12</stp>
        <stp>COMFCOMF Index</stp>
        <stp>NAME</stp>
        <stp>[GMIC Info Template.xlsm]ECO Calendar!R24C6</stp>
        <tr r="F24" s="2"/>
      </tp>
      <tp t="s">
        <v>ISM Milwaukee Purchasers Manuf</v>
        <stp/>
        <stp>##V3_BDPV12</stp>
        <stp>MAPMINDX Index</stp>
        <stp>NAME</stp>
        <stp>[GMIC Info Template.xlsm]ECO Calendar!R60C6</stp>
        <tr r="F60" s="2"/>
      </tp>
      <tp>
        <v>15.561873904850069</v>
        <stp/>
        <stp>##V3_BDPV12</stp>
        <stp>NKE US Equity</stp>
        <stp>EBITDA MARGIN</stp>
        <stp>[GMIC Info Template.xlsm]Security Analysis!R32C22</stp>
        <tr r="V32" s="13"/>
      </tp>
      <tp>
        <v>16.613568000000001</v>
        <stp/>
        <stp>##V3_BDPV12</stp>
        <stp>IBM US Equity</stp>
        <stp>TRAIL 12M EPS</stp>
        <stp>[GMIC Info Template.xlsm]Security Analysis!R21C14</stp>
        <tr r="N21" s="13"/>
      </tp>
      <tp>
        <v>6.1624300000000005</v>
        <stp/>
        <stp>##V3_BDPV12</stp>
        <stp>JPM US Equity</stp>
        <stp>TRAIL 12M EPS</stp>
        <stp>[GMIC Info Template.xlsm]Security Analysis!R13C14</stp>
        <tr r="N13" s="13"/>
      </tp>
      <tp>
        <v>37.873198266303795</v>
        <stp/>
        <stp>##V3_BDPV12</stp>
        <stp>PFE US Equity</stp>
        <stp>EBITDA MARGIN</stp>
        <stp>[GMIC Info Template.xlsm]Security Analysis!R15C22</stp>
        <tr r="V15" s="13"/>
      </tp>
      <tp>
        <v>7.49</v>
        <stp/>
        <stp>##V3_BDPV12</stp>
        <stp>MMM US Equity</stp>
        <stp>TRAIL 12M EPS</stp>
        <stp>[GMIC Info Template.xlsm]Security Analysis!R29C14</stp>
        <tr r="N29" s="13"/>
      </tp>
      <tp t="s">
        <v>US CPI Urban Consumers Less Fo</v>
        <stp/>
        <stp>##V3_BDPV12</stp>
        <stp>CPUPAXFE Index</stp>
        <stp>NAME</stp>
        <stp>[GMIC Info Template.xlsm]ECO Calendar!R16C6</stp>
        <tr r="F16" s="2"/>
      </tp>
      <tp t="s">
        <v>YoY% NSA</v>
        <stp/>
        <stp>##V3_BDPV12</stp>
        <stp>SPCSUSAY Index</stp>
        <stp>SEASONALITY AND TRANSFORMATION</stp>
        <stp>[GMIC Info Template.xlsm]ECO Calendar!R40C11</stp>
        <tr r="K40" s="2"/>
      </tp>
      <tp t="s">
        <v>U-3 US Unemployment Rate Total in Labor Force Seasonally Adjusted</v>
        <stp/>
        <stp>##V3_BDPV12</stp>
        <stp>USURTOT Index</stp>
        <stp>Long Comp Name</stp>
        <stp>[GMIC Info Template.xlsm]ECO Calendar!R75C3</stp>
        <tr r="C75" s="2"/>
      </tp>
      <tp t="s">
        <v>5/8/2015</v>
        <stp/>
        <stp>##V3_BDPV12</stp>
        <stp>MWINCHNG Index</stp>
        <stp>ECO RELEASE DT</stp>
        <stp>[GMIC Info Template.xlsm]ECO Calendar!R85C16</stp>
        <tr r="P85" s="2"/>
      </tp>
      <tp t="s">
        <v>4/3/2015</v>
        <stp/>
        <stp>##V3_BDPV12</stp>
        <stp>MBAVCHNG Index</stp>
        <stp>PRIOR OBSERVATION DATE</stp>
        <stp>[GMIC Info Template.xlsm]ECO Calendar!R20C14</stp>
        <tr r="N20" s="2"/>
      </tp>
      <tp>
        <v>48.92</v>
        <stp/>
        <stp>##V3_BDPV12</stp>
        <stp>VZ US Equity</stp>
        <stp>PX ASK</stp>
        <stp>[GMIC Info Template.xlsm]Security Analysis!R17C13</stp>
        <tr r="M17" s="13"/>
      </tp>
      <tp>
        <v>82.56</v>
        <stp/>
        <stp>##V3_BDPV12</stp>
        <stp>PG US Equity</stp>
        <stp>PX ASK</stp>
        <stp>[GMIC Info Template.xlsm]Security Analysis!R14C13</stp>
        <tr r="M14" s="13"/>
      </tp>
      <tp>
        <v>71.55</v>
        <stp/>
        <stp>##V3_BDPV12</stp>
        <stp>DD US Equity</stp>
        <stp>PX ASK</stp>
        <stp>[GMIC Info Template.xlsm]Security Analysis!R34C13</stp>
        <tr r="M34" s="13"/>
      </tp>
      <tp>
        <v>27.24</v>
        <stp/>
        <stp>##V3_BDPV12</stp>
        <stp>GE US Equity</stp>
        <stp>PX ASK</stp>
        <stp>[GMIC Info Template.xlsm]Security Analysis!R11C13</stp>
        <tr r="M11" s="13"/>
      </tp>
      <tp>
        <v>197.22</v>
        <stp/>
        <stp>##V3_BDPV12</stp>
        <stp>GS US Equity</stp>
        <stp>PX ASK</stp>
        <stp>[GMIC Info Template.xlsm]Security Analysis!R31C13</stp>
        <tr r="M31" s="13"/>
      </tp>
      <tp>
        <v>149.6</v>
        <stp/>
        <stp>##V3_BDPV12</stp>
        <stp>BA US Equity</stp>
        <stp>PX ASK</stp>
        <stp>[GMIC Info Template.xlsm]Security Analysis!R27C13</stp>
        <tr r="M27" s="13"/>
      </tp>
      <tp>
        <v>40.31</v>
        <stp/>
        <stp>##V3_BDPV12</stp>
        <stp>KO US Equity</stp>
        <stp>PX ASK</stp>
        <stp>[GMIC Info Template.xlsm]Security Analysis!R19C13</stp>
        <tr r="M19" s="13"/>
      </tp>
      <tp>
        <v>112.13</v>
        <stp/>
        <stp>##V3_BDPV12</stp>
        <stp>HD US Equity</stp>
        <stp>PX ASK</stp>
        <stp>[GMIC Info Template.xlsm]Security Analysis!R24C13</stp>
        <tr r="M24" s="13"/>
      </tp>
      <tp t="s">
        <v>MoM% SA</v>
        <stp/>
        <stp>##V3_BDPV12</stp>
        <stp>LMCILMCC Index</stp>
        <stp>SEASONALITY AND TRANSFORMATION</stp>
        <stp>[GMIC Info Template.xlsm]ECO Calendar!R87C11</stp>
        <tr r="K87" s="2"/>
      </tp>
      <tp t="s">
        <v>Index NSA</v>
        <stp/>
        <stp>##V3_BDPV12</stp>
        <stp>CPURNSA Index</stp>
        <stp>SEASONALITY AND TRANSFORMATION</stp>
        <stp>[GMIC Info Template.xlsm]ECO Calendar!R17C11</stp>
        <tr r="K17" s="2"/>
      </tp>
      <tp t="s">
        <v>1/31/2015</v>
        <stp/>
        <stp>##V3_BDPV12</stp>
        <stp>USPHTYOY Index</stp>
        <stp>PRIOR OBSERVATION DATE</stp>
        <stp>[GMIC Info Template.xlsm]ECO Calendar!R47C14</stp>
        <tr r="N47" s="2"/>
      </tp>
      <tp t="s">
        <v>5/7/2015</v>
        <stp/>
        <stp>##V3_BDPV12</stp>
        <stp>CICRTOT Index</stp>
        <stp>ECO RELEASE DT</stp>
        <stp>[GMIC Info Template.xlsm]ECO Calendar!R73C16</stp>
        <tr r="P73" s="2"/>
      </tp>
      <tp t="s">
        <v>Million</v>
        <stp/>
        <stp>##V3_BDPV12</stp>
        <stp>SAARDTOT Index</stp>
        <stp>SCALING FORMAT</stp>
        <stp>[GMIC Info Template.xlsm]ECO Calendar!R65C10</stp>
        <tr r="J65" s="2"/>
      </tp>
      <tp>
        <v>54945565.920000002</v>
        <stp/>
        <stp>##V3_BDPV12</stp>
        <stp>XPLR US EQUITY</stp>
        <stp>CUR MKT CAP</stp>
        <stp>[GMIC Info Template.xlsm]Most Up &amp; Down!R29C13</stp>
        <tr r="M29" s="9"/>
      </tp>
      <tp t="s">
        <v>Net Monthly Change SA</v>
        <stp/>
        <stp>##V3_BDPV12</stp>
        <stp>USEMNCHG Index</stp>
        <stp>SEASONALITY AND TRANSFORMATION</stp>
        <stp>[GMIC Info Template.xlsm]ECO Calendar!R81C11</stp>
        <tr r="K81" s="2"/>
      </tp>
      <tp t="s">
        <v>8:30:00 AM</v>
        <stp/>
        <stp>##V3_BDPV12</stp>
        <stp>CGSHXAI% Index</stp>
        <stp>ECO RELEASE TIME</stp>
        <stp>[GMIC Info Template.xlsm]ECO Calendar!R34C18</stp>
        <tr r="R34" s="2"/>
      </tp>
      <tp t="s">
        <v>9:45:00 AM</v>
        <stp/>
        <stp>##V3_BDPV12</stp>
        <stp>CHPMINDX Index</stp>
        <stp>ECO RELEASE TIME</stp>
        <stp>[GMIC Info Template.xlsm]ECO Calendar!R59C18</stp>
        <tr r="R59" s="2"/>
      </tp>
      <tp>
        <v>3128</v>
        <stp/>
        <stp>##V3_BDPV12</stp>
        <stp>NFP TYCH Index</stp>
        <stp>PX LAST</stp>
        <stp>[GMIC Info Template.xlsm]ECO Calendar!R119C7</stp>
        <tr r="G119" s="2"/>
      </tp>
      <tp t="s">
        <v>Units/Persons NSA</v>
        <stp/>
        <stp>##V3_BDPV12</stp>
        <stp>INJCJCNS Index</stp>
        <stp>SEASONALITY AND TRANSFORMATION</stp>
        <stp>[GMIC Info Template.xlsm]ECO Calendar!R117C11</stp>
        <tr r="K117" s="2"/>
      </tp>
      <tp t="s">
        <v>8:30:00 AM</v>
        <stp/>
        <stp>##V3_BDPV12</stp>
        <stp>ECONGECC Index</stp>
        <stp>ECO RELEASE TIME</stp>
        <stp>[GMIC Info Template.xlsm]ECO Calendar!R84C18</stp>
        <tr r="R84" s="2"/>
      </tp>
      <tp>
        <v>7.5</v>
        <stp/>
        <stp>##V3_BDPV12</stp>
        <stp>OUTFGAF Index</stp>
        <stp>PX LAST</stp>
        <stp>[GMIC Info Template.xlsm]ECO Calendar!R116C7</stp>
        <tr r="G116" s="2"/>
      </tp>
      <tp t="s">
        <v>8:30:00 AM</v>
        <stp/>
        <stp>##V3_BDPV12</stp>
        <stp>PCE DEFM Index</stp>
        <stp>ECO RELEASE TIME</stp>
        <stp>[GMIC Info Template.xlsm]ECO Calendar!R57C18</stp>
        <tr r="R57" s="2"/>
      </tp>
      <tp t="s">
        <v>8:30:00 AM</v>
        <stp/>
        <stp>##V3_BDPV12</stp>
        <stp>PCE DEFY Index</stp>
        <stp>ECO RELEASE TIME</stp>
        <stp>[GMIC Info Template.xlsm]ECO Calendar!R56C18</stp>
        <tr r="R56" s="2"/>
      </tp>
      <tp t="s">
        <v>2/28/2015</v>
        <stp/>
        <stp>##V3_BDPV12</stp>
        <stp>NHCHATCH Index</stp>
        <stp>PRIOR OBSERVATION DATE</stp>
        <stp>[GMIC Info Template.xlsm]ECO Calendar!R114C14</stp>
        <tr r="N114" s="2"/>
      </tp>
      <tp t="s">
        <v>2/28/2015</v>
        <stp/>
        <stp>##V3_BDPV12</stp>
        <stp>NHSPATOT Index</stp>
        <stp>PRIOR OBSERVATION DATE</stp>
        <stp>[GMIC Info Template.xlsm]ECO Calendar!R112C14</stp>
        <tr r="N112" s="2"/>
      </tp>
      <tp>
        <v>37.301600000000001</v>
        <stp/>
        <stp>##V3_BDPV12</stp>
        <stp>CHALYOY% Index</stp>
        <stp>RELEVANCE VALUE</stp>
        <stp>[GMIC Info Template.xlsm]ECO Calendar!R72C19</stp>
        <tr r="S72" s="2"/>
      </tp>
      <tp t="s">
        <v>8:30:00 AM</v>
        <stp/>
        <stp>##V3_BDPV12</stp>
        <stp>CGNOXAI% Index</stp>
        <stp>ECO RELEASE TIME</stp>
        <stp>[GMIC Info Template.xlsm]ECO Calendar!R33C18</stp>
        <tr r="R33" s="2"/>
      </tp>
      <tp>
        <v>18.417498236064915</v>
        <stp/>
        <stp>##V3_BDPV12</stp>
        <stp>PFE US Equity</stp>
        <stp>PROF MARGIN</stp>
        <stp>[GMIC Info Template.xlsm]Security Analysis!R15C24</stp>
        <tr r="X15" s="13"/>
      </tp>
      <tp t="s">
        <v>Monthly</v>
        <stp/>
        <stp>##V3_BDPV12</stp>
        <stp>PITLCHNG Index</stp>
        <stp>INDX FREQ</stp>
        <stp>[GMIC Info Template.xlsm]ECO Calendar!R52C15</stp>
        <tr r="O52" s="2"/>
      </tp>
      <tp t="s">
        <v>NIKE INC -CL B</v>
        <stp/>
        <stp>##V3_BDPV12</stp>
        <stp>NKE US Equity</stp>
        <stp>SHORT NAME</stp>
        <stp>[GMIC Info Template.xlsm]Security Analysis!R32C2</stp>
        <tr r="B32" s="13"/>
      </tp>
      <tp t="s">
        <v>United States</v>
        <stp/>
        <stp>##V3_BDPV12</stp>
        <stp>HPIMMOM% Index</stp>
        <stp>REGION OR COUNTRY</stp>
        <stp>[GMIC Info Template.xlsm]ECO Calendar!R21C20</stp>
        <tr r="T21" s="2"/>
      </tp>
      <tp t="s">
        <v>United States</v>
        <stp/>
        <stp>##V3_BDPV12</stp>
        <stp>GDPCTOT% Index</stp>
        <stp>REGION OR COUNTRY</stp>
        <stp>[GMIC Info Template.xlsm]ECO Calendar!R50C20</stp>
        <tr r="T50" s="2"/>
      </tp>
      <tp>
        <v>20.14085</v>
        <stp/>
        <stp>##V3_BDPV12</stp>
        <stp>TROV US EQUITY</stp>
        <stp>CHG PCT 1D</stp>
        <stp>[GMIC Info Template.xlsm]Most Up &amp; Down!R14C12</stp>
        <tr r="L14" s="9"/>
      </tp>
      <tp t="s">
        <v>S&amp;P/Case-Shiller Composite-20</v>
        <stp/>
        <stp>##V3_BDPV12</stp>
        <stp>SPCS20 Index</stp>
        <stp>NAME</stp>
        <stp>[GMIC Info Template.xlsm]ECO Calendar!R38C6</stp>
        <tr r="F38" s="2"/>
      </tp>
      <tp t="s">
        <v>Monthly</v>
        <stp/>
        <stp>##V3_BDPV12</stp>
        <stp>CGSHXAI% Index</stp>
        <stp>INDX FREQ</stp>
        <stp>[GMIC Info Template.xlsm]ECO Calendar!R34C15</stp>
        <tr r="O34" s="2"/>
      </tp>
      <tp t="s">
        <v>#N/A N/A</v>
        <stp/>
        <stp>##V3_BDPV12</stp>
        <stp>NFP T Index</stp>
        <stp>BN SURVEY MEDIAN</stp>
        <stp>[GMIC Info Template.xlsm]ECO Calendar!R118C8</stp>
        <tr r="H118" s="2"/>
      </tp>
      <tp t="s">
        <v>Monthly</v>
        <stp/>
        <stp>##V3_BDPV12</stp>
        <stp>SPCS20Y% Index</stp>
        <stp>INDX FREQ</stp>
        <stp>[GMIC Info Template.xlsm]ECO Calendar!R39C15</stp>
        <tr r="O39" s="2"/>
      </tp>
      <tp t="s">
        <v>S&amp;P/Case-Shiller United States</v>
        <stp/>
        <stp>##V3_BDPV12</stp>
        <stp>SPCSUSQS Index</stp>
        <stp>NAME</stp>
        <stp>[GMIC Info Template.xlsm]ECO Calendar!R43C6</stp>
        <tr r="F43" s="2"/>
      </tp>
      <tp t="s">
        <v>United States</v>
        <stp/>
        <stp>##V3_BDPV12</stp>
        <stp>FDIDFDMO Index</stp>
        <stp>REGION OR COUNTRY</stp>
        <stp>[GMIC Info Template.xlsm]ECO Calendar!R98C20</stp>
        <tr r="T98" s="2"/>
      </tp>
      <tp t="s">
        <v>Conference Board Consumer Conf</v>
        <stp/>
        <stp>##V3_BDPV12</stp>
        <stp>CONCCONF Index</stp>
        <stp>NAME</stp>
        <stp>[GMIC Info Template.xlsm]ECO Calendar!R45C6</stp>
        <tr r="F45" s="2"/>
      </tp>
      <tp>
        <v>34.960807250385372</v>
        <stp/>
        <stp>##V3_BDPV12</stp>
        <stp>MCD US Equity</stp>
        <stp>EBITDA MARGIN</stp>
        <stp>[GMIC Info Template.xlsm]Security Analysis!R30C22</stp>
        <tr r="V30" s="13"/>
      </tp>
      <tp t="s">
        <v>USD</v>
        <stp/>
        <stp>##V3_BDPV12</stp>
        <stp>AXP US Equity</stp>
        <stp>CRNCY</stp>
        <stp>[GMIC Info Template.xlsm]Security Analysis!R33C12</stp>
        <tr r="L33" s="13"/>
      </tp>
      <tp>
        <v>0.79360836766277554</v>
        <stp/>
        <stp>##V3_BDPV12</stp>
        <stp>VZ US Equity</stp>
        <stp>BETA RAW OVERRIDABLE</stp>
        <stp>[GMIC Info Template.xlsm]Security Analysis!R17C10</stp>
        <stp>BETA_OVERRIDE_REL_INDEX=SPX INDEX</stp>
        <tr r="J17" s="13"/>
      </tp>
      <tp>
        <v>0.60699269032041692</v>
        <stp/>
        <stp>##V3_BDPV12</stp>
        <stp>PG US Equity</stp>
        <stp>BETA RAW OVERRIDABLE</stp>
        <stp>[GMIC Info Template.xlsm]Security Analysis!R14C10</stp>
        <stp>BETA_OVERRIDE_REL_INDEX=SPX INDEX</stp>
        <tr r="J14" s="13"/>
      </tp>
      <tp t="s">
        <v>None</v>
        <stp/>
        <stp>##V3_BDPV12</stp>
        <stp>NAPMPMI Index</stp>
        <stp>SCALING FORMAT</stp>
        <stp>[GMIC Info Template.xlsm]ECO Calendar!R61C10</stp>
        <tr r="J61" s="2"/>
      </tp>
      <tp t="s">
        <v>None</v>
        <stp/>
        <stp>##V3_BDPV12</stp>
        <stp>NAPMNMI Index</stp>
        <stp>SCALING FORMAT</stp>
        <stp>[GMIC Info Template.xlsm]ECO Calendar!R69C10</stp>
        <tr r="J69" s="2"/>
      </tp>
      <tp t="s">
        <v>MoM% SA</v>
        <stp/>
        <stp>##V3_BDPV12</stp>
        <stp>FDIDFDMO Index</stp>
        <stp>SEASONALITY AND TRANSFORMATION</stp>
        <stp>[GMIC Info Template.xlsm]ECO Calendar!R98C11</stp>
        <tr r="K98" s="2"/>
      </tp>
      <tp t="s">
        <v>None</v>
        <stp/>
        <stp>##V3_BDPV12</stp>
        <stp>DGNOXTCH Index</stp>
        <stp>SCALING FORMAT</stp>
        <stp>[GMIC Info Template.xlsm]ECO Calendar!R32C10</stp>
        <tr r="J32" s="2"/>
      </tp>
      <tp>
        <v>1.1126155968985783</v>
        <stp/>
        <stp>##V3_BDPV12</stp>
        <stp>GE US Equity</stp>
        <stp>BETA RAW OVERRIDABLE</stp>
        <stp>[GMIC Info Template.xlsm]Security Analysis!R11C10</stp>
        <stp>BETA_OVERRIDE_REL_INDEX=SPX INDEX</stp>
        <tr r="J11" s="13"/>
      </tp>
      <tp t="s">
        <v>MoM% SA</v>
        <stp/>
        <stp>##V3_BDPV12</stp>
        <stp>MWSLCHNG Index</stp>
        <stp>SEASONALITY AND TRANSFORMATION</stp>
        <stp>[GMIC Info Template.xlsm]ECO Calendar!R86C11</stp>
        <tr r="K86" s="2"/>
      </tp>
      <tp t="s">
        <v>None</v>
        <stp/>
        <stp>##V3_BDPV12</stp>
        <stp>RSTAMOM Index</stp>
        <stp>SCALING FORMAT</stp>
        <stp>[GMIC Info Template.xlsm]ECO Calendar!R93C10</stp>
        <tr r="J93" s="2"/>
      </tp>
      <tp t="s">
        <v>4/24/2015</v>
        <stp/>
        <stp>##V3_BDPV12</stp>
        <stp>DGNOCHNG Index</stp>
        <stp>ECO RELEASE DT</stp>
        <stp>[GMIC Info Template.xlsm]ECO Calendar!R31C16</stp>
        <tr r="P31" s="2"/>
      </tp>
      <tp t="s">
        <v>MoM% SA</v>
        <stp/>
        <stp>##V3_BDPV12</stp>
        <stp>NHSLCHNG Index</stp>
        <stp>SEASONALITY AND TRANSFORMATION</stp>
        <stp>[GMIC Info Template.xlsm]ECO Calendar!R30C11</stp>
        <tr r="K30" s="2"/>
      </tp>
      <tp>
        <v>0.73993318922920492</v>
        <stp/>
        <stp>##V3_BDPV12</stp>
        <stp>KO US Equity</stp>
        <stp>BETA RAW OVERRIDABLE</stp>
        <stp>[GMIC Info Template.xlsm]Security Analysis!R19C10</stp>
        <stp>BETA_OVERRIDE_REL_INDEX=SPX INDEX</stp>
        <tr r="J19" s="13"/>
      </tp>
      <tp t="s">
        <v>MoM% SA</v>
        <stp/>
        <stp>##V3_BDPV12</stp>
        <stp>PITLCHNG Index</stp>
        <stp>SEASONALITY AND TRANSFORMATION</stp>
        <stp>[GMIC Info Template.xlsm]ECO Calendar!R52C11</stp>
        <tr r="K52" s="2"/>
      </tp>
      <tp t="s">
        <v>4/23/2015</v>
        <stp/>
        <stp>##V3_BDPV12</stp>
        <stp>MPMIUSMA Index</stp>
        <stp>ECO RELEASE DT</stp>
        <stp>[GMIC Info Template.xlsm]ECO Calendar!R27C16</stp>
        <tr r="P27" s="2"/>
      </tp>
      <tp t="s">
        <v>4/27/2015</v>
        <stp/>
        <stp>##V3_BDPV12</stp>
        <stp>MPMIUSSA Index</stp>
        <stp>ECO RELEASE DT</stp>
        <stp>[GMIC Info Template.xlsm]ECO Calendar!R36C16</stp>
        <tr r="P36" s="2"/>
      </tp>
      <tp t="s">
        <v>4/27/2015</v>
        <stp/>
        <stp>##V3_BDPV12</stp>
        <stp>MPMIUSCA Index</stp>
        <stp>ECO RELEASE DT</stp>
        <stp>[GMIC Info Template.xlsm]ECO Calendar!R35C16</stp>
        <tr r="P35" s="2"/>
      </tp>
      <tp>
        <v>457511350.62</v>
        <stp/>
        <stp>##V3_BDPV12</stp>
        <stp>GNMK US EQUITY</stp>
        <stp>CUR MKT CAP</stp>
        <stp>[GMIC Info Template.xlsm]Most Up &amp; Down!R26C13</stp>
        <tr r="M26" s="9"/>
      </tp>
      <tp t="s">
        <v>Conference Board Consumer Confidence SA 1985=100 YOY</v>
        <stp/>
        <stp>##V3_BDPV12</stp>
        <stp>CONCCYOY Index</stp>
        <stp>Long Comp Name</stp>
        <stp>[GMIC Info Template.xlsm]ECO Calendar!R122C3</stp>
        <tr r="C122" s="2"/>
      </tp>
      <tp t="s">
        <v>5/4/2015</v>
        <stp/>
        <stp>##V3_BDPV12</stp>
        <stp>TMNOCHNG Index</stp>
        <stp>ECO RELEASE DT</stp>
        <stp>[GMIC Info Template.xlsm]ECO Calendar!R67C16</stp>
        <tr r="P67" s="2"/>
      </tp>
      <tp t="s">
        <v>US Existing Homes Sales MoM SA</v>
        <stp/>
        <stp>##V3_BDPV12</stp>
        <stp>ETSLMOM Index</stp>
        <stp>Long Comp Name</stp>
        <stp>[GMIC Info Template.xlsm]ECO Calendar!R23C3</stp>
        <tr r="C23" s="2"/>
      </tp>
      <tp>
        <v>172.99</v>
        <stp/>
        <stp>##V3_BDPV12</stp>
        <stp>SPCS20 Index</stp>
        <stp>QUOTE PRIOR MID</stp>
        <stp>[GMIC Info Template.xlsm]ECO Calendar!R38C9</stp>
        <tr r="I38" s="2"/>
      </tp>
      <tp>
        <v>25.396799999999999</v>
        <stp/>
        <stp>##V3_BDPV12</stp>
        <stp>AWH TOTL Index</stp>
        <stp>RELEVANCE VALUE</stp>
        <stp>[GMIC Info Template.xlsm]ECO Calendar!R80C19</stp>
        <tr r="S80" s="2"/>
      </tp>
      <tp>
        <v>7.6923079999999997</v>
        <stp/>
        <stp>##V3_BDPV12</stp>
        <stp>OSN US EQUITY</stp>
        <stp>CHG PCT 1D</stp>
        <stp>[GMIC Info Template.xlsm]Most Up &amp; Down!R16C12</stp>
        <tr r="L16" s="9"/>
      </tp>
      <tp>
        <v>926</v>
        <stp/>
        <stp>##V3_BDPV12</stp>
        <stp>NHSPSTOT Index</stp>
        <stp>PX LAST</stp>
        <stp>[GMIC Info Template.xlsm]ECO Calendar!R111C7</stp>
        <tr r="G111" s="2"/>
      </tp>
      <tp t="s">
        <v>2/28/2015</v>
        <stp/>
        <stp>##V3_BDPV12</stp>
        <stp>CONCCYOY Index</stp>
        <stp>PRIOR OBSERVATION DATE</stp>
        <stp>[GMIC Info Template.xlsm]ECO Calendar!R122C14</stp>
        <tr r="N122" s="2"/>
      </tp>
      <tp t="s">
        <v>None</v>
        <stp/>
        <stp>##V3_BDPV12</stp>
        <stp>IP CHNG Index</stp>
        <stp>SCALING FORMAT</stp>
        <stp>[GMIC Info Template.xlsm]ECO Calendar!R104C10</stp>
        <tr r="J104" s="2"/>
      </tp>
      <tp t="s">
        <v>8:30:00 AM</v>
        <stp/>
        <stp>##V3_BDPV12</stp>
        <stp>CPI XYOY Index</stp>
        <stp>ECO RELEASE TIME</stp>
        <stp>[GMIC Info Template.xlsm]ECO Calendar!R15C18</stp>
        <tr r="R15" s="2"/>
      </tp>
      <tp t="s">
        <v>2/28/2015</v>
        <stp/>
        <stp>##V3_BDPV12</stp>
        <stp>CPTICHNG Index</stp>
        <stp>PRIOR OBSERVATION DATE</stp>
        <stp>[GMIC Info Template.xlsm]ECO Calendar!R105C14</stp>
        <tr r="N105" s="2"/>
      </tp>
      <tp t="s">
        <v>SOLAZYME INC</v>
        <stp/>
        <stp>##V3_BDPV12</stp>
        <stp>SZYM US EQUITY</stp>
        <stp>NAME</stp>
        <stp>[GMIC Info Template.xlsm]Most Up &amp; Down!R30C9</stp>
        <tr r="I30" s="9"/>
      </tp>
      <tp>
        <v>15.006144393241167</v>
        <stp/>
        <stp>##V3_BDPV12</stp>
        <stp>UTX US Equity</stp>
        <stp>OPER MARGIN</stp>
        <stp>[GMIC Info Template.xlsm]Security Analysis!R28C23</stp>
        <tr r="W28" s="13"/>
      </tp>
      <tp t="s">
        <v>Quarterly</v>
        <stp/>
        <stp>##V3_BDPV12</stp>
        <stp>GDPCPCEC Index</stp>
        <stp>INDX FREQ</stp>
        <stp>[GMIC Info Template.xlsm]ECO Calendar!R51C15</stp>
        <tr r="O51" s="2"/>
      </tp>
      <tp>
        <v>7.8743657740239437</v>
        <stp/>
        <stp>##V3_BDPV12</stp>
        <stp>UNH US Equity</stp>
        <stp>OPER MARGIN</stp>
        <stp>[GMIC Info Template.xlsm]Security Analysis!R26C23</stp>
        <tr r="W26" s="13"/>
      </tp>
      <tp t="s">
        <v>Monthly</v>
        <stp/>
        <stp>##V3_BDPV12</stp>
        <stp>SAARTOTL Index</stp>
        <stp>INDX FREQ</stp>
        <stp>[GMIC Info Template.xlsm]ECO Calendar!R64C15</stp>
        <tr r="O64" s="2"/>
      </tp>
      <tp t="s">
        <v>United States</v>
        <stp/>
        <stp>##V3_BDPV12</stp>
        <stp>PCE CHNC Index</stp>
        <stp>REGION OR COUNTRY</stp>
        <stp>[GMIC Info Template.xlsm]ECO Calendar!R58C20</stp>
        <tr r="T58" s="2"/>
      </tp>
      <tp>
        <v>29.265809598219573</v>
        <stp/>
        <stp>##V3_BDPV12</stp>
        <stp>MRK US Equity</stp>
        <stp>EBITDA MARGIN</stp>
        <stp>[GMIC Info Template.xlsm]Security Analysis!R20C22</stp>
        <tr r="V20" s="13"/>
      </tp>
      <tp t="s">
        <v>None</v>
        <stp/>
        <stp>##V3_BDPV12</stp>
        <stp>MPMIUSMA Index</stp>
        <stp>SCALING FORMAT</stp>
        <stp>[GMIC Info Template.xlsm]ECO Calendar!R27C10</stp>
        <tr r="J27" s="2"/>
      </tp>
      <tp t="s">
        <v>None</v>
        <stp/>
        <stp>##V3_BDPV12</stp>
        <stp>MPMIUSSA Index</stp>
        <stp>SCALING FORMAT</stp>
        <stp>[GMIC Info Template.xlsm]ECO Calendar!R36C10</stp>
        <tr r="J36" s="2"/>
      </tp>
      <tp t="s">
        <v>None</v>
        <stp/>
        <stp>##V3_BDPV12</stp>
        <stp>MPMIUSCA Index</stp>
        <stp>SCALING FORMAT</stp>
        <stp>[GMIC Info Template.xlsm]ECO Calendar!R35C10</stp>
        <tr r="J35" s="2"/>
      </tp>
      <tp t="s">
        <v>2/28/2015</v>
        <stp/>
        <stp>##V3_BDPV12</stp>
        <stp>NYPMCURR Index</stp>
        <stp>PRIOR OBSERVATION DATE</stp>
        <stp>[GMIC Info Template.xlsm]ECO Calendar!R66C14</stp>
        <tr r="N66" s="2"/>
      </tp>
      <tp>
        <v>199.512</v>
        <stp/>
        <stp>##V3_BDPV12</stp>
        <stp>VZ US Equity</stp>
        <stp>CRNCY ADJ MKT CAP</stp>
        <stp>[GMIC Info Template.xlsm]Security Analysis!R17C6</stp>
        <stp>EQY_FUND_CRNCY=USD</stp>
        <stp>SCALING_FORMAT=MMM</stp>
        <tr r="F17" s="13"/>
      </tp>
      <tp>
        <v>222.87307990122</v>
        <stp/>
        <stp>##V3_BDPV12</stp>
        <stp>PG US Equity</stp>
        <stp>CRNCY ADJ MKT CAP</stp>
        <stp>[GMIC Info Template.xlsm]Security Analysis!R14C6</stp>
        <stp>EQY_FUND_CRNCY=USD</stp>
        <stp>SCALING_FORMAT=MMM</stp>
        <tr r="F14" s="13"/>
      </tp>
      <tp>
        <v>176.05026133109999</v>
        <stp/>
        <stp>##V3_BDPV12</stp>
        <stp>KO US Equity</stp>
        <stp>CRNCY ADJ MKT CAP</stp>
        <stp>[GMIC Info Template.xlsm]Security Analysis!R19C6</stp>
        <stp>EQY_FUND_CRNCY=USD</stp>
        <stp>SCALING_FORMAT=MMM</stp>
        <tr r="F19" s="13"/>
      </tp>
      <tp>
        <v>274.33925907850005</v>
        <stp/>
        <stp>##V3_BDPV12</stp>
        <stp>GE US Equity</stp>
        <stp>CRNCY ADJ MKT CAP</stp>
        <stp>[GMIC Info Template.xlsm]Security Analysis!R11C6</stp>
        <stp>EQY_FUND_CRNCY=USD</stp>
        <stp>SCALING_FORMAT=MMM</stp>
        <tr r="F11" s="13"/>
      </tp>
      <tp t="s">
        <v>#N/A N/A</v>
        <stp/>
        <stp>##V3_BDPV12</stp>
        <stp>NFP TMOM Index</stp>
        <stp>BN SURVEY MEDIAN</stp>
        <stp>[GMIC Info Template.xlsm]ECO Calendar!R120C8</stp>
        <tr r="H120" s="2"/>
      </tp>
      <tp t="s">
        <v>2/28/2015</v>
        <stp/>
        <stp>##V3_BDPV12</stp>
        <stp>PRUSTOT Index</stp>
        <stp>PRIOR OBSERVATION DATE</stp>
        <stp>[GMIC Info Template.xlsm]ECO Calendar!R83C14</stp>
        <tr r="N83" s="2"/>
      </tp>
      <tp>
        <v>64.820490034049996</v>
        <stp/>
        <stp>##V3_BDPV12</stp>
        <stp>DD US Equity</stp>
        <stp>CRNCY ADJ MKT CAP</stp>
        <stp>[GMIC Info Template.xlsm]Security Analysis!R34C6</stp>
        <stp>EQY_FUND_CRNCY=USD</stp>
        <stp>SCALING_FORMAT=MMM</stp>
        <tr r="F34" s="13"/>
      </tp>
      <tp>
        <v>88.223562663799996</v>
        <stp/>
        <stp>##V3_BDPV12</stp>
        <stp>GS US Equity</stp>
        <stp>CRNCY ADJ MKT CAP</stp>
        <stp>[GMIC Info Template.xlsm]Security Analysis!R31C6</stp>
        <stp>EQY_FUND_CRNCY=USD</stp>
        <stp>SCALING_FORMAT=MMM</stp>
        <tr r="F31" s="13"/>
      </tp>
      <tp t="s">
        <v>2/28/2015</v>
        <stp/>
        <stp>##V3_BDPV12</stp>
        <stp>USURTOT Index</stp>
        <stp>PRIOR OBSERVATION DATE</stp>
        <stp>[GMIC Info Template.xlsm]ECO Calendar!R75C14</stp>
        <tr r="N75" s="2"/>
      </tp>
      <tp>
        <v>104.69632146160001</v>
        <stp/>
        <stp>##V3_BDPV12</stp>
        <stp>BA US Equity</stp>
        <stp>CRNCY ADJ MKT CAP</stp>
        <stp>[GMIC Info Template.xlsm]Security Analysis!R27C6</stp>
        <stp>EQY_FUND_CRNCY=USD</stp>
        <stp>SCALING_FORMAT=MMM</stp>
        <tr r="F27" s="13"/>
      </tp>
      <tp>
        <v>145.545995697</v>
        <stp/>
        <stp>##V3_BDPV12</stp>
        <stp>HD US Equity</stp>
        <stp>CRNCY ADJ MKT CAP</stp>
        <stp>[GMIC Info Template.xlsm]Security Analysis!R24C6</stp>
        <stp>EQY_FUND_CRNCY=USD</stp>
        <stp>SCALING_FORMAT=MMM</stp>
        <tr r="F24" s="13"/>
      </tp>
      <tp t="s">
        <v>None</v>
        <stp/>
        <stp>##V3_BDPV12</stp>
        <stp>TMNOCHNG Index</stp>
        <stp>SCALING FORMAT</stp>
        <stp>[GMIC Info Template.xlsm]ECO Calendar!R67C10</stp>
        <tr r="J67" s="2"/>
      </tp>
      <tp t="s">
        <v>4/24/2015</v>
        <stp/>
        <stp>##V3_BDPV12</stp>
        <stp>DGNOXTCH Index</stp>
        <stp>ECO RELEASE DT</stp>
        <stp>[GMIC Info Template.xlsm]ECO Calendar!R32C16</stp>
        <tr r="P32" s="2"/>
      </tp>
      <tp t="s">
        <v>5/5/2015</v>
        <stp/>
        <stp>##V3_BDPV12</stp>
        <stp>NAPMNMI Index</stp>
        <stp>ECO RELEASE DT</stp>
        <stp>[GMIC Info Template.xlsm]ECO Calendar!R69C16</stp>
        <tr r="P69" s="2"/>
      </tp>
      <tp t="s">
        <v>5/1/2015</v>
        <stp/>
        <stp>##V3_BDPV12</stp>
        <stp>NAPMPMI Index</stp>
        <stp>ECO RELEASE DT</stp>
        <stp>[GMIC Info Template.xlsm]ECO Calendar!R61C16</stp>
        <tr r="P61" s="2"/>
      </tp>
      <tp t="s">
        <v>US Initial Jobless Claims NSA</v>
        <stp/>
        <stp>##V3_BDPV12</stp>
        <stp>INJCJCNS Index</stp>
        <stp>Long Comp Name</stp>
        <stp>[GMIC Info Template.xlsm]ECO Calendar!R117C3</stp>
        <tr r="C117" s="2"/>
      </tp>
      <tp t="s">
        <v>University of Michigan Consumer Expectations Index</v>
        <stp/>
        <stp>##V3_BDPV12</stp>
        <stp>CONSEXP Index</stp>
        <stp>Long Comp Name</stp>
        <stp>[GMIC Info Template.xlsm]ECO Calendar!R10C3</stp>
        <tr r="C10" s="2"/>
      </tp>
      <tp t="s">
        <v>None</v>
        <stp/>
        <stp>##V3_BDPV12</stp>
        <stp>DGNOCHNG Index</stp>
        <stp>SCALING FORMAT</stp>
        <stp>[GMIC Info Template.xlsm]ECO Calendar!R31C10</stp>
        <tr r="J31" s="2"/>
      </tp>
      <tp t="s">
        <v>5/13/2015</v>
        <stp/>
        <stp>##V3_BDPV12</stp>
        <stp>RSTAMOM Index</stp>
        <stp>ECO RELEASE DT</stp>
        <stp>[GMIC Info Template.xlsm]ECO Calendar!R93C16</stp>
        <tr r="P93" s="2"/>
      </tp>
      <tp t="s">
        <v>8:30:00 AM</v>
        <stp/>
        <stp>##V3_BDPV12</stp>
        <stp>CPUPAXFE Index</stp>
        <stp>ECO RELEASE TIME</stp>
        <stp>[GMIC Info Template.xlsm]ECO Calendar!R16C18</stp>
        <tr r="R16" s="2"/>
      </tp>
      <tp t="s">
        <v>12/31/2014</v>
        <stp/>
        <stp>##V3_BDPV12</stp>
        <stp>SPCS20SM Index</stp>
        <stp>PRIOR OBSERVATION DATE</stp>
        <stp>[GMIC Info Template.xlsm]ECO Calendar!R42C14</stp>
        <tr r="N42" s="2"/>
      </tp>
      <tp t="s">
        <v>3/31/2015</v>
        <stp/>
        <stp>##V3_BDPV12</stp>
        <stp>COMFBTWR Index</stp>
        <stp>PRIOR OBSERVATION DATE</stp>
        <stp>[GMIC Info Template.xlsm]ECO Calendar!R115C14</stp>
        <tr r="N115" s="2"/>
      </tp>
      <tp>
        <v>13.492100000000001</v>
        <stp/>
        <stp>##V3_BDPV12</stp>
        <stp>PCE DEFM Index</stp>
        <stp>RELEVANCE VALUE</stp>
        <stp>[GMIC Info Template.xlsm]ECO Calendar!R57C19</stp>
        <tr r="S57" s="2"/>
      </tp>
      <tp>
        <v>41.269799999999996</v>
        <stp/>
        <stp>##V3_BDPV12</stp>
        <stp>PCE DEFY Index</stp>
        <stp>RELEVANCE VALUE</stp>
        <stp>[GMIC Info Template.xlsm]ECO Calendar!R56C19</stp>
        <tr r="S56" s="2"/>
      </tp>
      <tp t="s">
        <v>5/8/2015</v>
        <stp/>
        <stp>##V3_BDPV12</stp>
        <stp>NFP TCH Index</stp>
        <stp>ECO RELEASE DT</stp>
        <stp>[GMIC Info Template.xlsm]ECO Calendar!R74C16</stp>
        <tr r="P74" s="2"/>
      </tp>
      <tp t="s">
        <v>5/8/2015</v>
        <stp/>
        <stp>##V3_BDPV12</stp>
        <stp>NFP PCH Index</stp>
        <stp>ECO RELEASE DT</stp>
        <stp>[GMIC Info Template.xlsm]ECO Calendar!R77C16</stp>
        <tr r="P77" s="2"/>
      </tp>
      <tp t="s">
        <v>United States</v>
        <stp/>
        <stp>##V3_BDPV12</stp>
        <stp>PCE CYOY Index</stp>
        <stp>REGION OR COUNTRY</stp>
        <stp>[GMIC Info Template.xlsm]ECO Calendar!R55C20</stp>
        <tr r="T55" s="2"/>
      </tp>
      <tp>
        <v>20.094249318901404</v>
        <stp/>
        <stp>##V3_BDPV12</stp>
        <stp>TRV US Equity</stp>
        <stp>OPER MARGIN</stp>
        <stp>[GMIC Info Template.xlsm]Security Analysis!R36C23</stp>
        <tr r="W36" s="13"/>
      </tp>
      <tp t="s">
        <v>Monthly</v>
        <stp/>
        <stp>##V3_BDPV12</stp>
        <stp>MAPMINDX Index</stp>
        <stp>INDX FREQ</stp>
        <stp>[GMIC Info Template.xlsm]ECO Calendar!R60C15</stp>
        <tr r="O60" s="2"/>
      </tp>
      <tp t="s">
        <v>Monthly</v>
        <stp/>
        <stp>##V3_BDPV12</stp>
        <stp>CHPMINDX Index</stp>
        <stp>INDX FREQ</stp>
        <stp>[GMIC Info Template.xlsm]ECO Calendar!R59C15</stp>
        <tr r="O59" s="2"/>
      </tp>
      <tp t="s">
        <v>United States</v>
        <stp/>
        <stp>##V3_BDPV12</stp>
        <stp>PCE CMOM Index</stp>
        <stp>REGION OR COUNTRY</stp>
        <stp>[GMIC Info Template.xlsm]ECO Calendar!R54C20</stp>
        <tr r="T54" s="2"/>
      </tp>
      <tp>
        <v>-2.1530279999999999</v>
        <stp/>
        <stp>##V3_BDPV12</stp>
        <stp>AAPL US Equity</stp>
        <stp>CHG PCT 1M</stp>
        <stp>[GMIC Info Template.xlsm]Security Analysis!R7C15</stp>
        <tr r="O7" s="13"/>
      </tp>
      <tp t="s">
        <v>8:30:00 AM</v>
        <stp/>
        <stp>##V3_BDPV12</stp>
        <stp>NFP TCH Index</stp>
        <stp>ECO RELEASE TIME</stp>
        <stp>[GMIC Info Template.xlsm]ECO Calendar!R74C18</stp>
        <tr r="R74" s="2"/>
      </tp>
      <tp t="s">
        <v>10:00:00 AM</v>
        <stp/>
        <stp>##V3_BDPV12</stp>
        <stp>NHSLTOT Index</stp>
        <stp>ECO RELEASE TIME</stp>
        <stp>[GMIC Info Template.xlsm]ECO Calendar!R29C18</stp>
        <tr r="R29" s="2"/>
      </tp>
      <tp t="s">
        <v>Merchant Wholesalers Inventori</v>
        <stp/>
        <stp>##V3_BDPV12</stp>
        <stp>MWINCHNG Index</stp>
        <stp>NAME</stp>
        <stp>[GMIC Info Template.xlsm]ECO Calendar!R85C6</stp>
        <tr r="F85" s="2"/>
      </tp>
      <tp t="s">
        <v>US Import Price Index by End U</v>
        <stp/>
        <stp>##V3_BDPV12</stp>
        <stp>IMP1CHNG Index</stp>
        <stp>NAME</stp>
        <stp>[GMIC Info Template.xlsm]ECO Calendar!R91C6</stp>
        <tr r="F91" s="2"/>
      </tp>
      <tp>
        <v>33.436924029005397</v>
        <stp/>
        <stp>##V3_BDPV12</stp>
        <stp>JNJ US Equity</stp>
        <stp>EBITDA MARGIN</stp>
        <stp>[GMIC Info Template.xlsm]Security Analysis!R10C22</stp>
        <tr r="V10" s="13"/>
      </tp>
      <tp t="s">
        <v>8:30:00 AM</v>
        <stp/>
        <stp>##V3_BDPV12</stp>
        <stp>CPI YOY Index</stp>
        <stp>ECO RELEASE TIME</stp>
        <stp>[GMIC Info Template.xlsm]ECO Calendar!R14C18</stp>
        <tr r="R14" s="2"/>
      </tp>
      <tp t="s">
        <v>NEW YORK PURCHASING MANAGER Cu</v>
        <stp/>
        <stp>##V3_BDPV12</stp>
        <stp>NYPMCURR Index</stp>
        <stp>NAME</stp>
        <stp>[GMIC Info Template.xlsm]ECO Calendar!R66C6</stp>
        <tr r="F66" s="2"/>
      </tp>
      <tp t="s">
        <v>Index SA</v>
        <stp/>
        <stp>##V3_BDPV12</stp>
        <stp>SBOITOTL Index</stp>
        <stp>SEASONALITY AND TRANSFORMATION</stp>
        <stp>[GMIC Info Template.xlsm]ECO Calendar!R90C11</stp>
        <tr r="K90" s="2"/>
      </tp>
      <tp t="s">
        <v>Index SA</v>
        <stp/>
        <stp>##V3_BDPV12</stp>
        <stp>CONCCONF Index</stp>
        <stp>SEASONALITY AND TRANSFORMATION</stp>
        <stp>[GMIC Info Template.xlsm]ECO Calendar!R44C11</stp>
        <tr r="K44" s="2"/>
      </tp>
      <tp t="s">
        <v>Index SA</v>
        <stp/>
        <stp>##V3_BDPV12</stp>
        <stp>CONCCONF Index</stp>
        <stp>SEASONALITY AND TRANSFORMATION</stp>
        <stp>[GMIC Info Template.xlsm]ECO Calendar!R45C11</stp>
        <tr r="K45" s="2"/>
      </tp>
      <tp t="s">
        <v>MoM% SA</v>
        <stp/>
        <stp>##V3_BDPV12</stp>
        <stp>USPHTMOM Index</stp>
        <stp>SEASONALITY AND TRANSFORMATION</stp>
        <stp>[GMIC Info Template.xlsm]ECO Calendar!R46C11</stp>
        <tr r="K46" s="2"/>
      </tp>
      <tp t="s">
        <v>MoM% SA</v>
        <stp/>
        <stp>##V3_BDPV12</stp>
        <stp>MTIBCHNG Index</stp>
        <stp>SEASONALITY AND TRANSFORMATION</stp>
        <stp>[GMIC Info Template.xlsm]ECO Calendar!R97C11</stp>
        <tr r="K97" s="2"/>
      </tp>
      <tp t="s">
        <v>MoM% SA</v>
        <stp/>
        <stp>##V3_BDPV12</stp>
        <stp>AHE MOM% Index</stp>
        <stp>SEASONALITY AND TRANSFORMATION</stp>
        <stp>[GMIC Info Template.xlsm]ECO Calendar!R78C11</stp>
        <tr r="K78" s="2"/>
      </tp>
      <tp t="s">
        <v>2/28/2014</v>
        <stp/>
        <stp>##V3_BDPV12</stp>
        <stp>SAARTOTL Index</stp>
        <stp>PRIOR OBSERVATION DATE</stp>
        <stp>[GMIC Info Template.xlsm]ECO Calendar!R64C14</stp>
        <tr r="N64" s="2"/>
      </tp>
      <tp>
        <v>4433769.2249999996</v>
        <stp/>
        <stp>##V3_BDPV12</stp>
        <stp>ESCR US EQUITY</stp>
        <stp>CUR MKT CAP</stp>
        <stp>[GMIC Info Template.xlsm]Most Up &amp; Down!R31C13</stp>
        <tr r="M31" s="9"/>
      </tp>
      <tp>
        <v>1.145113969076696</v>
        <stp/>
        <stp>##V3_BDPV12</stp>
        <stp>CSCO US Equity</stp>
        <stp>BETA RAW OVERRIDABLE</stp>
        <stp>[GMIC Info Template.xlsm]Security Analysis!R25C10</stp>
        <stp>BETA_OVERRIDE_REL_INDEX=SPX INDEX</stp>
        <tr r="J25" s="13"/>
      </tp>
      <tp>
        <v>95857343.679999992</v>
        <stp/>
        <stp>##V3_BDPV12</stp>
        <stp>DSCO US EQUITY</stp>
        <stp>CUR MKT CAP</stp>
        <stp>[GMIC Info Template.xlsm]Most Up &amp; Down!R24C13</stp>
        <tr r="M24" s="9"/>
      </tp>
      <tp>
        <v>31953970.099999998</v>
        <stp/>
        <stp>##V3_BDPV12</stp>
        <stp>VPCO US EQUITY</stp>
        <stp>CUR MKT CAP</stp>
        <stp>[GMIC Info Template.xlsm]Most Up &amp; Down!R12C13</stp>
        <tr r="M12" s="9"/>
      </tp>
      <tp t="s">
        <v>#N/A N/A</v>
        <stp/>
        <stp>##V3_BDPV12</stp>
        <stp>INJCJCNS Index</stp>
        <stp>BN SURVEY MEDIAN</stp>
        <stp>[GMIC Info Template.xlsm]ECO Calendar!R117C8</stp>
        <tr r="H117" s="2"/>
      </tp>
      <tp t="s">
        <v>None</v>
        <stp/>
        <stp>##V3_BDPV12</stp>
        <stp>MWINCHNG Index</stp>
        <stp>SCALING FORMAT</stp>
        <stp>[GMIC Info Template.xlsm]ECO Calendar!R85C10</stp>
        <tr r="J85" s="2"/>
      </tp>
      <tp t="s">
        <v>5/1/2015</v>
        <stp/>
        <stp>##V3_BDPV12</stp>
        <stp>SAARDTOT Index</stp>
        <stp>ECO RELEASE DT</stp>
        <stp>[GMIC Info Template.xlsm]ECO Calendar!R65C16</stp>
        <tr r="P65" s="2"/>
      </tp>
      <tp>
        <v>172.94</v>
        <stp/>
        <stp>##V3_BDPV12</stp>
        <stp>SPCS20 Index</stp>
        <stp>PX LAST</stp>
        <stp>[GMIC Info Template.xlsm]ECO Calendar!R38C7</stp>
        <tr r="G38" s="2"/>
      </tp>
      <tp t="s">
        <v>Billion</v>
        <stp/>
        <stp>##V3_BDPV12</stp>
        <stp>CICRTOT Index</stp>
        <stp>SCALING FORMAT</stp>
        <stp>[GMIC Info Template.xlsm]ECO Calendar!R73C10</stp>
        <tr r="J73" s="2"/>
      </tp>
      <tp t="s">
        <v>1/31/2015</v>
        <stp/>
        <stp>##V3_BDPV12</stp>
        <stp>USTBTOT Index</stp>
        <stp>PRIOR OBSERVATION DATE</stp>
        <stp>[GMIC Info Template.xlsm]ECO Calendar!R68C14</stp>
        <tr r="N68" s="2"/>
      </tp>
      <tp t="s">
        <v>Net Monthly Change SA</v>
        <stp/>
        <stp>##V3_BDPV12</stp>
        <stp>USMMMNCH Index</stp>
        <stp>SEASONALITY AND TRANSFORMATION</stp>
        <stp>[GMIC Info Template.xlsm]ECO Calendar!R76C11</stp>
        <tr r="K76" s="2"/>
      </tp>
      <tp t="s">
        <v>YoY% SA</v>
        <stp/>
        <stp>##V3_BDPV12</stp>
        <stp>AHE YOY% Index</stp>
        <stp>SEASONALITY AND TRANSFORMATION</stp>
        <stp>[GMIC Info Template.xlsm]ECO Calendar!R79C11</stp>
        <tr r="K79" s="2"/>
      </tp>
      <tp t="s">
        <v>3/31/2015</v>
        <stp/>
        <stp>##V3_BDPV12</stp>
        <stp>EMPRGBCI Index</stp>
        <stp>PRIOR OBSERVATION DATE</stp>
        <stp>[GMIC Info Template.xlsm]ECO Calendar!R107C14</stp>
        <tr r="N107" s="2"/>
      </tp>
      <tp>
        <v>65.079400000000007</v>
        <stp/>
        <stp>##V3_BDPV12</stp>
        <stp>DFEDGBA Index</stp>
        <stp>RELEVANCE VALUE</stp>
        <stp>[GMIC Info Template.xlsm]ECO Calendar!R37C19</stp>
        <tr r="S37" s="2"/>
      </tp>
      <tp>
        <v>39.682499999999997</v>
        <stp/>
        <stp>##V3_BDPV12</stp>
        <stp>SAARDTOT Index</stp>
        <stp>RELEVANCE VALUE</stp>
        <stp>[GMIC Info Template.xlsm]ECO Calendar!R65C19</stp>
        <tr r="S65" s="2"/>
      </tp>
      <tp>
        <v>2</v>
        <stp/>
        <stp>##V3_BDPV12</stp>
        <stp>NHCHSTCH Index</stp>
        <stp>PX LAST</stp>
        <stp>[GMIC Info Template.xlsm]ECO Calendar!R113C7</stp>
        <tr r="G113" s="2"/>
      </tp>
      <tp t="s">
        <v>8:30:00 AM</v>
        <stp/>
        <stp>##V3_BDPV12</stp>
        <stp>PCE CHNC Index</stp>
        <stp>ECO RELEASE TIME</stp>
        <stp>[GMIC Info Template.xlsm]ECO Calendar!R58C18</stp>
        <tr r="R58" s="2"/>
      </tp>
      <tp t="s">
        <v>Net Monthly Change SA</v>
        <stp/>
        <stp>##V3_BDPV12</stp>
        <stp>NFP PCH Index</stp>
        <stp>SEASONALITY AND TRANSFORMATION</stp>
        <stp>[GMIC Info Template.xlsm]ECO Calendar!R77C11</stp>
        <tr r="K77" s="2"/>
      </tp>
      <tp t="s">
        <v>Net Monthly Change SA</v>
        <stp/>
        <stp>##V3_BDPV12</stp>
        <stp>NFP TCH Index</stp>
        <stp>SEASONALITY AND TRANSFORMATION</stp>
        <stp>[GMIC Info Template.xlsm]ECO Calendar!R74C11</stp>
        <tr r="K74" s="2"/>
      </tp>
      <tp>
        <v>77.460300000000004</v>
        <stp/>
        <stp>##V3_BDPV12</stp>
        <stp>GDP PIQQ Index</stp>
        <stp>RELEVANCE VALUE</stp>
        <stp>[GMIC Info Template.xlsm]ECO Calendar!R49C19</stp>
        <tr r="S49" s="2"/>
      </tp>
      <tp t="s">
        <v>None</v>
        <stp/>
        <stp>##V3_BDPV12</stp>
        <stp>FRNTTNET Index</stp>
        <stp>SCALING FORMAT</stp>
        <stp>[GMIC Info Template.xlsm]ECO Calendar!R109C10</stp>
        <tr r="J109" s="2"/>
      </tp>
      <tp t="s">
        <v>None</v>
        <stp/>
        <stp>##V3_BDPV12</stp>
        <stp>FRNTTOTL Index</stp>
        <stp>SCALING FORMAT</stp>
        <stp>[GMIC Info Template.xlsm]ECO Calendar!R108C10</stp>
        <tr r="J108" s="2"/>
      </tp>
      <tp>
        <v>80.158699999999996</v>
        <stp/>
        <stp>##V3_BDPV12</stp>
        <stp>CNSTTMOM Index</stp>
        <stp>RELEVANCE VALUE</stp>
        <stp>[GMIC Info Template.xlsm]ECO Calendar!R62C19</stp>
        <tr r="S62" s="2"/>
      </tp>
      <tp>
        <v>67.777799999999999</v>
        <stp/>
        <stp>##V3_BDPV12</stp>
        <stp>GDPCPCEC Index</stp>
        <stp>RELEVANCE VALUE</stp>
        <stp>[GMIC Info Template.xlsm]ECO Calendar!R51C19</stp>
        <tr r="S51" s="2"/>
      </tp>
      <tp t="s">
        <v>8:30:00 AM</v>
        <stp/>
        <stp>##V3_BDPV12</stp>
        <stp>GDPCTOT% Index</stp>
        <stp>ECO RELEASE TIME</stp>
        <stp>[GMIC Info Template.xlsm]ECO Calendar!R50C18</stp>
        <tr r="R50" s="2"/>
      </tp>
      <tp>
        <v>86.507900000000006</v>
        <stp/>
        <stp>##V3_BDPV12</stp>
        <stp>TMNOCHNG Index</stp>
        <stp>RELEVANCE VALUE</stp>
        <stp>[GMIC Info Template.xlsm]ECO Calendar!R67C19</stp>
        <tr r="S67" s="2"/>
      </tp>
      <tp>
        <v>2499.73</v>
        <stp/>
        <stp>##V3_BDPV12</stp>
        <stp>USDCOP CURNCY</stp>
        <stp>PX LAST</stp>
        <stp>[GMIC Info Template.xlsm]Currencies &amp; Commodities!R14C4</stp>
        <tr r="D14" s="3"/>
      </tp>
      <tp t="s">
        <v>Apr 11</v>
        <stp/>
        <stp>##V3_BDPV12</stp>
        <stp>INJCSP Index</stp>
        <stp>OBSERVATION PERIOD</stp>
        <stp>[GMIC Info Template.xlsm]ECO Calendar!R26C12</stp>
        <tr r="L26" s="2"/>
      </tp>
      <tp t="s">
        <v>JOHNSON&amp;JOHNSON</v>
        <stp/>
        <stp>##V3_BDPV12</stp>
        <stp>JNJ US Equity</stp>
        <stp>SHORT NAME</stp>
        <stp>[GMIC Info Template.xlsm]Security Analysis!R10C2</stp>
        <tr r="B10" s="13"/>
      </tp>
      <tp>
        <v>5.5898165555100263</v>
        <stp/>
        <stp>##V3_BDPV12</stp>
        <stp>WMT US Equity</stp>
        <stp>OPER MARGIN</stp>
        <stp>[GMIC Info Template.xlsm]Security Analysis!R12C23</stp>
        <tr r="W12" s="13"/>
      </tp>
    </main>
    <main first="bloomberg.rtd">
      <tp t="s">
        <v>USD</v>
        <stp/>
        <stp>##V3_BDPV12</stp>
        <stp>INTC US Equity</stp>
        <stp>CRNCY</stp>
        <stp>[GMIC Info Template.xlsm]Security Analysis!R23C12</stp>
        <tr r="L23" s="13"/>
      </tp>
      <tp t="s">
        <v>Merchant Wholesalers Sales Tot</v>
        <stp/>
        <stp>##V3_BDPV12</stp>
        <stp>MWSLCHNG Index</stp>
        <stp>NAME</stp>
        <stp>[GMIC Info Template.xlsm]ECO Calendar!R86C6</stp>
        <tr r="F86" s="2"/>
      </tp>
      <tp t="s">
        <v>United States</v>
        <stp/>
        <stp>##V3_BDPV12</stp>
        <stp>IMP1YOY% Index</stp>
        <stp>REGION OR COUNTRY</stp>
        <stp>[GMIC Info Template.xlsm]ECO Calendar!R92C20</stp>
        <tr r="T92" s="2"/>
      </tp>
      <tp t="s">
        <v>US PPI Final Demand MoM SA</v>
        <stp/>
        <stp>##V3_BDPV12</stp>
        <stp>FDIDFDMO Index</stp>
        <stp>NAME</stp>
        <stp>[GMIC Info Template.xlsm]ECO Calendar!R98C6</stp>
        <tr r="F98" s="2"/>
      </tp>
      <tp t="s">
        <v>Thousand</v>
        <stp/>
        <stp>##V3_BDPV12</stp>
        <stp>USEMNCHG Index</stp>
        <stp>SCALING FORMAT</stp>
        <stp>[GMIC Info Template.xlsm]ECO Calendar!R81C10</stp>
        <tr r="J81" s="2"/>
      </tp>
      <tp t="s">
        <v>5/8/2015</v>
        <stp/>
        <stp>##V3_BDPV12</stp>
        <stp>AHE MOM% Index</stp>
        <stp>ECO RELEASE DT</stp>
        <stp>[GMIC Info Template.xlsm]ECO Calendar!R78C16</stp>
        <tr r="P78" s="2"/>
      </tp>
      <tp t="s">
        <v>5/13/2015</v>
        <stp/>
        <stp>##V3_BDPV12</stp>
        <stp>MTIBCHNG Index</stp>
        <stp>ECO RELEASE DT</stp>
        <stp>[GMIC Info Template.xlsm]ECO Calendar!R97C16</stp>
        <tr r="P97" s="2"/>
      </tp>
      <tp t="s">
        <v>5/12/2015</v>
        <stp/>
        <stp>##V3_BDPV12</stp>
        <stp>SBOITOTL Index</stp>
        <stp>ECO RELEASE DT</stp>
        <stp>[GMIC Info Template.xlsm]ECO Calendar!R90C16</stp>
        <tr r="P90" s="2"/>
      </tp>
      <tp t="s">
        <v>4/29/2015</v>
        <stp/>
        <stp>##V3_BDPV12</stp>
        <stp>USPHTMOM Index</stp>
        <stp>ECO RELEASE DT</stp>
        <stp>[GMIC Info Template.xlsm]ECO Calendar!R46C16</stp>
        <tr r="P46" s="2"/>
      </tp>
      <tp t="s">
        <v>4/28/2015</v>
        <stp/>
        <stp>##V3_BDPV12</stp>
        <stp>CONCCONF Index</stp>
        <stp>ECO RELEASE DT</stp>
        <stp>[GMIC Info Template.xlsm]ECO Calendar!R45C16</stp>
        <tr r="P45" s="2"/>
      </tp>
      <tp t="s">
        <v>4/28/2015</v>
        <stp/>
        <stp>##V3_BDPV12</stp>
        <stp>CONCCONF Index</stp>
        <stp>ECO RELEASE DT</stp>
        <stp>[GMIC Info Template.xlsm]ECO Calendar!R44C16</stp>
        <tr r="P44" s="2"/>
      </tp>
      <tp t="s">
        <v>#N/A N/A</v>
        <stp/>
        <stp>##V3_BDPV12</stp>
        <stp>SAARDTOT Index</stp>
        <stp>SEASONALITY AND TRANSFORMATION</stp>
        <stp>[GMIC Info Template.xlsm]ECO Calendar!R65C11</stp>
        <tr r="K65" s="2"/>
      </tp>
      <tp t="s">
        <v>5/8/2015</v>
        <stp/>
        <stp>##V3_BDPV12</stp>
        <stp>USMMMNCH Index</stp>
        <stp>ECO RELEASE DT</stp>
        <stp>[GMIC Info Template.xlsm]ECO Calendar!R76C16</stp>
        <tr r="P76" s="2"/>
      </tp>
      <tp t="s">
        <v>5/8/2015</v>
        <stp/>
        <stp>##V3_BDPV12</stp>
        <stp>AHE YOY% Index</stp>
        <stp>ECO RELEASE DT</stp>
        <stp>[GMIC Info Template.xlsm]ECO Calendar!R79C16</stp>
        <tr r="P79" s="2"/>
      </tp>
      <tp t="s">
        <v>None</v>
        <stp/>
        <stp>##V3_BDPV12</stp>
        <stp>LMCILMCC Index</stp>
        <stp>SCALING FORMAT</stp>
        <stp>[GMIC Info Template.xlsm]ECO Calendar!R87C10</stp>
        <tr r="J87" s="2"/>
      </tp>
      <tp t="s">
        <v>None</v>
        <stp/>
        <stp>##V3_BDPV12</stp>
        <stp>CPURNSA Index</stp>
        <stp>SCALING FORMAT</stp>
        <stp>[GMIC Info Template.xlsm]ECO Calendar!R17C10</stp>
        <tr r="J17" s="2"/>
      </tp>
      <tp t="s">
        <v>None</v>
        <stp/>
        <stp>##V3_BDPV12</stp>
        <stp>SPCSUSAY Index</stp>
        <stp>SCALING FORMAT</stp>
        <stp>[GMIC Info Template.xlsm]ECO Calendar!R40C10</stp>
        <tr r="J40" s="2"/>
      </tp>
      <tp>
        <v>20.08136</v>
        <stp/>
        <stp>##V3_BDPV12</stp>
        <stp>INTC US Equity</stp>
        <stp>CHG PCT 1YR</stp>
        <stp>[GMIC Info Template.xlsm]Security Analysis!R23C18</stp>
        <tr r="R23" s="13"/>
      </tp>
      <tp t="s">
        <v>Units/Persons SAAR</v>
        <stp/>
        <stp>##V3_BDPV12</stp>
        <stp>NHSPATOT Index</stp>
        <stp>SEASONALITY AND TRANSFORMATION</stp>
        <stp>[GMIC Info Template.xlsm]ECO Calendar!R112C11</stp>
        <tr r="K112" s="2"/>
      </tp>
      <tp t="s">
        <v>MoM% SA</v>
        <stp/>
        <stp>##V3_BDPV12</stp>
        <stp>NHCHATCH Index</stp>
        <stp>SEASONALITY AND TRANSFORMATION</stp>
        <stp>[GMIC Info Template.xlsm]ECO Calendar!R114C11</stp>
        <tr r="K114" s="2"/>
      </tp>
      <tp t="s">
        <v>10:00:00 AM</v>
        <stp/>
        <stp>##V3_BDPV12</stp>
        <stp>USPHTYOY Index</stp>
        <stp>ECO RELEASE TIME</stp>
        <stp>[GMIC Info Template.xlsm]ECO Calendar!R47C18</stp>
        <tr r="R47" s="2"/>
      </tp>
      <tp t="s">
        <v>4/3/2015</v>
        <stp/>
        <stp>##V3_BDPV12</stp>
        <stp>INJCJCNS Index</stp>
        <stp>PRIOR OBSERVATION DATE</stp>
        <stp>[GMIC Info Template.xlsm]ECO Calendar!R117C14</stp>
        <tr r="N117" s="2"/>
      </tp>
      <tp>
        <v>15.798745545284218</v>
        <stp/>
        <stp>##V3_BDPV12</stp>
        <stp>MSFT US Equity</stp>
        <stp>PE RATIO</stp>
        <stp>[GMIC Info Template.xlsm]Security Analysis!R9C19</stp>
        <tr r="S9" s="13"/>
      </tp>
      <tp t="s">
        <v>7:00:00 AM</v>
        <stp/>
        <stp>##V3_BDPV12</stp>
        <stp>MBAVCHNG Index</stp>
        <stp>ECO RELEASE TIME</stp>
        <stp>[GMIC Info Template.xlsm]ECO Calendar!R20C18</stp>
        <tr r="R20" s="2"/>
      </tp>
      <tp t="s">
        <v>US Initial Jobless Claims SA</v>
        <stp/>
        <stp>##V3_BDPV12</stp>
        <stp>INJCJC Index</stp>
        <stp>Long Comp Name</stp>
        <stp>[GMIC Info Template.xlsm]ECO Calendar!R25C3</stp>
        <tr r="C25" s="2"/>
      </tp>
      <tp t="s">
        <v>MERCK &amp; CO</v>
        <stp/>
        <stp>##V3_BDPV12</stp>
        <stp>MRK US Equity</stp>
        <stp>SHORT NAME</stp>
        <stp>[GMIC Info Template.xlsm]Security Analysis!R20C2</stp>
        <tr r="B20" s="13"/>
      </tp>
      <tp>
        <v>17.69979</v>
        <stp/>
        <stp>##V3_BDPV12</stp>
        <stp>AAPL US Equity</stp>
        <stp>CHG PCT 3M</stp>
        <stp>[GMIC Info Template.xlsm]Security Analysis!R7C16</stp>
        <tr r="P7" s="13"/>
      </tp>
      <tp t="s">
        <v>US Manufacturing &amp; Trade Inven</v>
        <stp/>
        <stp>##V3_BDPV12</stp>
        <stp>MTIBCHNG Index</stp>
        <stp>NAME</stp>
        <stp>[GMIC Info Template.xlsm]ECO Calendar!R97C6</stp>
        <tr r="F97" s="2"/>
      </tp>
      <tp t="s">
        <v>US PPI Final Demand YoY NSA</v>
        <stp/>
        <stp>##V3_BDPV12</stp>
        <stp>FDIUFDYO Index</stp>
        <stp>NAME</stp>
        <stp>[GMIC Info Template.xlsm]ECO Calendar!R99C6</stp>
        <tr r="F99" s="2"/>
      </tp>
      <tp t="s">
        <v>United States</v>
        <stp/>
        <stp>##V3_BDPV12</stp>
        <stp>AHE MOM% Index</stp>
        <stp>REGION OR COUNTRY</stp>
        <stp>[GMIC Info Template.xlsm]ECO Calendar!R78C20</stp>
        <tr r="T78" s="2"/>
      </tp>
      <tp>
        <v>9.1851147024278568</v>
        <stp/>
        <stp>##V3_BDPV12</stp>
        <stp>UNH US Equity</stp>
        <stp>EBITDA MARGIN</stp>
        <stp>[GMIC Info Template.xlsm]Security Analysis!R26C22</stp>
        <tr r="V26" s="13"/>
      </tp>
      <tp t="s">
        <v>US Trade Balance of Goods and Services SA</v>
        <stp/>
        <stp>##V3_BDPV12</stp>
        <stp>USTBTOT Index</stp>
        <stp>Long Comp Name</stp>
        <stp>[GMIC Info Template.xlsm]ECO Calendar!R68C3</stp>
        <tr r="C68" s="2"/>
      </tp>
      <tp t="s">
        <v>#N/A N/A</v>
        <stp/>
        <stp>##V3_BDPV12</stp>
        <stp>EMPRGBCI Index</stp>
        <stp>BN SURVEY MEDIAN</stp>
        <stp>[GMIC Info Template.xlsm]ECO Calendar!R107C8</stp>
        <tr r="H107" s="2"/>
      </tp>
      <tp t="s">
        <v>None</v>
        <stp/>
        <stp>##V3_BDPV12</stp>
        <stp>PITLCHNG Index</stp>
        <stp>SCALING FORMAT</stp>
        <stp>[GMIC Info Template.xlsm]ECO Calendar!R52C10</stp>
        <tr r="J52" s="2"/>
      </tp>
      <tp>
        <v>10071388.319999998</v>
        <stp/>
        <stp>##V3_BDPV12</stp>
        <stp>ADAT US EQUITY</stp>
        <stp>CUR MKT CAP</stp>
        <stp>[GMIC Info Template.xlsm]Most Up &amp; Down!R19C13</stp>
        <tr r="M19" s="9"/>
      </tp>
      <tp t="s">
        <v>MICROSOFT CORP</v>
        <stp/>
        <stp>##V3_BDPV12</stp>
        <stp>MSFT US Equity</stp>
        <stp>SHORT NAME</stp>
        <stp>[GMIC Info Template.xlsm]Security Analysis!R9C2</stp>
        <tr r="B9" s="13"/>
      </tp>
      <tp t="s">
        <v>12/31/2014</v>
        <stp/>
        <stp>##V3_BDPV12</stp>
        <stp>SPCSUSA Index</stp>
        <stp>PRIOR OBSERVATION DATE</stp>
        <stp>[GMIC Info Template.xlsm]ECO Calendar!R41C14</stp>
        <tr r="N41" s="2"/>
      </tp>
      <tp>
        <v>20.948630749955253</v>
        <stp/>
        <stp>##V3_BDPV12</stp>
        <stp>INTC US Equity</stp>
        <stp>PROF MARGIN</stp>
        <stp>[GMIC Info Template.xlsm]Security Analysis!R23C24</stp>
        <tr r="X23" s="13"/>
      </tp>
      <tp t="s">
        <v>None</v>
        <stp/>
        <stp>##V3_BDPV12</stp>
        <stp>MWSLCHNG Index</stp>
        <stp>SCALING FORMAT</stp>
        <stp>[GMIC Info Template.xlsm]ECO Calendar!R86C10</stp>
        <tr r="J86" s="2"/>
      </tp>
      <tp t="s">
        <v>MoM% SA</v>
        <stp/>
        <stp>##V3_BDPV12</stp>
        <stp>RSTAMOM Index</stp>
        <stp>SEASONALITY AND TRANSFORMATION</stp>
        <stp>[GMIC Info Template.xlsm]ECO Calendar!R93C11</stp>
        <tr r="K93" s="2"/>
      </tp>
      <tp>
        <v>27.92</v>
        <stp/>
        <stp>##V3_BDPV12</stp>
        <stp>CSCO US Equity</stp>
        <stp>PX ASK</stp>
        <stp>[GMIC Info Template.xlsm]Security Analysis!R25C13</stp>
        <tr r="M25" s="13"/>
      </tp>
      <tp t="s">
        <v>None</v>
        <stp/>
        <stp>##V3_BDPV12</stp>
        <stp>NHSLCHNG Index</stp>
        <stp>SCALING FORMAT</stp>
        <stp>[GMIC Info Template.xlsm]ECO Calendar!R30C10</stp>
        <tr r="J30" s="2"/>
      </tp>
      <tp t="s">
        <v>% Balance/Diffusion Index NSA</v>
        <stp/>
        <stp>##V3_BDPV12</stp>
        <stp>NAPMNMI Index</stp>
        <stp>SEASONALITY AND TRANSFORMATION</stp>
        <stp>[GMIC Info Template.xlsm]ECO Calendar!R69C11</stp>
        <tr r="K69" s="2"/>
      </tp>
      <tp t="s">
        <v>% Balance/Diffusion Index SA</v>
        <stp/>
        <stp>##V3_BDPV12</stp>
        <stp>NAPMPMI Index</stp>
        <stp>SEASONALITY AND TRANSFORMATION</stp>
        <stp>[GMIC Info Template.xlsm]ECO Calendar!R61C11</stp>
        <tr r="K61" s="2"/>
      </tp>
      <tp t="s">
        <v>None</v>
        <stp/>
        <stp>##V3_BDPV12</stp>
        <stp>FDIDFDMO Index</stp>
        <stp>SCALING FORMAT</stp>
        <stp>[GMIC Info Template.xlsm]ECO Calendar!R98C10</stp>
        <tr r="J98" s="2"/>
      </tp>
      <tp t="s">
        <v>MoM% SA</v>
        <stp/>
        <stp>##V3_BDPV12</stp>
        <stp>DGNOXTCH Index</stp>
        <stp>SEASONALITY AND TRANSFORMATION</stp>
        <stp>[GMIC Info Template.xlsm]ECO Calendar!R32C11</stp>
        <tr r="K32" s="2"/>
      </tp>
      <tp>
        <v>88.095200000000006</v>
        <stp/>
        <stp>##V3_BDPV12</stp>
        <stp>ETSLTOTL Index</stp>
        <stp>RELEVANCE VALUE</stp>
        <stp>[GMIC Info Template.xlsm]ECO Calendar!R22C19</stp>
        <tr r="S22" s="2"/>
      </tp>
      <tp t="s">
        <v>9:00:00 AM</v>
        <stp/>
        <stp>##V3_BDPV12</stp>
        <stp>SBOITOTL Index</stp>
        <stp>ECO RELEASE TIME</stp>
        <stp>[GMIC Info Template.xlsm]ECO Calendar!R90C18</stp>
        <tr r="R90" s="2"/>
      </tp>
      <tp>
        <v>84.920599999999993</v>
        <stp/>
        <stp>##V3_BDPV12</stp>
        <stp>USTBTOT Index</stp>
        <stp>RELEVANCE VALUE</stp>
        <stp>[GMIC Info Template.xlsm]ECO Calendar!R68C19</stp>
        <tr r="S68" s="2"/>
      </tp>
      <tp t="s">
        <v>#N/A Field Not Applicable</v>
        <stp/>
        <stp>##V3_BDPV12</stp>
        <stp>INJCJCNS Index</stp>
        <stp>ECO RELEASE DT</stp>
        <stp>[GMIC Info Template.xlsm]ECO Calendar!R117C16</stp>
        <tr r="P117" s="2"/>
      </tp>
      <tp>
        <v>56</v>
        <stp/>
        <stp>##V3_BDPV12</stp>
        <stp>USHBMIDX Index</stp>
        <stp>PX LAST</stp>
        <stp>[GMIC Info Template.xlsm]ECO Calendar!R110C7</stp>
        <tr r="G110" s="2"/>
      </tp>
      <tp t="s">
        <v>8:30:00 AM</v>
        <stp/>
        <stp>##V3_BDPV12</stp>
        <stp>GDP PIQQ Index</stp>
        <stp>ECO RELEASE TIME</stp>
        <stp>[GMIC Info Template.xlsm]ECO Calendar!R49C18</stp>
        <tr r="R49" s="2"/>
      </tp>
      <tp t="s">
        <v>10:00:00 AM</v>
        <stp/>
        <stp>##V3_BDPV12</stp>
        <stp>LEI CHNG Index</stp>
        <stp>ECO RELEASE TIME</stp>
        <stp>[GMIC Info Template.xlsm]ECO Calendar!R18C18</stp>
        <tr r="R18" s="2"/>
      </tp>
      <tp t="s">
        <v>IBM</v>
        <stp/>
        <stp>##V3_BDPV12</stp>
        <stp>IBM US Equity</stp>
        <stp>SHORT NAME</stp>
        <stp>[GMIC Info Template.xlsm]Security Analysis!R21C2</stp>
        <tr r="B21" s="13"/>
      </tp>
      <tp t="s">
        <v>United States</v>
        <stp/>
        <stp>##V3_BDPV12</stp>
        <stp>KCLSSACI Index</stp>
        <stp>REGION OR COUNTRY</stp>
        <stp>[GMIC Info Template.xlsm]ECO Calendar!R28C20</stp>
        <tr r="T28" s="2"/>
      </tp>
      <tp t="s">
        <v>Adjusted Retail Sales Less Aut</v>
        <stp/>
        <stp>##V3_BDPV12</stp>
        <stp>RSTAXMOM Index</stp>
        <stp>NAME</stp>
        <stp>[GMIC Info Template.xlsm]ECO Calendar!R94C6</stp>
        <tr r="F94" s="2"/>
      </tp>
      <tp t="s">
        <v>United States</v>
        <stp/>
        <stp>##V3_BDPV12</stp>
        <stp>MBAVCHNG Index</stp>
        <stp>REGION OR COUNTRY</stp>
        <stp>[GMIC Info Template.xlsm]ECO Calendar!R20C20</stp>
        <tr r="T20" s="2"/>
      </tp>
      <tp t="s">
        <v>8:30:00 AM</v>
        <stp/>
        <stp>##V3_BDPV12</stp>
        <stp>RSTAMOM Index</stp>
        <stp>ECO RELEASE TIME</stp>
        <stp>[GMIC Info Template.xlsm]ECO Calendar!R93C18</stp>
        <tr r="R93" s="2"/>
      </tp>
      <tp t="s">
        <v>Mortgage Bankers Association U</v>
        <stp/>
        <stp>##V3_BDPV12</stp>
        <stp>MBAVCHNG Index</stp>
        <stp>NAME</stp>
        <stp>[GMIC Info Template.xlsm]ECO Calendar!R20C6</stp>
        <tr r="F20" s="2"/>
      </tp>
      <tp t="s">
        <v>MoM% SA</v>
        <stp/>
        <stp>##V3_BDPV12</stp>
        <stp>SPCSUSQS Index</stp>
        <stp>SEASONALITY AND TRANSFORMATION</stp>
        <stp>[GMIC Info Template.xlsm]ECO Calendar!R43C11</stp>
        <tr r="K43" s="2"/>
      </tp>
      <tp t="s">
        <v>Mar</v>
        <stp/>
        <stp>##V3_BDPV12</stp>
        <stp>CFNAI Index</stp>
        <stp>OBSERVATION PERIOD</stp>
        <stp>[GMIC Info Template.xlsm]ECO Calendar!R19C12</stp>
        <tr r="L19" s="2"/>
      </tp>
      <tp t="s">
        <v>Value NSA</v>
        <stp/>
        <stp>##V3_BDPV12</stp>
        <stp>CONSEXP Index</stp>
        <stp>SEASONALITY AND TRANSFORMATION</stp>
        <stp>[GMIC Info Template.xlsm]ECO Calendar!R10C11</stp>
        <tr r="K10" s="2"/>
      </tp>
      <tp t="s">
        <v>% Balance/Diffusion Index NSA</v>
        <stp/>
        <stp>##V3_BDPV12</stp>
        <stp>COMFCOMF Index</stp>
        <stp>SEASONALITY AND TRANSFORMATION</stp>
        <stp>[GMIC Info Template.xlsm]ECO Calendar!R24C11</stp>
        <tr r="K24" s="2"/>
      </tp>
      <tp t="s">
        <v>None</v>
        <stp/>
        <stp>##V3_BDPV12</stp>
        <stp>ECONUSIB Index</stp>
        <stp>SCALING FORMAT</stp>
        <stp>[GMIC Info Template.xlsm]ECO Calendar!R70C10</stp>
        <tr r="J70" s="2"/>
      </tp>
      <tp t="s">
        <v>None</v>
        <stp/>
        <stp>##V3_BDPV12</stp>
        <stp>RSTAXAGM Index</stp>
        <stp>SCALING FORMAT</stp>
        <stp>[GMIC Info Template.xlsm]ECO Calendar!R96C10</stp>
        <tr r="J96" s="2"/>
      </tp>
      <tp t="s">
        <v>None</v>
        <stp/>
        <stp>##V3_BDPV12</stp>
        <stp>RSTAXMOM Index</stp>
        <stp>SCALING FORMAT</stp>
        <stp>[GMIC Info Template.xlsm]ECO Calendar!R94C10</stp>
        <tr r="J94" s="2"/>
      </tp>
      <tp t="s">
        <v>QoQ% SAAR</v>
        <stp/>
        <stp>##V3_BDPV12</stp>
        <stp>GDPCPCEC Index</stp>
        <stp>SEASONALITY AND TRANSFORMATION</stp>
        <stp>[GMIC Info Template.xlsm]ECO Calendar!R51C11</stp>
        <tr r="K51" s="2"/>
      </tp>
      <tp t="s">
        <v>Units/Persons SAAR</v>
        <stp/>
        <stp>##V3_BDPV12</stp>
        <stp>ETSLTOTL Index</stp>
        <stp>SEASONALITY AND TRANSFORMATION</stp>
        <stp>[GMIC Info Template.xlsm]ECO Calendar!R22C11</stp>
        <tr r="K22" s="2"/>
      </tp>
      <tp t="s">
        <v>MoM% SA</v>
        <stp/>
        <stp>##V3_BDPV12</stp>
        <stp>ETSLMOM Index</stp>
        <stp>SEASONALITY AND TRANSFORMATION</stp>
        <stp>[GMIC Info Template.xlsm]ECO Calendar!R23C11</stp>
        <tr r="K23" s="2"/>
      </tp>
      <tp t="s">
        <v>8:15:00 AM</v>
        <stp/>
        <stp>##V3_BDPV12</stp>
        <stp>ADP CHNG Index</stp>
        <stp>ECO RELEASE TIME</stp>
        <stp>[GMIC Info Template.xlsm]ECO Calendar!R71C18</stp>
        <tr r="R71" s="2"/>
      </tp>
      <tp t="s">
        <v>None</v>
        <stp/>
        <stp>##V3_BDPV12</stp>
        <stp>FDIDSGMO Index</stp>
        <stp>SCALING FORMAT</stp>
        <stp>[GMIC Info Template.xlsm]ECO Calendar!R100C10</stp>
        <tr r="J100" s="2"/>
      </tp>
      <tp t="s">
        <v>None</v>
        <stp/>
        <stp>##V3_BDPV12</stp>
        <stp>FDIDSGUM Index</stp>
        <stp>SCALING FORMAT</stp>
        <stp>[GMIC Info Template.xlsm]ECO Calendar!R102C10</stp>
        <tr r="J102" s="2"/>
      </tp>
      <tp t="s">
        <v>None</v>
        <stp/>
        <stp>##V3_BDPV12</stp>
        <stp>FDIUSGUY Index</stp>
        <stp>SCALING FORMAT</stp>
        <stp>[GMIC Info Template.xlsm]ECO Calendar!R103C10</stp>
        <tr r="J103" s="2"/>
      </tp>
      <tp t="s">
        <v>None</v>
        <stp/>
        <stp>##V3_BDPV12</stp>
        <stp>FDIUSGYO Index</stp>
        <stp>SCALING FORMAT</stp>
        <stp>[GMIC Info Template.xlsm]ECO Calendar!R101C10</stp>
        <tr r="J101" s="2"/>
      </tp>
      <tp>
        <v>24.603200000000001</v>
        <stp/>
        <stp>##V3_BDPV12</stp>
        <stp>ECONUSIB Index</stp>
        <stp>RELEVANCE VALUE</stp>
        <stp>[GMIC Info Template.xlsm]ECO Calendar!R70C19</stp>
        <tr r="S70" s="2"/>
      </tp>
      <tp t="s">
        <v>None</v>
        <stp/>
        <stp>##V3_BDPV12</stp>
        <stp>OUTFGAF Index</stp>
        <stp>SCALING FORMAT</stp>
        <stp>[GMIC Info Template.xlsm]ECO Calendar!R116C10</stp>
        <tr r="J116" s="2"/>
      </tp>
      <tp t="s">
        <v>5/15/2015</v>
        <stp/>
        <stp>##V3_BDPV12</stp>
        <stp>EMPRGBCI Index</stp>
        <stp>ECO RELEASE DT</stp>
        <stp>[GMIC Info Template.xlsm]ECO Calendar!R107C16</stp>
        <tr r="P107" s="2"/>
      </tp>
      <tp>
        <v>35.714300000000001</v>
        <stp/>
        <stp>##V3_BDPV12</stp>
        <stp>IMP1YOY% Index</stp>
        <stp>RELEVANCE VALUE</stp>
        <stp>[GMIC Info Template.xlsm]ECO Calendar!R92C19</stp>
        <tr r="S92" s="2"/>
      </tp>
      <tp t="s">
        <v>9:45:00 AM</v>
        <stp/>
        <stp>##V3_BDPV12</stp>
        <stp>NYPMCURR Index</stp>
        <stp>ECO RELEASE TIME</stp>
        <stp>[GMIC Info Template.xlsm]ECO Calendar!R66C18</stp>
        <tr r="R66" s="2"/>
      </tp>
      <tp>
        <v>26.709001108759196</v>
        <stp/>
        <stp>##V3_BDPV12</stp>
        <stp>PFE US Equity</stp>
        <stp>OPER MARGIN</stp>
        <stp>[GMIC Info Template.xlsm]Security Analysis!R15C23</stp>
        <tr r="W15" s="13"/>
      </tp>
      <tp t="s">
        <v>Monthly</v>
        <stp/>
        <stp>##V3_BDPV12</stp>
        <stp>USUDMAER Index</stp>
        <stp>INDX FREQ</stp>
        <stp>[GMIC Info Template.xlsm]ECO Calendar!R82C15</stp>
        <tr r="O82" s="2"/>
      </tp>
      <tp t="s">
        <v>Monthly</v>
        <stp/>
        <stp>##V3_BDPV12</stp>
        <stp>SPCS20SM Index</stp>
        <stp>INDX FREQ</stp>
        <stp>[GMIC Info Template.xlsm]ECO Calendar!R42C15</stp>
        <tr r="O42" s="2"/>
      </tp>
      <tp t="s">
        <v>Monthly</v>
        <stp/>
        <stp>##V3_BDPV12</stp>
        <stp>FDIUFDYO Index</stp>
        <stp>INDX FREQ</stp>
        <stp>[GMIC Info Template.xlsm]ECO Calendar!R99C15</stp>
        <tr r="O99" s="2"/>
      </tp>
      <tp t="s">
        <v>8:30:00 AM</v>
        <stp/>
        <stp>##V3_BDPV12</stp>
        <stp>NFP PCH Index</stp>
        <stp>ECO RELEASE TIME</stp>
        <stp>[GMIC Info Template.xlsm]ECO Calendar!R77C18</stp>
        <tr r="R77" s="2"/>
      </tp>
      <tp t="s">
        <v>Adjusted Retail Sales Less Aut</v>
        <stp/>
        <stp>##V3_BDPV12</stp>
        <stp>RSTAXAG% Index</stp>
        <stp>NAME</stp>
        <stp>[GMIC Info Template.xlsm]ECO Calendar!R95C6</stp>
        <tr r="F95" s="2"/>
      </tp>
      <tp t="s">
        <v>10:00:00 AM</v>
        <stp/>
        <stp>##V3_BDPV12</stp>
        <stp>NAPMPMI Index</stp>
        <stp>ECO RELEASE TIME</stp>
        <stp>[GMIC Info Template.xlsm]ECO Calendar!R61C18</stp>
        <tr r="R61" s="2"/>
      </tp>
      <tp t="s">
        <v>United States</v>
        <stp/>
        <stp>##V3_BDPV12</stp>
        <stp>MPMIUSCA Index</stp>
        <stp>REGION OR COUNTRY</stp>
        <stp>[GMIC Info Template.xlsm]ECO Calendar!R35C20</stp>
        <tr r="T35" s="2"/>
      </tp>
      <tp t="s">
        <v>United States</v>
        <stp/>
        <stp>##V3_BDPV12</stp>
        <stp>USMMMNCH Index</stp>
        <stp>REGION OR COUNTRY</stp>
        <stp>[GMIC Info Template.xlsm]ECO Calendar!R76C20</stp>
        <tr r="T76" s="2"/>
      </tp>
      <tp>
        <v>45.161290000000001</v>
        <stp/>
        <stp>##V3_BDPV12</stp>
        <stp>AXPW US EQUITY</stp>
        <stp>CHG PCT 1D</stp>
        <stp>[GMIC Info Template.xlsm]Most Up &amp; Down!R11C12</stp>
        <tr r="L11" s="9"/>
      </tp>
      <tp t="s">
        <v>UNITED STATES</v>
        <stp/>
        <stp>##V3_BDPV12</stp>
        <stp>SAARDTOT Index</stp>
        <stp>REGION OR COUNTRY</stp>
        <stp>[GMIC Info Template.xlsm]ECO Calendar!R65C20</stp>
        <tr r="T65" s="2"/>
      </tp>
      <tp t="s">
        <v>Monthly</v>
        <stp/>
        <stp>##V3_BDPV12</stp>
        <stp>NFP T Index</stp>
        <stp>INDX FREQ</stp>
        <stp>[GMIC Info Template.xlsm]ECO Calendar!R118C15</stp>
        <tr r="O118" s="2"/>
      </tp>
      <tp t="s">
        <v>Value NSA</v>
        <stp/>
        <stp>##V3_BDPV12</stp>
        <stp>CONSCURR Index</stp>
        <stp>SEASONALITY AND TRANSFORMATION</stp>
        <stp>[GMIC Info Template.xlsm]ECO Calendar!R11C11</stp>
        <tr r="K11" s="2"/>
      </tp>
      <tp>
        <v>35.334274952919017</v>
        <stp/>
        <stp>##V3_BDPV12</stp>
        <stp>MSFT US Equity</stp>
        <stp>EBITDA MARGIN</stp>
        <stp>[GMIC Info Template.xlsm]Security Analysis!R9C22</stp>
        <tr r="V9" s="13"/>
      </tp>
      <tp t="s">
        <v>2/28/2015</v>
        <stp/>
        <stp>##V3_BDPV12</stp>
        <stp>FDIUFDYO Index</stp>
        <stp>PRIOR OBSERVATION DATE</stp>
        <stp>[GMIC Info Template.xlsm]ECO Calendar!R99C14</stp>
        <tr r="N99" s="2"/>
      </tp>
      <tp t="s">
        <v>3/31/2015</v>
        <stp/>
        <stp>##V3_BDPV12</stp>
        <stp>KCLSSACI Index</stp>
        <stp>PRIOR OBSERVATION DATE</stp>
        <stp>[GMIC Info Template.xlsm]ECO Calendar!R28C14</stp>
        <tr r="N28" s="2"/>
      </tp>
      <tp t="s">
        <v>None</v>
        <stp/>
        <stp>##V3_BDPV12</stp>
        <stp>ECONGECC Index</stp>
        <stp>SCALING FORMAT</stp>
        <stp>[GMIC Info Template.xlsm]ECO Calendar!R84C10</stp>
        <tr r="J84" s="2"/>
      </tp>
      <tp t="s">
        <v>3/31/2015</v>
        <stp/>
        <stp>##V3_BDPV12</stp>
        <stp>DFEDGBA Index</stp>
        <stp>PRIOR OBSERVATION DATE</stp>
        <stp>[GMIC Info Template.xlsm]ECO Calendar!R37C14</stp>
        <tr r="N37" s="2"/>
      </tp>
      <tp>
        <v>44.444400000000002</v>
        <stp/>
        <stp>##V3_BDPV12</stp>
        <stp>PCE CYOY Index</stp>
        <stp>RELEVANCE VALUE</stp>
        <stp>[GMIC Info Template.xlsm]ECO Calendar!R55C19</stp>
        <tr r="S55" s="2"/>
      </tp>
      <tp t="s">
        <v>MoM% SA</v>
        <stp/>
        <stp>##V3_BDPV12</stp>
        <stp>IPMGCHNG Index</stp>
        <stp>SEASONALITY AND TRANSFORMATION</stp>
        <stp>[GMIC Info Template.xlsm]ECO Calendar!R106C11</stp>
        <tr r="K106" s="2"/>
      </tp>
      <tp t="s">
        <v>5/21/2015</v>
        <stp/>
        <stp>##V3_BDPV12</stp>
        <stp>COMFBTWR Index</stp>
        <stp>ECO RELEASE DT</stp>
        <stp>[GMIC Info Template.xlsm]ECO Calendar!R115C16</stp>
        <tr r="P115" s="2"/>
      </tp>
      <tp>
        <v>0.09</v>
        <stp/>
        <stp>##V3_BDPV12</stp>
        <stp>NFP TMOM Index</stp>
        <stp>PX LAST</stp>
        <stp>[GMIC Info Template.xlsm]ECO Calendar!R120C7</stp>
        <tr r="G120" s="2"/>
      </tp>
      <tp t="s">
        <v>None</v>
        <stp/>
        <stp>##V3_BDPV12</stp>
        <stp>CPI YOY Index</stp>
        <stp>SCALING FORMAT</stp>
        <stp>[GMIC Info Template.xlsm]ECO Calendar!R14C10</stp>
        <tr r="J14" s="2"/>
      </tp>
      <tp>
        <v>85.714299999999994</v>
        <stp/>
        <stp>##V3_BDPV12</stp>
        <stp>PCE CRCH Index</stp>
        <stp>RELEVANCE VALUE</stp>
        <stp>[GMIC Info Template.xlsm]ECO Calendar!R53C19</stp>
        <tr r="S53" s="2"/>
      </tp>
      <tp t="s">
        <v>9:00:00 AM</v>
        <stp/>
        <stp>##V3_BDPV12</stp>
        <stp>MAPMINDX Index</stp>
        <stp>ECO RELEASE TIME</stp>
        <stp>[GMIC Info Template.xlsm]ECO Calendar!R60C18</stp>
        <tr r="R60" s="2"/>
      </tp>
      <tp>
        <v>6.3492100000000002</v>
        <stp/>
        <stp>##V3_BDPV12</stp>
        <stp>PCE CHNC Index</stp>
        <stp>RELEVANCE VALUE</stp>
        <stp>[GMIC Info Template.xlsm]ECO Calendar!R58C19</stp>
        <tr r="S58" s="2"/>
      </tp>
      <tp>
        <v>67.777799999999999</v>
        <stp/>
        <stp>##V3_BDPV12</stp>
        <stp>GDPCTOT% Index</stp>
        <stp>RELEVANCE VALUE</stp>
        <stp>[GMIC Info Template.xlsm]ECO Calendar!R50C19</stp>
        <tr r="S50" s="2"/>
      </tp>
      <tp>
        <v>9.7989999999999995</v>
        <stp/>
        <stp>##V3_BDPV12</stp>
        <stp>FRNTTOTL Index</stp>
        <stp>PX LAST</stp>
        <stp>[GMIC Info Template.xlsm]ECO Calendar!R108C7</stp>
        <tr r="G108" s="2"/>
      </tp>
      <tp>
        <v>60</v>
        <stp/>
        <stp>##V3_BDPV12</stp>
        <stp>PCE CMOM Index</stp>
        <stp>RELEVANCE VALUE</stp>
        <stp>[GMIC Info Template.xlsm]ECO Calendar!R54C19</stp>
        <tr r="S54" s="2"/>
      </tp>
      <tp t="s">
        <v>8:30:00 AM</v>
        <stp/>
        <stp>##V3_BDPV12</stp>
        <stp>DGNOCHNG Index</stp>
        <stp>ECO RELEASE TIME</stp>
        <stp>[GMIC Info Template.xlsm]ECO Calendar!R31C18</stp>
        <tr r="R31" s="2"/>
      </tp>
      <tp>
        <v>85.714299999999994</v>
        <stp/>
        <stp>##V3_BDPV12</stp>
        <stp>PITLCHNG Index</stp>
        <stp>RELEVANCE VALUE</stp>
        <stp>[GMIC Info Template.xlsm]ECO Calendar!R52C19</stp>
        <tr r="S52" s="2"/>
      </tp>
      <tp t="s">
        <v>Monthly</v>
        <stp/>
        <stp>##V3_BDPV12</stp>
        <stp>RSTAXAGM Index</stp>
        <stp>INDX FREQ</stp>
        <stp>[GMIC Info Template.xlsm]ECO Calendar!R96C15</stp>
        <tr r="O96" s="2"/>
      </tp>
      <tp t="s">
        <v>Monthly</v>
        <stp/>
        <stp>##V3_BDPV12</stp>
        <stp>CPUPAXFE Index</stp>
        <stp>INDX FREQ</stp>
        <stp>[GMIC Info Template.xlsm]ECO Calendar!R16C15</stp>
        <tr r="O16" s="2"/>
      </tp>
      <tp>
        <v>1.2848999999999999</v>
        <stp/>
        <stp>##V3_BDPV12</stp>
        <stp>USDAUD CURNCY</stp>
        <stp>PX LAST</stp>
        <stp>[GMIC Info Template.xlsm]Currencies &amp; Commodities!R10C4</stp>
        <tr r="D10" s="3"/>
      </tp>
      <tp t="s">
        <v>UNITEDHEALTH GRP</v>
        <stp/>
        <stp>##V3_BDPV12</stp>
        <stp>UNH US Equity</stp>
        <stp>SHORT NAME</stp>
        <stp>[GMIC Info Template.xlsm]Security Analysis!R26C2</stp>
        <tr r="B26" s="13"/>
      </tp>
      <tp t="s">
        <v>JPMORGAN CHASE</v>
        <stp/>
        <stp>##V3_BDPV12</stp>
        <stp>JPM US Equity</stp>
        <stp>SHORT NAME</stp>
        <stp>[GMIC Info Template.xlsm]Security Analysis!R13C2</stp>
        <tr r="B13" s="13"/>
      </tp>
      <tp>
        <v>27.726019999999998</v>
        <stp/>
        <stp>##V3_BDPV12</stp>
        <stp>AAPL US Equity</stp>
        <stp>CHG PCT 6M</stp>
        <stp>[GMIC Info Template.xlsm]Security Analysis!R7C17</stp>
        <tr r="Q7" s="13"/>
      </tp>
      <tp t="s">
        <v>Monthly</v>
        <stp/>
        <stp>##V3_BDPV12</stp>
        <stp>RSTAXAG% Index</stp>
        <stp>INDX FREQ</stp>
        <stp>[GMIC Info Template.xlsm]ECO Calendar!R95C15</stp>
        <tr r="O95" s="2"/>
      </tp>
      <tp t="s">
        <v>GDP US Chained 2009 Dollars Qo</v>
        <stp/>
        <stp>##V3_BDPV12</stp>
        <stp>GDP CQOQ Index</stp>
        <stp>NAME</stp>
        <stp>[GMIC Info Template.xlsm]ECO Calendar!R48C6</stp>
        <tr r="F48" s="2"/>
      </tp>
      <tp t="s">
        <v>Adj Retail Sales Less Food Aut</v>
        <stp/>
        <stp>##V3_BDPV12</stp>
        <stp>RSTAXAGM Index</stp>
        <stp>NAME</stp>
        <stp>[GMIC Info Template.xlsm]ECO Calendar!R96C6</stp>
        <tr r="F96" s="2"/>
      </tp>
      <tp t="s">
        <v>United States</v>
        <stp/>
        <stp>##V3_BDPV12</stp>
        <stp>USEMNCHG Index</stp>
        <stp>REGION OR COUNTRY</stp>
        <stp>[GMIC Info Template.xlsm]ECO Calendar!R81C20</stp>
        <tr r="T81" s="2"/>
      </tp>
      <tp>
        <v>1.8712710000000001</v>
        <stp/>
        <stp>##V3_BDPV12</stp>
        <stp>PFE US Equity</stp>
        <stp>TRAIL 12M EPS</stp>
        <stp>[GMIC Info Template.xlsm]Security Analysis!R15C14</stp>
        <tr r="N15" s="13"/>
      </tp>
      <tp>
        <v>26.847050689796049</v>
        <stp/>
        <stp>##V3_BDPV12</stp>
        <stp>MMM US Equity</stp>
        <stp>EBITDA MARGIN</stp>
        <stp>[GMIC Info Template.xlsm]Security Analysis!R29C22</stp>
        <tr r="V29" s="13"/>
      </tp>
      <tp t="s">
        <v>#N/A N/A</v>
        <stp/>
        <stp>##V3_BDPV12</stp>
        <stp>JPM US Equity</stp>
        <stp>EBITDA MARGIN</stp>
        <stp>[GMIC Info Template.xlsm]Security Analysis!R13C22</stp>
        <tr r="V13" s="13"/>
      </tp>
      <tp>
        <v>23.465584095631868</v>
        <stp/>
        <stp>##V3_BDPV12</stp>
        <stp>IBM US Equity</stp>
        <stp>EBITDA MARGIN</stp>
        <stp>[GMIC Info Template.xlsm]Security Analysis!R21C22</stp>
        <tr r="V21" s="13"/>
      </tp>
      <tp>
        <v>3.5000000000000004</v>
        <stp/>
        <stp>##V3_BDPV12</stp>
        <stp>NKE US Equity</stp>
        <stp>TRAIL 12M EPS</stp>
        <stp>[GMIC Info Template.xlsm]Security Analysis!R32C14</stp>
        <tr r="N32" s="13"/>
      </tp>
      <tp t="s">
        <v>United States</v>
        <stp/>
        <stp>##V3_BDPV12</stp>
        <stp>DGNOXTCH Index</stp>
        <stp>REGION OR COUNTRY</stp>
        <stp>[GMIC Info Template.xlsm]ECO Calendar!R32C20</stp>
        <tr r="T32" s="2"/>
      </tp>
      <tp t="s">
        <v>None</v>
        <stp/>
        <stp>##V3_BDPV12</stp>
        <stp>NAPMPRIC Index</stp>
        <stp>SCALING FORMAT</stp>
        <stp>[GMIC Info Template.xlsm]ECO Calendar!R63C10</stp>
        <tr r="J63" s="2"/>
      </tp>
      <tp>
        <v>768249033.75</v>
        <stp/>
        <stp>##V3_BDPV12</stp>
        <stp>NVDQ US EQUITY</stp>
        <stp>CUR MKT CAP</stp>
        <stp>[GMIC Info Template.xlsm]Most Up &amp; Down!R27C13</stp>
        <tr r="M27" s="9"/>
      </tp>
      <tp t="s">
        <v>5/1/2015</v>
        <stp/>
        <stp>##V3_BDPV12</stp>
        <stp>CONSCURR Index</stp>
        <stp>ECO RELEASE DT</stp>
        <stp>[GMIC Info Template.xlsm]ECO Calendar!R11C16</stp>
        <tr r="P11" s="2"/>
      </tp>
      <tp>
        <v>43648235.280000001</v>
        <stp/>
        <stp>##V3_BDPV12</stp>
        <stp>IPDN US EQUITY</stp>
        <stp>CUR MKT CAP</stp>
        <stp>[GMIC Info Template.xlsm]Most Up &amp; Down!R23C13</stp>
        <tr r="M23" s="9"/>
      </tp>
      <tp t="s">
        <v>1/31/2015</v>
        <stp/>
        <stp>##V3_BDPV12</stp>
        <stp>NHSLTOT Index</stp>
        <stp>PRIOR OBSERVATION DATE</stp>
        <stp>[GMIC Info Template.xlsm]ECO Calendar!R29C14</stp>
        <tr r="N29" s="2"/>
      </tp>
      <tp t="s">
        <v>Bloomberg US National Economy Expectations Diffusion Index</v>
        <stp/>
        <stp>##V3_BDPV12</stp>
        <stp>COMFBTWR Index</stp>
        <stp>Long Comp Name</stp>
        <stp>[GMIC Info Template.xlsm]ECO Calendar!R115C3</stp>
        <tr r="C115" s="2"/>
      </tp>
      <tp t="s">
        <v>1/31/2015</v>
        <stp/>
        <stp>##V3_BDPV12</stp>
        <stp>CNSTTMOM Index</stp>
        <stp>PRIOR OBSERVATION DATE</stp>
        <stp>[GMIC Info Template.xlsm]ECO Calendar!R62C14</stp>
        <tr r="N62" s="2"/>
      </tp>
      <tp t="s">
        <v>5/15/2015</v>
        <stp/>
        <stp>##V3_BDPV12</stp>
        <stp>CPTICHNG Index</stp>
        <stp>ECO RELEASE DT</stp>
        <stp>[GMIC Info Template.xlsm]ECO Calendar!R105C16</stp>
        <tr r="P105" s="2"/>
      </tp>
      <tp t="s">
        <v>#N/A Field Not Applicable</v>
        <stp/>
        <stp>##V3_BDPV12</stp>
        <stp>SAARTOTL Index</stp>
        <stp>ECO RELEASE TIME</stp>
        <stp>[GMIC Info Template.xlsm]ECO Calendar!R64C18</stp>
        <tr r="R64" s="2"/>
      </tp>
      <tp t="s">
        <v>#N/A Field Not Applicable</v>
        <stp/>
        <stp>##V3_BDPV12</stp>
        <stp>CONCCYOY Index</stp>
        <stp>ECO RELEASE DT</stp>
        <stp>[GMIC Info Template.xlsm]ECO Calendar!R122C16</stp>
        <tr r="P122" s="2"/>
      </tp>
      <tp>
        <v>4.1379999999999999</v>
        <stp/>
        <stp>##V3_BDPV12</stp>
        <stp>FRNTTNET Index</stp>
        <stp>PX LAST</stp>
        <stp>[GMIC Info Template.xlsm]ECO Calendar!R109C7</stp>
        <tr r="G109" s="2"/>
      </tp>
      <tp>
        <v>2.27</v>
        <stp/>
        <stp>##V3_BDPV12</stp>
        <stp>NFP TYOY Index</stp>
        <stp>PX LAST</stp>
        <stp>[GMIC Info Template.xlsm]ECO Calendar!R121C7</stp>
        <tr r="G121" s="2"/>
      </tp>
      <tp t="s">
        <v>8:30:00 AM</v>
        <stp/>
        <stp>##V3_BDPV12</stp>
        <stp>PCE CMOM Index</stp>
        <stp>ECO RELEASE TIME</stp>
        <stp>[GMIC Info Template.xlsm]ECO Calendar!R54C18</stp>
        <tr r="R54" s="2"/>
      </tp>
      <tp>
        <v>91.269800000000004</v>
        <stp/>
        <stp>##V3_BDPV12</stp>
        <stp>RSTAMOM Index</stp>
        <stp>RELEVANCE VALUE</stp>
        <stp>[GMIC Info Template.xlsm]ECO Calendar!R93C19</stp>
        <tr r="S93" s="2"/>
      </tp>
      <tp>
        <v>11.649339054805171</v>
        <stp/>
        <stp>##V3_BDPV12</stp>
        <stp>DD US Equity</stp>
        <stp>OPER MARGIN</stp>
        <stp>[GMIC Info Template.xlsm]Security Analysis!R34C23</stp>
        <tr r="W34" s="13"/>
      </tp>
      <tp>
        <v>11.129753536610941</v>
        <stp/>
        <stp>##V3_BDPV12</stp>
        <stp>GE US Equity</stp>
        <stp>OPER MARGIN</stp>
        <stp>[GMIC Info Template.xlsm]Security Analysis!R11C23</stp>
        <tr r="W11" s="13"/>
      </tp>
      <tp>
        <v>35.788345690454129</v>
        <stp/>
        <stp>##V3_BDPV12</stp>
        <stp>GS US Equity</stp>
        <stp>OPER MARGIN</stp>
        <stp>[GMIC Info Template.xlsm]Security Analysis!R31C23</stp>
        <tr r="W31" s="13"/>
      </tp>
      <tp t="s">
        <v>Monthly</v>
        <stp/>
        <stp>##V3_BDPV12</stp>
        <stp>SPCSUSQS Index</stp>
        <stp>INDX FREQ</stp>
        <stp>[GMIC Info Template.xlsm]ECO Calendar!R43C15</stp>
        <tr r="O43" s="2"/>
      </tp>
      <tp>
        <v>8.2336220003966414</v>
        <stp/>
        <stp>##V3_BDPV12</stp>
        <stp>BA US Equity</stp>
        <stp>OPER MARGIN</stp>
        <stp>[GMIC Info Template.xlsm]Security Analysis!R27C23</stp>
        <tr r="W27" s="13"/>
      </tp>
      <tp>
        <v>1.0502</v>
        <stp/>
        <stp>##V3_BDPV12</stp>
        <stp>CHFUSD CURNCY</stp>
        <stp>PX LAST</stp>
        <stp>[GMIC Info Template.xlsm]Currencies &amp; Commodities!R13C4</stp>
        <tr r="D13" s="3"/>
      </tp>
      <tp>
        <v>12.586563431759162</v>
        <stp/>
        <stp>##V3_BDPV12</stp>
        <stp>HD US Equity</stp>
        <stp>OPER MARGIN</stp>
        <stp>[GMIC Info Template.xlsm]Security Analysis!R24C23</stp>
        <tr r="W24" s="13"/>
      </tp>
      <tp>
        <v>21.105265446323752</v>
        <stp/>
        <stp>##V3_BDPV12</stp>
        <stp>KO US Equity</stp>
        <stp>OPER MARGIN</stp>
        <stp>[GMIC Info Template.xlsm]Security Analysis!R19C23</stp>
        <tr r="W19" s="13"/>
      </tp>
      <tp>
        <v>15.422689822866092</v>
        <stp/>
        <stp>##V3_BDPV12</stp>
        <stp>VZ US Equity</stp>
        <stp>OPER MARGIN</stp>
        <stp>[GMIC Info Template.xlsm]Security Analysis!R17C23</stp>
        <tr r="W17" s="13"/>
      </tp>
      <tp>
        <v>18.405528400471937</v>
        <stp/>
        <stp>##V3_BDPV12</stp>
        <stp>PG US Equity</stp>
        <stp>OPER MARGIN</stp>
        <stp>[GMIC Info Template.xlsm]Security Analysis!R14C23</stp>
        <tr r="W14" s="13"/>
      </tp>
      <tp t="s">
        <v>4/30/2015</v>
        <stp/>
        <stp>##V3_BDPV12</stp>
        <stp>CONSP5MD Index</stp>
        <stp>CR OBSERVATION DATE</stp>
        <stp>[GMIC Info Template.xlsm]ECO Calendar!R8C13</stp>
        <tr r="M8" s="2"/>
      </tp>
      <tp t="s">
        <v>4/30/2015</v>
        <stp/>
        <stp>##V3_BDPV12</stp>
        <stp>CONSPXMD Index</stp>
        <stp>CR OBSERVATION DATE</stp>
        <stp>[GMIC Info Template.xlsm]ECO Calendar!R9C13</stp>
        <tr r="M9" s="2"/>
      </tp>
      <tp>
        <v>1.2276929999999999</v>
        <stp/>
        <stp>##V3_BDPV12</stp>
        <stp>V US Equity</stp>
        <stp>CHG PCT 3M</stp>
        <stp>[GMIC Info Template.xlsm]Security Analysis!R22C16</stp>
        <tr r="P22" s="13"/>
      </tp>
      <tp>
        <v>25.281549999999999</v>
        <stp/>
        <stp>##V3_BDPV12</stp>
        <stp>V US Equity</stp>
        <stp>CHG PCT 6M</stp>
        <stp>[GMIC Info Template.xlsm]Security Analysis!R22C17</stp>
        <tr r="Q22" s="13"/>
      </tp>
      <tp>
        <v>-3.4276270000000002</v>
        <stp/>
        <stp>##V3_BDPV12</stp>
        <stp>V US Equity</stp>
        <stp>CHG PCT 1M</stp>
        <stp>[GMIC Info Template.xlsm]Security Analysis!R22C15</stp>
        <tr r="O22" s="13"/>
      </tp>
      <tp t="s">
        <v>UNITED STATES</v>
        <stp/>
        <stp>##V3_BDPV12</stp>
        <stp>ECONGECC Index</stp>
        <stp>REGION OR COUNTRY</stp>
        <stp>[GMIC Info Template.xlsm]ECO Calendar!R84C20</stp>
        <tr r="T84" s="2"/>
      </tp>
      <tp>
        <v>-11.31222</v>
        <stp/>
        <stp>##V3_BDPV12</stp>
        <stp>SZYM US EQUITY</stp>
        <stp>CHG PCT 1D</stp>
        <stp>[GMIC Info Template.xlsm]Most Up &amp; Down!R30C12</stp>
        <tr r="L30" s="9"/>
      </tp>
      <tp t="s">
        <v>US New One Family Houses Sold</v>
        <stp/>
        <stp>##V3_BDPV12</stp>
        <stp>NHSLCHNG Index</stp>
        <stp>NAME</stp>
        <stp>[GMIC Info Template.xlsm]ECO Calendar!R30C6</stp>
        <tr r="F30" s="2"/>
      </tp>
      <tp>
        <v>5.09</v>
        <stp/>
        <stp>##V3_BDPV12</stp>
        <stp>MCD US Equity</stp>
        <stp>TRAIL 12M EPS</stp>
        <stp>[GMIC Info Template.xlsm]Security Analysis!R30C14</stp>
        <tr r="N30" s="13"/>
      </tp>
      <tp t="s">
        <v>USD</v>
        <stp/>
        <stp>##V3_BDPV12</stp>
        <stp>CVX US Equity</stp>
        <stp>CRNCY</stp>
        <stp>[GMIC Info Template.xlsm]Security Analysis!R16C12</stp>
        <tr r="L16" s="13"/>
      </tp>
      <tp t="s">
        <v>USD</v>
        <stp/>
        <stp>##V3_BDPV12</stp>
        <stp>UTX US Equity</stp>
        <stp>CRNCY</stp>
        <stp>[GMIC Info Template.xlsm]Security Analysis!R28C12</stp>
        <tr r="L28" s="13"/>
      </tp>
      <tp t="s">
        <v>US Foreign Net Transactions</v>
        <stp/>
        <stp>##V3_BDPV12</stp>
        <stp>FRNTTOTL Index</stp>
        <stp>Long Comp Name</stp>
        <stp>[GMIC Info Template.xlsm]ECO Calendar!R108C3</stp>
        <tr r="C108" s="2"/>
      </tp>
      <tp>
        <v>153.97862181061998</v>
        <stp/>
        <stp>##V3_BDPV12</stp>
        <stp>INTC US Equity</stp>
        <stp>CRNCY ADJ MKT CAP</stp>
        <stp>[GMIC Info Template.xlsm]Security Analysis!R23C6</stp>
        <stp>EQY_FUND_CRNCY=USD</stp>
        <stp>SCALING_FORMAT=MMM</stp>
        <tr r="F23" s="13"/>
      </tp>
      <tp t="s">
        <v>4/28/2015</v>
        <stp/>
        <stp>##V3_BDPV12</stp>
        <stp>SPCSUSQS Index</stp>
        <stp>ECO RELEASE DT</stp>
        <stp>[GMIC Info Template.xlsm]ECO Calendar!R43C16</stp>
        <tr r="P43" s="2"/>
      </tp>
      <tp t="s">
        <v>5/1/2015</v>
        <stp/>
        <stp>##V3_BDPV12</stp>
        <stp>CONSEXP Index</stp>
        <stp>ECO RELEASE DT</stp>
        <stp>[GMIC Info Template.xlsm]ECO Calendar!R10C16</stp>
        <tr r="P10" s="2"/>
      </tp>
      <tp t="s">
        <v>4/23/2015</v>
        <stp/>
        <stp>##V3_BDPV12</stp>
        <stp>COMFCOMF Index</stp>
        <stp>ECO RELEASE DT</stp>
        <stp>[GMIC Info Template.xlsm]ECO Calendar!R24C16</stp>
        <tr r="P24" s="2"/>
      </tp>
      <tp t="s">
        <v>4/22/2015</v>
        <stp/>
        <stp>##V3_BDPV12</stp>
        <stp>ETSLMOM Index</stp>
        <stp>ECO RELEASE DT</stp>
        <stp>[GMIC Info Template.xlsm]ECO Calendar!R23C16</stp>
        <tr r="P23" s="2"/>
      </tp>
      <tp t="s">
        <v>1/31/2015</v>
        <stp/>
        <stp>##V3_BDPV12</stp>
        <stp>JOLTTOTL Index</stp>
        <stp>PRIOR OBSERVATION DATE</stp>
        <stp>[GMIC Info Template.xlsm]ECO Calendar!R88C14</stp>
        <tr r="N88" s="2"/>
      </tp>
      <tp t="s">
        <v>4/29/2015</v>
        <stp/>
        <stp>##V3_BDPV12</stp>
        <stp>GDPCPCEC Index</stp>
        <stp>ECO RELEASE DT</stp>
        <stp>[GMIC Info Template.xlsm]ECO Calendar!R51C16</stp>
        <tr r="P51" s="2"/>
      </tp>
      <tp t="s">
        <v>4/22/2015</v>
        <stp/>
        <stp>##V3_BDPV12</stp>
        <stp>ETSLTOTL Index</stp>
        <stp>ECO RELEASE DT</stp>
        <stp>[GMIC Info Template.xlsm]ECO Calendar!R22C16</stp>
        <tr r="P22" s="2"/>
      </tp>
      <tp>
        <v>13.254907981346797</v>
        <stp/>
        <stp>##V3_BDPV12</stp>
        <stp>XOM US Equity</stp>
        <stp>GROSS MARGIN</stp>
        <stp>[GMIC Info Template.xlsm]Security Analysis!R8C21</stp>
        <tr r="U8" s="13"/>
      </tp>
      <tp t="s">
        <v>US Employees on Nonfarm Payrol</v>
        <stp/>
        <stp>##V3_BDPV12</stp>
        <stp>NFP T Index</stp>
        <stp>NAME</stp>
        <stp>[GMIC Info Template.xlsm]ECO Calendar!R118C6</stp>
        <tr r="F118" s="2"/>
      </tp>
      <tp>
        <v>13.76</v>
        <stp/>
        <stp>##V3_BDPV12</stp>
        <stp>NVDQ US EQUITY</stp>
        <stp>PX ASK</stp>
        <stp>[GMIC Info Template.xlsm]Most Up &amp; Down!R27C11</stp>
        <tr r="K27" s="9"/>
      </tp>
      <tp>
        <v>90</v>
        <stp/>
        <stp>##V3_BDPV12</stp>
        <stp>MPMIUSMA Index</stp>
        <stp>RELEVANCE VALUE</stp>
        <stp>[GMIC Info Template.xlsm]ECO Calendar!R27C5</stp>
        <tr r="E27" s="2"/>
      </tp>
    </main>
    <main first="bloomberg.rtd">
      <tp>
        <v>1</v>
        <stp/>
        <stp>##V3_BDPV12</stp>
        <stp>KCLSSACI Index</stp>
        <stp>QUOTE PRIOR MID</stp>
        <stp>[GMIC Info Template.xlsm]ECO Calendar!R28C9</stp>
        <tr r="I28" s="2"/>
      </tp>
      <tp>
        <v>86.507900000000006</v>
        <stp/>
        <stp>##V3_BDPV12</stp>
        <stp>TMNOCHNG Index</stp>
        <stp>RELEVANCE VALUE</stp>
        <stp>[GMIC Info Template.xlsm]ECO Calendar!R67C5</stp>
        <tr r="E67" s="2"/>
      </tp>
      <tp t="s">
        <v>1Q A</v>
        <stp/>
        <stp>##V3_BDPV12</stp>
        <stp>GDPCTOT% Index</stp>
        <stp>OBSERVATION PERIOD</stp>
        <stp>[GMIC Info Template.xlsm]ECO Calendar!R50C12</stp>
        <tr r="L50" s="2"/>
      </tp>
      <tp t="s">
        <v>US</v>
        <stp/>
        <stp>##V3_BDPV12</stp>
        <stp>VZ US Equity</stp>
        <stp>CNTRY OF RISK</stp>
        <stp>[GMIC Info Template.xlsm]Security Analysis!R17C8</stp>
        <tr r="H17" s="13"/>
      </tp>
      <tp t="s">
        <v>United States</v>
        <stp/>
        <stp>##V3_BDPV12</stp>
        <stp>OUTFGAF Index</stp>
        <stp>REGION OR COUNTRY</stp>
        <stp>[GMIC Info Template.xlsm]ECO Calendar!R116C20</stp>
        <tr r="T116" s="2"/>
      </tp>
      <tp t="s">
        <v>United States</v>
        <stp/>
        <stp>##V3_BDPV12</stp>
        <stp>FDIUSGUY Index</stp>
        <stp>REGION OR COUNTRY</stp>
        <stp>[GMIC Info Template.xlsm]ECO Calendar!R103C20</stp>
        <tr r="T103" s="2"/>
      </tp>
      <tp t="s">
        <v>1/31/2015</v>
        <stp/>
        <stp>##V3_BDPV12</stp>
        <stp>SPCSUSQS Index</stp>
        <stp>CR OBSERVATION DATE</stp>
        <stp>[GMIC Info Template.xlsm]ECO Calendar!R43C13</stp>
        <tr r="M43" s="2"/>
      </tp>
      <tp t="s">
        <v>1/31/2015</v>
        <stp/>
        <stp>##V3_BDPV12</stp>
        <stp>SPCSUSAY Index</stp>
        <stp>CR OBSERVATION DATE</stp>
        <stp>[GMIC Info Template.xlsm]ECO Calendar!R40C13</stp>
        <tr r="M40" s="2"/>
      </tp>
      <tp t="s">
        <v>US</v>
        <stp/>
        <stp>##V3_BDPV12</stp>
        <stp>IBM US Equity</stp>
        <stp>CNTRY OF RISK</stp>
        <stp>[GMIC Info Template.xlsm]Security Analysis!R21C8</stp>
        <tr r="H21" s="13"/>
      </tp>
      <tp t="s">
        <v>BBG000BF0K17</v>
        <stp/>
        <stp>##V3_BDPV12</stp>
        <stp>CAT US Equity</stp>
        <stp>ID BB GLOBAL</stp>
        <stp>[GMIC Info Template.xlsm]Security Analysis!R35C4</stp>
        <tr r="D35" s="13"/>
      </tp>
      <tp t="s">
        <v>#N/A N/A</v>
        <stp/>
        <stp>##V3_BDPV12</stp>
        <stp>SPCSUSAY Index</stp>
        <stp>BN SURVEY MEDIAN</stp>
        <stp>[GMIC Info Template.xlsm]ECO Calendar!R40C8</stp>
        <tr r="H40" s="2"/>
      </tp>
      <tp t="s">
        <v>3/31/2015</v>
        <stp/>
        <stp>##V3_BDPV12</stp>
        <stp>NFP T Index</stp>
        <stp>CR OBSERVATION DATE</stp>
        <stp>[GMIC Info Template.xlsm]ECO Calendar!R118C13</stp>
        <tr r="M118" s="2"/>
      </tp>
      <tp t="s">
        <v>#N/A N/A</v>
        <stp/>
        <stp>##V3_BDPV12</stp>
        <stp>ECONGECC Index</stp>
        <stp>BN SURVEY MEDIAN</stp>
        <stp>[GMIC Info Template.xlsm]ECO Calendar!R84C8</stp>
        <tr r="H84" s="2"/>
      </tp>
      <tp>
        <v>41.62</v>
        <stp/>
        <stp>##V3_BDPV12</stp>
        <stp>MSFT US Equity</stp>
        <stp>PX ASK</stp>
        <stp>[GMIC Info Template.xlsm]Security Analysis!R9C13</stp>
        <tr r="M9" s="13"/>
      </tp>
      <tp t="s">
        <v>US</v>
        <stp/>
        <stp>##V3_BDPV12</stp>
        <stp>MCD US Equity</stp>
        <stp>CNTRY OF RISK</stp>
        <stp>[GMIC Info Template.xlsm]Security Analysis!R30C8</stp>
        <tr r="H30" s="13"/>
      </tp>
      <tp t="s">
        <v>US</v>
        <stp/>
        <stp>##V3_BDPV12</stp>
        <stp>PFE US Equity</stp>
        <stp>CNTRY OF RISK</stp>
        <stp>[GMIC Info Template.xlsm]Security Analysis!R15C8</stp>
        <tr r="H15" s="13"/>
      </tp>
      <tp t="s">
        <v>#N/A N/A</v>
        <stp/>
        <stp>##V3_BDPV12</stp>
        <stp>USPHTYOY Index</stp>
        <stp>BN SURVEY MEDIAN</stp>
        <stp>[GMIC Info Template.xlsm]ECO Calendar!R47C8</stp>
        <tr r="H47" s="2"/>
      </tp>
      <tp>
        <v>0.6</v>
        <stp/>
        <stp>##V3_BDPV12</stp>
        <stp>DGNOCHNG Index</stp>
        <stp>BN SURVEY MEDIAN</stp>
        <stp>[GMIC Info Template.xlsm]ECO Calendar!R31C8</stp>
        <tr r="H31" s="2"/>
      </tp>
      <tp>
        <v>240.79300000000001</v>
        <stp/>
        <stp>##V3_BDPV12</stp>
        <stp>CPUPAXFE Index</stp>
        <stp>PX LAST</stp>
        <stp>[GMIC Info Template.xlsm]ECO Calendar!R16C7</stp>
        <tr r="G16" s="2"/>
      </tp>
      <tp>
        <v>-0.8</v>
        <stp/>
        <stp>##V3_BDPV12</stp>
        <stp>FDIUFDYO Index</stp>
        <stp>PX LAST</stp>
        <stp>[GMIC Info Template.xlsm]ECO Calendar!R99C7</stp>
        <tr r="G99" s="2"/>
      </tp>
      <tp>
        <v>141057</v>
        <stp/>
        <stp>##V3_BDPV12</stp>
        <stp>NFP T Index</stp>
        <stp>QUOTE PRIOR MID</stp>
        <stp>[GMIC Info Template.xlsm]ECO Calendar!R118C9</stp>
        <tr r="I118" s="2"/>
      </tp>
      <tp t="s">
        <v>#N/A N/A</v>
        <stp/>
        <stp>##V3_BDPV12</stp>
        <stp>CPURNSA Index</stp>
        <stp>BN SURVEY MEDIAN</stp>
        <stp>[GMIC Info Template.xlsm]ECO Calendar!R17C8</stp>
        <tr r="H17" s="2"/>
      </tp>
      <tp>
        <v>240.24700000000001</v>
        <stp/>
        <stp>##V3_BDPV12</stp>
        <stp>CPUPAXFE Index</stp>
        <stp>QUOTE PRIOR MID</stp>
        <stp>[GMIC Info Template.xlsm]ECO Calendar!R16C9</stp>
        <tr r="I16" s="2"/>
      </tp>
      <tp>
        <v>-0.6</v>
        <stp/>
        <stp>##V3_BDPV12</stp>
        <stp>FDIUFDYO Index</stp>
        <stp>QUOTE PRIOR MID</stp>
        <stp>[GMIC Info Template.xlsm]ECO Calendar!R99C9</stp>
        <tr r="I99" s="2"/>
      </tp>
      <tp>
        <v>76.984099999999998</v>
        <stp/>
        <stp>##V3_BDPV12</stp>
        <stp>NAPMNMI Index</stp>
        <stp>RELEVANCE VALUE</stp>
        <stp>[GMIC Info Template.xlsm]ECO Calendar!R69C5</stp>
        <tr r="E69" s="2"/>
      </tp>
      <tp>
        <v>70</v>
        <stp/>
        <stp>##V3_BDPV12</stp>
        <stp>MPMIUSSA Index</stp>
        <stp>RELEVANCE VALUE</stp>
        <stp>[GMIC Info Template.xlsm]ECO Calendar!R36C5</stp>
        <tr r="E36" s="2"/>
      </tp>
      <tp t="s">
        <v>Also known as insured unemployment.  This is an actual of the number of individuals who are unemployed and are currently receiving unemployment benefits. These are the number of people who filed for unemployment benefits at least two weeks ago. Weekly initial jobless claims is the number of people who have filed for unemployment benefits for the first time.  To file a claim you must be eligible and meet five (5) guidelines.  1. Meet the requirements of time worked during a 1 year period (full time or not).  2.  Become unemployed through no fault of your own (cannot be fired).  3. Must be able to work; no physical or mental holdbacks.  4.  Must be available for work.  5.  Must be actively seeking work.</v>
        <stp/>
        <stp>##V3_BDPV12</stp>
        <stp>INJCSP Index</stp>
        <stp>DES NOTES</stp>
        <stp>[GMIC Info Template.xlsm]ECO Calendar!R26C21</stp>
        <tr r="U26" s="2"/>
      </tp>
      <tp t="s">
        <v>Apr</v>
        <stp/>
        <stp>##V3_BDPV12</stp>
        <stp>ADP CHNG Index</stp>
        <stp>OBSERVATION PERIOD</stp>
        <stp>[GMIC Info Template.xlsm]ECO Calendar!R71C12</stp>
        <tr r="L71" s="2"/>
      </tp>
      <tp t="s">
        <v>Apr</v>
        <stp/>
        <stp>##V3_BDPV12</stp>
        <stp>CPI CHNG Index</stp>
        <stp>OBSERVATION PERIOD</stp>
        <stp>[GMIC Info Template.xlsm]ECO Calendar!R12C12</stp>
        <tr r="L12" s="2"/>
      </tp>
      <tp t="s">
        <v>Apr</v>
        <stp/>
        <stp>##V3_BDPV12</stp>
        <stp>LEI CHNG Index</stp>
        <stp>OBSERVATION PERIOD</stp>
        <stp>[GMIC Info Template.xlsm]ECO Calendar!R18C12</stp>
        <tr r="L18" s="2"/>
      </tp>
      <tp>
        <v>23.937339789394347</v>
        <stp/>
        <stp>##V3_BDPV12</stp>
        <stp>HD US Equity</stp>
        <stp>PE RATIO</stp>
        <stp>[GMIC Info Template.xlsm]Security Analysis!R24C19</stp>
        <tr r="S24" s="13"/>
      </tp>
      <tp t="s">
        <v>3/14/2014</v>
        <stp/>
        <stp>##V3_BDPV12</stp>
        <stp>SAARTOTL Index</stp>
        <stp>CR OBSERVATION DATE</stp>
        <stp>[GMIC Info Template.xlsm]ECO Calendar!R64C13</stp>
        <tr r="M64" s="2"/>
      </tp>
      <tp t="s">
        <v>2/28/2015</v>
        <stp/>
        <stp>##V3_BDPV12</stp>
        <stp>DGNOCHNG Index</stp>
        <stp>CR OBSERVATION DATE</stp>
        <stp>[GMIC Info Template.xlsm]ECO Calendar!R31C13</stp>
        <tr r="M31" s="2"/>
      </tp>
      <tp t="s">
        <v>3/31/2015</v>
        <stp/>
        <stp>##V3_BDPV12</stp>
        <stp>SBOITOTL Index</stp>
        <stp>CR OBSERVATION DATE</stp>
        <stp>[GMIC Info Template.xlsm]ECO Calendar!R90C13</stp>
        <tr r="M90" s="2"/>
      </tp>
      <tp>
        <v>58.905010394128375</v>
        <stp/>
        <stp>##V3_BDPV12</stp>
        <stp>CSCO US Equity</stp>
        <stp>GROSS MARGIN</stp>
        <stp>[GMIC Info Template.xlsm]Security Analysis!R25C21</stp>
        <tr r="U25" s="13"/>
      </tp>
      <tp t="s">
        <v>4/10/2015</v>
        <stp/>
        <stp>##V3_BDPV12</stp>
        <stp>INJCJCNS Index</stp>
        <stp>CR OBSERVATION DATE</stp>
        <stp>[GMIC Info Template.xlsm]ECO Calendar!R117C13</stp>
        <tr r="M117" s="2"/>
      </tp>
      <tp t="s">
        <v>#N/A N/A</v>
        <stp/>
        <stp>##V3_BDPV12</stp>
        <stp>LMCILMCC Index</stp>
        <stp>BN SURVEY MEDIAN</stp>
        <stp>[GMIC Info Template.xlsm]ECO Calendar!R87C8</stp>
        <tr r="H87" s="2"/>
      </tp>
      <tp t="s">
        <v>United States</v>
        <stp/>
        <stp>##V3_BDPV12</stp>
        <stp>CONSPXMD Index</stp>
        <stp>REGION OR COUNTRY</stp>
        <stp>[GMIC Info Template.xlsm]ECO Calendar!R9C20</stp>
        <tr r="T9" s="2"/>
      </tp>
      <tp t="s">
        <v>#N/A N/A</v>
        <stp/>
        <stp>##V3_BDPV12</stp>
        <stp>LEI CHNG Index</stp>
        <stp>BN SURVEY MEDIAN</stp>
        <stp>[GMIC Info Template.xlsm]ECO Calendar!R18C8</stp>
        <tr r="H18" s="2"/>
      </tp>
      <tp t="s">
        <v>#N/A N/A</v>
        <stp/>
        <stp>##V3_BDPV12</stp>
        <stp>SBOITOTL Index</stp>
        <stp>BN SURVEY MEDIAN</stp>
        <stp>[GMIC Info Template.xlsm]ECO Calendar!R90C8</stp>
        <tr r="H90" s="2"/>
      </tp>
      <tp>
        <v>-4</v>
        <stp/>
        <stp>##V3_BDPV12</stp>
        <stp>KCLSSACI Index</stp>
        <stp>PX LAST</stp>
        <stp>[GMIC Info Template.xlsm]ECO Calendar!R28C7</stp>
        <tr r="G28" s="2"/>
      </tp>
      <tp>
        <v>1</v>
        <stp/>
        <stp>##V3_BDPV12</stp>
        <stp>USPHTMOM Index</stp>
        <stp>BN SURVEY MEDIAN</stp>
        <stp>[GMIC Info Template.xlsm]ECO Calendar!R46C8</stp>
        <tr r="H46" s="2"/>
      </tp>
      <tp>
        <v>28.571400000000001</v>
        <stp/>
        <stp>##V3_BDPV12</stp>
        <stp>AHE MOM% Index</stp>
        <stp>RELEVANCE VALUE</stp>
        <stp>[GMIC Info Template.xlsm]ECO Calendar!R78C5</stp>
        <tr r="E78" s="2"/>
      </tp>
      <tp>
        <v>9.5238099999999992</v>
        <stp/>
        <stp>##V3_BDPV12</stp>
        <stp>MWSLCHNG Index</stp>
        <stp>RELEVANCE VALUE</stp>
        <stp>[GMIC Info Template.xlsm]ECO Calendar!R86C5</stp>
        <tr r="E86" s="2"/>
      </tp>
      <tp t="s">
        <v>Monthly</v>
        <stp/>
        <stp>##V3_BDPV12</stp>
        <stp>SPCS20 Index</stp>
        <stp>INDX FREQ</stp>
        <stp>[GMIC Info Template.xlsm]ECO Calendar!R38C15</stp>
        <tr r="O38" s="2"/>
      </tp>
      <tp>
        <v>36.507899999999999</v>
        <stp/>
        <stp>##V3_BDPV12</stp>
        <stp>CPURNSA Index</stp>
        <stp>RELEVANCE VALUE</stp>
        <stp>[GMIC Info Template.xlsm]ECO Calendar!R17C5</stp>
        <tr r="E17" s="2"/>
      </tp>
      <tp>
        <v>7.9365100000000002</v>
        <stp/>
        <stp>##V3_BDPV12</stp>
        <stp>LMCILMCC Index</stp>
        <stp>RELEVANCE VALUE</stp>
        <stp>[GMIC Info Template.xlsm]ECO Calendar!R87C5</stp>
        <tr r="E87" s="2"/>
      </tp>
      <tp>
        <v>8274877</v>
        <stp/>
        <stp>##V3_BDPV12</stp>
        <stp>ATHX US EQUITY</stp>
        <stp>PX VOLUME 1D</stp>
        <stp>[GMIC Info Template.xlsm]Most Up &amp; Down!R22C15</stp>
        <tr r="O22" s="9"/>
      </tp>
      <tp>
        <v>1.41</v>
        <stp/>
        <stp>##V3_BDPV12</stp>
        <stp>ATHX US EQUITY</stp>
        <stp>PX ASK</stp>
        <stp>[GMIC Info Template.xlsm]Most Up &amp; Down!R22C11</stp>
        <tr r="K22" s="9"/>
      </tp>
      <tp>
        <v>500</v>
        <stp/>
        <stp>##V3_BDPV12</stp>
        <stp>NHSLTOT Index</stp>
        <stp>QUOTE PRIOR MID</stp>
        <stp>[GMIC Info Template.xlsm]ECO Calendar!R29C9</stp>
        <tr r="I29" s="2"/>
      </tp>
      <tp>
        <v>4965</v>
        <stp/>
        <stp>##V3_BDPV12</stp>
        <stp>JOLTTOTL Index</stp>
        <stp>QUOTE PRIOR MID</stp>
        <stp>[GMIC Info Template.xlsm]ECO Calendar!R88C9</stp>
        <tr r="I88" s="2"/>
      </tp>
      <tp>
        <v>73.015900000000002</v>
        <stp/>
        <stp>##V3_BDPV12</stp>
        <stp>NAPMPRIC Index</stp>
        <stp>RELEVANCE VALUE</stp>
        <stp>[GMIC Info Template.xlsm]ECO Calendar!R63C5</stp>
        <tr r="E63" s="2"/>
      </tp>
      <tp>
        <v>70</v>
        <stp/>
        <stp>##V3_BDPV12</stp>
        <stp>MPMIUSCA Index</stp>
        <stp>RELEVANCE VALUE</stp>
        <stp>[GMIC Info Template.xlsm]ECO Calendar!R35C5</stp>
        <tr r="E35" s="2"/>
      </tp>
      <tp t="s">
        <v>Ç                                                                               Survey question asked: Do you think the nation's economy is getting better, getting worse or staying the same?</v>
        <stp/>
        <stp>##V3_BDPV12</stp>
        <stp>COMFBTWR Index</stp>
        <stp>DES NOTES</stp>
        <stp>[GMIC Info Template.xlsm]ECO Calendar!R115C21</stp>
        <tr r="U115" s="2"/>
      </tp>
      <tp t="s">
        <v>Apr</v>
        <stp/>
        <stp>##V3_BDPV12</stp>
        <stp>RSTAXAG% Index</stp>
        <stp>OBSERVATION PERIOD</stp>
        <stp>[GMIC Info Template.xlsm]ECO Calendar!R95C12</stp>
        <tr r="L95" s="2"/>
      </tp>
      <tp t="s">
        <v>BBG000C3J3C9</v>
        <stp/>
        <stp>##V3_BDPV12</stp>
        <stp>CSCO US Equity</stp>
        <stp>ID BB GLOBAL</stp>
        <stp>[GMIC Info Template.xlsm]Security Analysis!R25C4</stp>
        <tr r="D25" s="13"/>
      </tp>
      <tp t="s">
        <v>12/31/2014</v>
        <stp/>
        <stp>##V3_BDPV12</stp>
        <stp>GDP CQOQ Index</stp>
        <stp>CR OBSERVATION DATE</stp>
        <stp>[GMIC Info Template.xlsm]ECO Calendar!R48C13</stp>
        <tr r="M48" s="2"/>
      </tp>
      <tp>
        <v>20.195388754756589</v>
        <stp/>
        <stp>##V3_BDPV12</stp>
        <stp>KO US Equity</stp>
        <stp>PE RATIO</stp>
        <stp>[GMIC Info Template.xlsm]Security Analysis!R19C19</stp>
        <tr r="S19" s="13"/>
      </tp>
      <tp t="s">
        <v>3/31/2015</v>
        <stp/>
        <stp>##V3_BDPV12</stp>
        <stp>MAPMINDX Index</stp>
        <stp>CR OBSERVATION DATE</stp>
        <stp>[GMIC Info Template.xlsm]ECO Calendar!R60C13</stp>
        <tr r="M60" s="2"/>
      </tp>
      <tp t="s">
        <v>4/4/2015</v>
        <stp/>
        <stp>##V3_BDPV12</stp>
        <stp>INJCSP Index</stp>
        <stp>CR OBSERVATION DATE</stp>
        <stp>[GMIC Info Template.xlsm]ECO Calendar!R26C13</stp>
        <tr r="M26" s="2"/>
      </tp>
      <tp t="s">
        <v>4/11/2015</v>
        <stp/>
        <stp>##V3_BDPV12</stp>
        <stp>INJCJC Index</stp>
        <stp>CR OBSERVATION DATE</stp>
        <stp>[GMIC Info Template.xlsm]ECO Calendar!R25C13</stp>
        <tr r="M25" s="2"/>
      </tp>
      <tp t="s">
        <v>United States</v>
        <stp/>
        <stp>##V3_BDPV12</stp>
        <stp>CPTICHNG Index</stp>
        <stp>REGION OR COUNTRY</stp>
        <stp>[GMIC Info Template.xlsm]ECO Calendar!R105C20</stp>
        <tr r="T105" s="2"/>
      </tp>
      <tp>
        <v>102.5</v>
        <stp/>
        <stp>##V3_BDPV12</stp>
        <stp>CONCCONF Index</stp>
        <stp>BN SURVEY MEDIAN</stp>
        <stp>[GMIC Info Template.xlsm]ECO Calendar!R44C8</stp>
        <tr r="H44" s="2"/>
      </tp>
      <tp t="s">
        <v>#N/A N/A</v>
        <stp/>
        <stp>##V3_BDPV12</stp>
        <stp>COMFCOMF Index</stp>
        <stp>BN SURVEY MEDIAN</stp>
        <stp>[GMIC Info Template.xlsm]ECO Calendar!R24C8</stp>
        <tr r="H24" s="2"/>
      </tp>
      <tp t="s">
        <v>#N/A Field Not Applicable</v>
        <stp/>
        <stp>##V3_BDPV12</stp>
        <stp>NFP T Index</stp>
        <stp>RELEVANCE VALUE</stp>
        <stp>[GMIC Info Template.xlsm]ECO Calendar!R118C5</stp>
        <tr r="E118" s="2"/>
      </tp>
      <tp t="s">
        <v>#N/A N/A</v>
        <stp/>
        <stp>##V3_BDPV12</stp>
        <stp>AHE MOM% Index</stp>
        <stp>BN SURVEY MEDIAN</stp>
        <stp>[GMIC Info Template.xlsm]ECO Calendar!R78C8</stp>
        <tr r="H78" s="2"/>
      </tp>
      <tp t="s">
        <v>#N/A N/A</v>
        <stp/>
        <stp>##V3_BDPV12</stp>
        <stp>CPUPAXFE Index</stp>
        <stp>BN SURVEY MEDIAN</stp>
        <stp>[GMIC Info Template.xlsm]ECO Calendar!R16C8</stp>
        <tr r="H16" s="2"/>
      </tp>
      <tp t="s">
        <v>BBG000BP52R2</v>
        <stp/>
        <stp>##V3_BDPV12</stp>
        <stp>MMM US Equity</stp>
        <stp>ID BB GLOBAL</stp>
        <stp>[GMIC Info Template.xlsm]Security Analysis!R29C4</stp>
        <tr r="D29" s="13"/>
      </tp>
      <tp t="s">
        <v>#N/A N/A</v>
        <stp/>
        <stp>##V3_BDPV12</stp>
        <stp>MAPMINDX Index</stp>
        <stp>BN SURVEY MEDIAN</stp>
        <stp>[GMIC Info Template.xlsm]ECO Calendar!R60C8</stp>
        <tr r="H60" s="2"/>
      </tp>
      <tp t="s">
        <v>#N/A N/A</v>
        <stp/>
        <stp>##V3_BDPV12</stp>
        <stp>USURTOT Index</stp>
        <stp>BN SURVEY MEDIAN</stp>
        <stp>[GMIC Info Template.xlsm]ECO Calendar!R75C8</stp>
        <tr r="H75" s="2"/>
      </tp>
      <tp>
        <v>-2.2999999999999998</v>
        <stp/>
        <stp>##V3_BDPV12</stp>
        <stp>MBAVCHNG Index</stp>
        <stp>PX LAST</stp>
        <stp>[GMIC Info Template.xlsm]ECO Calendar!R20C7</stp>
        <tr r="G20" s="2"/>
      </tp>
      <tp>
        <v>0.6</v>
        <stp/>
        <stp>##V3_BDPV12</stp>
        <stp>HPIMMOM% Index</stp>
        <stp>BN SURVEY MEDIAN</stp>
        <stp>[GMIC Info Template.xlsm]ECO Calendar!R21C8</stp>
        <tr r="H21" s="2"/>
      </tp>
      <tp t="s">
        <v>US</v>
        <stp/>
        <stp>##V3_BDPV12</stp>
        <stp>DIS US Equity</stp>
        <stp>CNTRY OF RISK</stp>
        <stp>[GMIC Info Template.xlsm]Security Analysis!R18C8</stp>
        <tr r="H18" s="13"/>
      </tp>
      <tp>
        <v>0.4</v>
        <stp/>
        <stp>##V3_BDPV12</stp>
        <stp>MBAVCHNG Index</stp>
        <stp>QUOTE PRIOR MID</stp>
        <stp>[GMIC Info Template.xlsm]ECO Calendar!R20C9</stp>
        <tr r="I20" s="2"/>
      </tp>
      <tp>
        <v>80.952399999999997</v>
        <stp/>
        <stp>##V3_BDPV12</stp>
        <stp>MWINCHNG Index</stp>
        <stp>RELEVANCE VALUE</stp>
        <stp>[GMIC Info Template.xlsm]ECO Calendar!R85C5</stp>
        <tr r="E85" s="2"/>
      </tp>
      <tp>
        <v>14.834116644815994</v>
        <stp/>
        <stp>##V3_BDPV12</stp>
        <stp>AXP US Equity</stp>
        <stp>PE RATIO</stp>
        <stp>[GMIC Info Template.xlsm]Security Analysis!R33C19</stp>
        <tr r="S33" s="13"/>
      </tp>
      <tp>
        <v>1.07</v>
        <stp/>
        <stp>##V3_BDPV12</stp>
        <stp>KUTV US EQUITY</stp>
        <stp>PX ASK</stp>
        <stp>[GMIC Info Template.xlsm]Most Up &amp; Down!R15C11</stp>
        <tr r="K15" s="9"/>
      </tp>
      <tp>
        <v>27.777799999999999</v>
        <stp/>
        <stp>##V3_BDPV12</stp>
        <stp>AHE YOY% Index</stp>
        <stp>RELEVANCE VALUE</stp>
        <stp>[GMIC Info Template.xlsm]ECO Calendar!R79C5</stp>
        <tr r="E79" s="2"/>
      </tp>
      <tp>
        <v>24.603200000000001</v>
        <stp/>
        <stp>##V3_BDPV12</stp>
        <stp>ECONUSIB Index</stp>
        <stp>RELEVANCE VALUE</stp>
        <stp>[GMIC Info Template.xlsm]ECO Calendar!R70C5</stp>
        <tr r="E70" s="2"/>
      </tp>
      <tp t="s">
        <v>1/31/2015</v>
        <stp/>
        <stp>##V3_BDPV12</stp>
        <stp>HPIMMOM% Index</stp>
        <stp>CR OBSERVATION DATE</stp>
        <stp>[GMIC Info Template.xlsm]ECO Calendar!R21C13</stp>
        <tr r="M21" s="2"/>
      </tp>
      <tp t="s">
        <v>10:00:00 AM</v>
        <stp/>
        <stp>##V3_BDPV12</stp>
        <stp>OUTFGAF Index</stp>
        <stp>ECO RELEASE TIME</stp>
        <stp>[GMIC Info Template.xlsm]ECO Calendar!R116C18</stp>
        <tr r="R116" s="2"/>
      </tp>
      <tp t="s">
        <v>4/30/2015</v>
        <stp/>
        <stp>##V3_BDPV12</stp>
        <stp>EMPRGBCI Index</stp>
        <stp>CR OBSERVATION DATE</stp>
        <stp>[GMIC Info Template.xlsm]ECO Calendar!R107C13</stp>
        <tr r="M107" s="2"/>
      </tp>
      <tp>
        <v>102.5</v>
        <stp/>
        <stp>##V3_BDPV12</stp>
        <stp>CONCCONF Index</stp>
        <stp>BN SURVEY MEDIAN</stp>
        <stp>[GMIC Info Template.xlsm]ECO Calendar!R45C8</stp>
        <tr r="H45" s="2"/>
      </tp>
      <tp t="s">
        <v>#N/A N/A</v>
        <stp/>
        <stp>##V3_BDPV12</stp>
        <stp>SPCSUSQS Index</stp>
        <stp>BN SURVEY MEDIAN</stp>
        <stp>[GMIC Info Template.xlsm]ECO Calendar!R43C8</stp>
        <tr r="H43" s="2"/>
      </tp>
      <tp>
        <v>539</v>
        <stp/>
        <stp>##V3_BDPV12</stp>
        <stp>NHSLTOT Index</stp>
        <stp>PX LAST</stp>
        <stp>[GMIC Info Template.xlsm]ECO Calendar!R29C7</stp>
        <tr r="G29" s="2"/>
      </tp>
      <tp>
        <v>5133</v>
        <stp/>
        <stp>##V3_BDPV12</stp>
        <stp>JOLTTOTL Index</stp>
        <stp>PX LAST</stp>
        <stp>[GMIC Info Template.xlsm]ECO Calendar!R88C7</stp>
        <tr r="G88" s="2"/>
      </tp>
      <tp t="s">
        <v>#N/A N/A</v>
        <stp/>
        <stp>##V3_BDPV12</stp>
        <stp>SPCS20 Index</stp>
        <stp>BN SURVEY MEDIAN</stp>
        <stp>[GMIC Info Template.xlsm]ECO Calendar!R38C8</stp>
        <tr r="H38" s="2"/>
      </tp>
      <tp t="s">
        <v>BBG000K4ND22</v>
        <stp/>
        <stp>##V3_BDPV12</stp>
        <stp>CVX US Equity</stp>
        <stp>ID BB GLOBAL</stp>
        <stp>[GMIC Info Template.xlsm]Security Analysis!R16C4</stp>
        <tr r="D16" s="13"/>
      </tp>
      <tp>
        <v>52.381</v>
        <stp/>
        <stp>##V3_BDPV12</stp>
        <stp>NHSLCHNG Index</stp>
        <stp>RELEVANCE VALUE</stp>
        <stp>[GMIC Info Template.xlsm]ECO Calendar!R30C5</stp>
        <tr r="E30" s="2"/>
      </tp>
      <tp>
        <v>8.5500000000000007</v>
        <stp/>
        <stp>##V3_BDPV12</stp>
        <stp>TROV US EQUITY</stp>
        <stp>PX ASK</stp>
        <stp>[GMIC Info Template.xlsm]Most Up &amp; Down!R14C11</stp>
        <tr r="K14" s="9"/>
      </tp>
      <tp>
        <v>6.13</v>
        <stp/>
        <stp>##V3_BDPV12</stp>
        <stp>USPHTYOY Index</stp>
        <stp>QUOTE PRIOR MID</stp>
        <stp>[GMIC Info Template.xlsm]ECO Calendar!R47C9</stp>
        <tr r="I47" s="2"/>
      </tp>
      <tp>
        <v>22.222200000000001</v>
        <stp/>
        <stp>##V3_BDPV12</stp>
        <stp>USEMNCHG Index</stp>
        <stp>RELEVANCE VALUE</stp>
        <stp>[GMIC Info Template.xlsm]ECO Calendar!R81C5</stp>
        <tr r="E81" s="2"/>
      </tp>
      <tp>
        <v>-42.676000000000002</v>
        <stp/>
        <stp>##V3_BDPV12</stp>
        <stp>USTBTOT Index</stp>
        <stp>QUOTE PRIOR MID</stp>
        <stp>[GMIC Info Template.xlsm]ECO Calendar!R68C9</stp>
        <tr r="I68" s="2"/>
      </tp>
      <tp>
        <v>-9.6999999999999993</v>
        <stp/>
        <stp>##V3_BDPV12</stp>
        <stp>IMP1YOY% Index</stp>
        <stp>QUOTE PRIOR MID</stp>
        <stp>[GMIC Info Template.xlsm]ECO Calendar!R92C9</stp>
        <tr r="I92" s="2"/>
      </tp>
      <tp t="s">
        <v>US PPI Final Demand Less Foods</v>
        <stp/>
        <stp>##V3_BDPV12</stp>
        <stp>FDIUSGUY Index</stp>
        <stp>NAME</stp>
        <stp>[GMIC Info Template.xlsm]ECO Calendar!R103C6</stp>
        <tr r="F103" s="2"/>
      </tp>
      <tp>
        <v>5.0999999999999091</v>
        <stp/>
        <stp>##V3_BDPV12</stp>
        <stp>GCA COMDTY</stp>
        <stp>CHG NET 1D</stp>
        <stp>[GMIC Info Template.xlsm]Currencies &amp; Commodities!R17C6</stp>
        <tr r="F17" s="3"/>
      </tp>
      <tp>
        <v>0.42570951585975869</v>
        <stp/>
        <stp>##V3_BDPV12</stp>
        <stp>GCA COMDTY</stp>
        <stp>CHG PCT 1D</stp>
        <stp>[GMIC Info Template.xlsm]Currencies &amp; Commodities!R17C7</stp>
        <tr r="G17" s="3"/>
      </tp>
      <tp t="s">
        <v>3/31/2015</v>
        <stp/>
        <stp>##V3_BDPV12</stp>
        <stp>ADP CHNG Index</stp>
        <stp>CR OBSERVATION DATE</stp>
        <stp>[GMIC Info Template.xlsm]ECO Calendar!R71C13</stp>
        <tr r="M71" s="2"/>
      </tp>
      <tp t="s">
        <v>3/31/2015</v>
        <stp/>
        <stp>##V3_BDPV12</stp>
        <stp>CPUPAXFE Index</stp>
        <stp>CR OBSERVATION DATE</stp>
        <stp>[GMIC Info Template.xlsm]ECO Calendar!R16C13</stp>
        <tr r="M16" s="2"/>
      </tp>
      <tp t="s">
        <v>2/28/2013</v>
        <stp/>
        <stp>##V3_BDPV12</stp>
        <stp>ECONGECC Index</stp>
        <stp>CR OBSERVATION DATE</stp>
        <stp>[GMIC Info Template.xlsm]ECO Calendar!R84C13</stp>
        <tr r="M84" s="2"/>
      </tp>
      <tp>
        <v>2289.5</v>
        <stp/>
        <stp>##V3_BDPV12</stp>
        <stp>INJCSP Index</stp>
        <stp>BN SURVEY MEDIAN</stp>
        <stp>[GMIC Info Template.xlsm]ECO Calendar!R26C8</stp>
        <tr r="H26" s="2"/>
      </tp>
      <tp t="s">
        <v>#N/A N/A</v>
        <stp/>
        <stp>##V3_BDPV12</stp>
        <stp>CICRTOT Index</stp>
        <stp>BN SURVEY MEDIAN</stp>
        <stp>[GMIC Info Template.xlsm]ECO Calendar!R73C8</stp>
        <tr r="H73" s="2"/>
      </tp>
      <tp t="s">
        <v>#N/A N/A</v>
        <stp/>
        <stp>##V3_BDPV12</stp>
        <stp>CPI CHNG Index</stp>
        <stp>BN SURVEY MEDIAN</stp>
        <stp>[GMIC Info Template.xlsm]ECO Calendar!R12C8</stp>
        <tr r="H12" s="2"/>
      </tp>
      <tp t="s">
        <v>BBG000BCQZS4</v>
        <stp/>
        <stp>##V3_BDPV12</stp>
        <stp>AXP US Equity</stp>
        <stp>ID BB GLOBAL</stp>
        <stp>[GMIC Info Template.xlsm]Security Analysis!R33C4</stp>
        <tr r="D33" s="13"/>
      </tp>
      <tp>
        <v>0.3105</v>
        <stp/>
        <stp>##V3_BDPV12</stp>
        <stp>ESCR US EQUITY</stp>
        <stp>PX ASK</stp>
        <stp>[GMIC Info Template.xlsm]Most Up &amp; Down!R31C11</stp>
        <tr r="K31" s="9"/>
      </tp>
      <tp>
        <v>1.1299999999999999</v>
        <stp/>
        <stp>##V3_BDPV12</stp>
        <stp>DSCO US EQUITY</stp>
        <stp>PX ASK</stp>
        <stp>[GMIC Info Template.xlsm]Most Up &amp; Down!R24C11</stp>
        <tr r="K24" s="9"/>
      </tp>
      <tp>
        <v>15.872999999999999</v>
        <stp/>
        <stp>##V3_BDPV12</stp>
        <stp>RSTAXAGM Index</stp>
        <stp>RELEVANCE VALUE</stp>
        <stp>[GMIC Info Template.xlsm]ECO Calendar!R96C5</stp>
        <tr r="E96" s="2"/>
      </tp>
      <tp>
        <v>34.9206</v>
        <stp/>
        <stp>##V3_BDPV12</stp>
        <stp>SPCSUSAY Index</stp>
        <stp>RELEVANCE VALUE</stp>
        <stp>[GMIC Info Template.xlsm]ECO Calendar!R40C5</stp>
        <tr r="E40" s="2"/>
      </tp>
      <tp>
        <v>45.238100000000003</v>
        <stp/>
        <stp>##V3_BDPV12</stp>
        <stp>CICRTOT Index</stp>
        <stp>RELEVANCE VALUE</stp>
        <stp>[GMIC Info Template.xlsm]ECO Calendar!R73C5</stp>
        <tr r="E73" s="2"/>
      </tp>
      <tp t="s">
        <v>Mar</v>
        <stp/>
        <stp>##V3_BDPV12</stp>
        <stp>PCE CHNC Index</stp>
        <stp>OBSERVATION PERIOD</stp>
        <stp>[GMIC Info Template.xlsm]ECO Calendar!R58C12</stp>
        <tr r="L58" s="2"/>
      </tp>
      <tp t="s">
        <v>US PPI Final Demand Less Foods</v>
        <stp/>
        <stp>##V3_BDPV12</stp>
        <stp>FDIDSGUM Index</stp>
        <stp>NAME</stp>
        <stp>[GMIC Info Template.xlsm]ECO Calendar!R102C6</stp>
        <tr r="F102" s="2"/>
      </tp>
      <tp t="s">
        <v>US</v>
        <stp/>
        <stp>##V3_BDPV12</stp>
        <stp>PG US Equity</stp>
        <stp>CNTRY OF RISK</stp>
        <stp>[GMIC Info Template.xlsm]Security Analysis!R14C8</stp>
        <tr r="H14" s="13"/>
      </tp>
      <tp t="s">
        <v>ISM Manufacturing release is published on the first business day of every month. ISM Non Manufacturing release is published on the third business day of the    month.  ISM indices compare the changes in various market areas on a month to   month basis.  The ISM index includes prices paid for all purchases including    import purchases and purchases of food and energy excluding crude oil.  The     production index compares current month production with the prior month.  The   new orders index compares current month orders with  the prior  month.  The backlog index compares current month unfilled orders with the prior month.  The same is true for imports and exports.  The inventory index compares current month units on hand with the prior month, not the dollar value.  The employment index   compares current month level of employment within purchasing companies with the prior month.  The supplier deliveries index compares the current month rate at  which orders are filled with the prior m</v>
        <stp/>
        <stp>##V3_BDPV12</stp>
        <stp>NAPMNMI Index</stp>
        <stp>DES NOTES</stp>
        <stp>[GMIC Info Template.xlsm]ECO Calendar!R69C21</stp>
        <tr r="U69" s="2"/>
      </tp>
      <tp t="s">
        <v>ISM Manufacturing release is published on the first business day of every month. ISM Non Manufacturing release is published on the third business day of the    month.  ISM indices compare the changes in various market areas on a month to   month basis.  The ISM index includes prices paid for all purchases including    import purchases and purchases of food and energy excluding crude oil.  The     production index compares current month production with the prior month.  The   new orders index compares current month orders with  the prior  month.  The backlog index compares current month unfilled orders with the prior month.  The same is true for imports and exports.  The inventory index compares current month units on hand with the prior month, not the dollar value.  The employment index   compares current month level of employment within purchasing companies with the prior month.  The supplier deliveries index compares the current month rate at  which orders are filled with the prior m</v>
        <stp/>
        <stp>##V3_BDPV12</stp>
        <stp>NAPMPMI Index</stp>
        <stp>DES NOTES</stp>
        <stp>[GMIC Info Template.xlsm]ECO Calendar!R61C21</stp>
        <tr r="U61" s="2"/>
      </tp>
      <tp t="s">
        <v>United States</v>
        <stp/>
        <stp>##V3_BDPV12</stp>
        <stp>FDIDSGUM Index</stp>
        <stp>REGION OR COUNTRY</stp>
        <stp>[GMIC Info Template.xlsm]ECO Calendar!R102C20</stp>
        <tr r="T102" s="2"/>
      </tp>
      <tp>
        <v>93.650800000000004</v>
        <stp/>
        <stp>##V3_BDPV12</stp>
        <stp>CONSSENT Index</stp>
        <stp>RELEVANCE VALUE</stp>
        <stp>[GMIC Info Template.xlsm]ECO Calendar!R7C5</stp>
        <tr r="E7" s="2"/>
      </tp>
      <tp>
        <v>49</v>
        <stp/>
        <stp>##V3_BDPV12</stp>
        <stp>CHPMINDX Index</stp>
        <stp>BN SURVEY MEDIAN</stp>
        <stp>[GMIC Info Template.xlsm]ECO Calendar!R59C8</stp>
        <tr r="H59" s="2"/>
      </tp>
      <tp>
        <v>-35.444000000000003</v>
        <stp/>
        <stp>##V3_BDPV12</stp>
        <stp>USTBTOT Index</stp>
        <stp>PX LAST</stp>
        <stp>[GMIC Info Template.xlsm]ECO Calendar!R68C7</stp>
        <tr r="G68" s="2"/>
      </tp>
      <tp t="s">
        <v>12/31/2014</v>
        <stp/>
        <stp>##V3_BDPV12</stp>
        <stp>SPCS20 Index</stp>
        <stp>PRIOR OBSERVATION DATE</stp>
        <stp>[GMIC Info Template.xlsm]ECO Calendar!R38C14</stp>
        <tr r="N38" s="2"/>
      </tp>
      <tp>
        <v>-10.5</v>
        <stp/>
        <stp>##V3_BDPV12</stp>
        <stp>IMP1YOY% Index</stp>
        <stp>PX LAST</stp>
        <stp>[GMIC Info Template.xlsm]ECO Calendar!R92C7</stp>
        <tr r="G92" s="2"/>
      </tp>
      <tp t="s">
        <v>#N/A N/A</v>
        <stp/>
        <stp>##V3_BDPV12</stp>
        <stp>ADP CHNG Index</stp>
        <stp>BN SURVEY MEDIAN</stp>
        <stp>[GMIC Info Template.xlsm]ECO Calendar!R71C8</stp>
        <tr r="H71" s="2"/>
      </tp>
      <tp>
        <v>16.899999999999999</v>
        <stp/>
        <stp>##V3_BDPV12</stp>
        <stp>SAARTOTL Index</stp>
        <stp>BN SURVEY MEDIAN</stp>
        <stp>[GMIC Info Template.xlsm]ECO Calendar!R64C8</stp>
        <tr r="H64" s="2"/>
      </tp>
      <tp t="s">
        <v>#N/A N/A</v>
        <stp/>
        <stp>##V3_BDPV12</stp>
        <stp>FDDSSD Index</stp>
        <stp>BN SURVEY MEDIAN</stp>
        <stp>[GMIC Info Template.xlsm]ECO Calendar!R89C8</stp>
        <tr r="H89" s="2"/>
      </tp>
      <tp t="s">
        <v>#N/A N/A</v>
        <stp/>
        <stp>##V3_BDPV12</stp>
        <stp>PRUSTOT Index</stp>
        <stp>BN SURVEY MEDIAN</stp>
        <stp>[GMIC Info Template.xlsm]ECO Calendar!R83C8</stp>
        <tr r="H83" s="2"/>
      </tp>
      <tp>
        <v>12.03</v>
        <stp/>
        <stp>##V3_BDPV12</stp>
        <stp>USPHTYOY Index</stp>
        <stp>PX LAST</stp>
        <stp>[GMIC Info Template.xlsm]ECO Calendar!R47C7</stp>
        <tr r="G47" s="2"/>
      </tp>
      <tp>
        <v>63.492100000000001</v>
        <stp/>
        <stp>##V3_BDPV12</stp>
        <stp>CPI YOY Index</stp>
        <stp>RELEVANCE VALUE</stp>
        <stp>[GMIC Info Template.xlsm]ECO Calendar!R14C5</stp>
        <tr r="E14" s="2"/>
      </tp>
      <tp>
        <v>3.01</v>
        <stp/>
        <stp>##V3_BDPV12</stp>
        <stp>IPDN US EQUITY</stp>
        <stp>PX ASK</stp>
        <stp>[GMIC Info Template.xlsm]Most Up &amp; Down!R23C11</stp>
        <tr r="K23" s="9"/>
      </tp>
      <tp>
        <v>0.98</v>
        <stp/>
        <stp>##V3_BDPV12</stp>
        <stp>VPCO US EQUITY</stp>
        <stp>PX ASK</stp>
        <stp>[GMIC Info Template.xlsm]Most Up &amp; Down!R12C11</stp>
        <tr r="K12" s="9"/>
      </tp>
      <tp>
        <v>92.063500000000005</v>
        <stp/>
        <stp>##V3_BDPV12</stp>
        <stp>DGNOCHNG Index</stp>
        <stp>RELEVANCE VALUE</stp>
        <stp>[GMIC Info Template.xlsm]ECO Calendar!R31C5</stp>
        <tr r="E31" s="2"/>
      </tp>
      <tp>
        <v>6.49</v>
        <stp/>
        <stp>##V3_BDPV12</stp>
        <stp>XPLR US EQUITY</stp>
        <stp>PX ASK</stp>
        <stp>[GMIC Info Template.xlsm]Most Up &amp; Down!R29C11</stp>
        <tr r="K29" s="9"/>
      </tp>
      <tp>
        <v>10.317500000000001</v>
        <stp/>
        <stp>##V3_BDPV12</stp>
        <stp>ECONGECC Index</stp>
        <stp>RELEVANCE VALUE</stp>
        <stp>[GMIC Info Template.xlsm]ECO Calendar!R84C5</stp>
        <tr r="E84" s="2"/>
      </tp>
      <tp>
        <v>0.16</v>
        <stp/>
        <stp>##V3_BDPV12</stp>
        <stp>CPUPXCHG Index</stp>
        <stp>QUOTE PRIOR MID</stp>
        <stp>[GMIC Info Template.xlsm]ECO Calendar!R13C9</stp>
        <tr r="I13" s="2"/>
      </tp>
      <tp>
        <v>3.1</v>
        <stp/>
        <stp>##V3_BDPV12</stp>
        <stp>SPPR US EQUITY</stp>
        <stp>PX ASK</stp>
        <stp>[GMIC Info Template.xlsm]Most Up &amp; Down!R10C11</stp>
        <tr r="K10" s="9"/>
      </tp>
      <tp>
        <v>11</v>
        <stp/>
        <stp>##V3_BDPV12</stp>
        <stp>USUDMAER Index</stp>
        <stp>QUOTE PRIOR MID</stp>
        <stp>[GMIC Info Template.xlsm]ECO Calendar!R82C9</stp>
        <tr r="I82" s="2"/>
      </tp>
      <tp>
        <v>85.714299999999994</v>
        <stp/>
        <stp>##V3_BDPV12</stp>
        <stp>PITLCHNG Index</stp>
        <stp>RELEVANCE VALUE</stp>
        <stp>[GMIC Info Template.xlsm]ECO Calendar!R52C5</stp>
        <tr r="E52" s="2"/>
      </tp>
      <tp t="s">
        <v>US PPI Final Demand Less Foods</v>
        <stp/>
        <stp>##V3_BDPV12</stp>
        <stp>FDIUSGYO Index</stp>
        <stp>NAME</stp>
        <stp>[GMIC Info Template.xlsm]ECO Calendar!R101C6</stp>
        <tr r="F101" s="2"/>
      </tp>
      <tp t="s">
        <v>Weekly initial jobless claims is the actual number of people who have filed for Unemployment benefits for the first time. Following five (5) eligibility criteria must be met in order to file for unemployment benefits: 1. Meet the requirements of time worked during a 1 year period (full time or not).  2.  Become unemployed through no fault of your own (cannot be fired).  3. Must be able to work; no physical or mental holdbacks.  4.  Must be available for work.  5.  Must be actively seeking work.</v>
        <stp/>
        <stp>##V3_BDPV12</stp>
        <stp>INJCJCNS Index</stp>
        <stp>DES NOTES</stp>
        <stp>[GMIC Info Template.xlsm]ECO Calendar!R117C21</stp>
        <tr r="U117" s="2"/>
      </tp>
      <tp t="s">
        <v>US</v>
        <stp/>
        <stp>##V3_BDPV12</stp>
        <stp>V US Equity</stp>
        <stp>CNTRY OF RISK</stp>
        <stp>[GMIC Info Template.xlsm]Security Analysis!R22C8</stp>
        <tr r="H22" s="13"/>
      </tp>
      <tp t="s">
        <v>4/30/2015</v>
        <stp/>
        <stp>##V3_BDPV12</stp>
        <stp>CONSCURR Index</stp>
        <stp>CR OBSERVATION DATE</stp>
        <stp>[GMIC Info Template.xlsm]ECO Calendar!R11C13</stp>
        <tr r="M11" s="2"/>
      </tp>
      <tp t="s">
        <v>3/31/2015</v>
        <stp/>
        <stp>##V3_BDPV12</stp>
        <stp>CPI CHNG Index</stp>
        <stp>CR OBSERVATION DATE</stp>
        <stp>[GMIC Info Template.xlsm]ECO Calendar!R12C13</stp>
        <tr r="M12" s="2"/>
      </tp>
      <tp>
        <v>95.9</v>
        <stp/>
        <stp>##V3_BDPV12</stp>
        <stp>CONSSENT Index</stp>
        <stp>PX LAST</stp>
        <stp>[GMIC Info Template.xlsm]ECO Calendar!R7C7</stp>
        <tr r="G7" s="2"/>
      </tp>
      <tp t="s">
        <v>3/31/2015</v>
        <stp/>
        <stp>##V3_BDPV12</stp>
        <stp>PRUSTOT Index</stp>
        <stp>CR OBSERVATION DATE</stp>
        <stp>[GMIC Info Template.xlsm]ECO Calendar!R83C13</stp>
        <tr r="M83" s="2"/>
      </tp>
      <tp t="s">
        <v>1/31/2015</v>
        <stp/>
        <stp>##V3_BDPV12</stp>
        <stp>SPCSUSA Index</stp>
        <stp>CR OBSERVATION DATE</stp>
        <stp>[GMIC Info Template.xlsm]ECO Calendar!R41C13</stp>
        <tr r="M41" s="2"/>
      </tp>
      <tp t="s">
        <v>4/30/2015</v>
        <stp/>
        <stp>##V3_BDPV12</stp>
        <stp>CONSEXP Index</stp>
        <stp>CR OBSERVATION DATE</stp>
        <stp>[GMIC Info Template.xlsm]ECO Calendar!R10C13</stp>
        <tr r="M10" s="2"/>
      </tp>
      <tp t="s">
        <v>3/31/2015</v>
        <stp/>
        <stp>##V3_BDPV12</stp>
        <stp>FDIUFDYO Index</stp>
        <stp>CR OBSERVATION DATE</stp>
        <stp>[GMIC Info Template.xlsm]ECO Calendar!R99C13</stp>
        <tr r="M99" s="2"/>
      </tp>
      <tp t="s">
        <v>3/31/2015</v>
        <stp/>
        <stp>##V3_BDPV12</stp>
        <stp>FDIDFDMO Index</stp>
        <stp>CR OBSERVATION DATE</stp>
        <stp>[GMIC Info Template.xlsm]ECO Calendar!R98C13</stp>
        <tr r="M98" s="2"/>
      </tp>
      <tp t="s">
        <v>3/31/2015</v>
        <stp/>
        <stp>##V3_BDPV12</stp>
        <stp>LMCILMCC Index</stp>
        <stp>CR OBSERVATION DATE</stp>
        <stp>[GMIC Info Template.xlsm]ECO Calendar!R87C13</stp>
        <tr r="M87" s="2"/>
      </tp>
      <tp t="s">
        <v>3/31/2015</v>
        <stp/>
        <stp>##V3_BDPV12</stp>
        <stp>CONCCONF Index</stp>
        <stp>CR OBSERVATION DATE</stp>
        <stp>[GMIC Info Template.xlsm]ECO Calendar!R44C13</stp>
        <tr r="M44" s="2"/>
      </tp>
      <tp t="s">
        <v>3/31/2015</v>
        <stp/>
        <stp>##V3_BDPV12</stp>
        <stp>CONCCONF Index</stp>
        <stp>CR OBSERVATION DATE</stp>
        <stp>[GMIC Info Template.xlsm]ECO Calendar!R45C13</stp>
        <tr r="M45" s="2"/>
      </tp>
      <tp t="s">
        <v>4/12/2015</v>
        <stp/>
        <stp>##V3_BDPV12</stp>
        <stp>COMFCOMF Index</stp>
        <stp>CR OBSERVATION DATE</stp>
        <stp>[GMIC Info Template.xlsm]ECO Calendar!R24C13</stp>
        <tr r="M24" s="2"/>
      </tp>
      <tp>
        <v>2.8E-3</v>
        <stp/>
        <stp>##V3_BDPV12</stp>
        <stp>GBPUSD CURNCY</stp>
        <stp>CHG NET 1D</stp>
        <stp>[GMIC Info Template.xlsm]Currencies &amp; Commodities!R11C6</stp>
        <tr r="F11" s="3"/>
      </tp>
      <tp>
        <v>-0.6885</v>
        <stp/>
        <stp>##V3_BDPV12</stp>
        <stp>USDCOP CURNCY</stp>
        <stp>CHG PCT 1D</stp>
        <stp>[GMIC Info Template.xlsm]Currencies &amp; Commodities!R14C7</stp>
        <tr r="G14" s="3"/>
      </tp>
      <tp>
        <v>17.21</v>
        <stp/>
        <stp>##V3_BDPV12</stp>
        <stp>USDCOP CURNCY</stp>
        <stp>CHG NET 1D</stp>
        <stp>[GMIC Info Template.xlsm]Currencies &amp; Commodities!R14C6</stp>
        <tr r="F14" s="3"/>
      </tp>
      <tp>
        <v>53.25</v>
        <stp/>
        <stp>##V3_BDPV12</stp>
        <stp>MAPMINDX Index</stp>
        <stp>PX LAST</stp>
        <stp>[GMIC Info Template.xlsm]ECO Calendar!R60C7</stp>
        <tr r="G60" s="2"/>
      </tp>
      <tp t="s">
        <v>#N/A N/A</v>
        <stp/>
        <stp>##V3_BDPV12</stp>
        <stp>CONSEXP Index</stp>
        <stp>BN SURVEY MEDIAN</stp>
        <stp>[GMIC Info Template.xlsm]ECO Calendar!R10C8</stp>
        <tr r="H10" s="2"/>
      </tp>
      <tp>
        <v>0.1875</v>
        <stp/>
        <stp>##V3_BDPV12</stp>
        <stp>GBPUSD CURNCY</stp>
        <stp>CHG PCT 1D</stp>
        <stp>[GMIC Info Template.xlsm]Currencies &amp; Commodities!R11C7</stp>
        <tr r="G11" s="3"/>
      </tp>
      <tp>
        <v>63.8889</v>
        <stp/>
        <stp>##V3_BDPV12</stp>
        <stp>RSTAXMOM Index</stp>
        <stp>RELEVANCE VALUE</stp>
        <stp>[GMIC Info Template.xlsm]ECO Calendar!R94C5</stp>
        <tr r="E94" s="2"/>
      </tp>
      <tp>
        <v>50.32</v>
        <stp/>
        <stp>##V3_BDPV12</stp>
        <stp>MAPMINDX Index</stp>
        <stp>QUOTE PRIOR MID</stp>
        <stp>[GMIC Info Template.xlsm]ECO Calendar!R60C9</stp>
        <tr r="I60" s="2"/>
      </tp>
      <tp t="s">
        <v>US PPI Final Demand Less Foods</v>
        <stp/>
        <stp>##V3_BDPV12</stp>
        <stp>FDIDSGMO Index</stp>
        <stp>NAME</stp>
        <stp>[GMIC Info Template.xlsm]ECO Calendar!R100C6</stp>
        <tr r="F100" s="2"/>
      </tp>
      <tp t="s">
        <v>2/28/2015</v>
        <stp/>
        <stp>##V3_BDPV12</stp>
        <stp>USPHTMOM Index</stp>
        <stp>CR OBSERVATION DATE</stp>
        <stp>[GMIC Info Template.xlsm]ECO Calendar!R46C13</stp>
        <tr r="M46" s="2"/>
      </tp>
      <tp t="s">
        <v>3/31/2015</v>
        <stp/>
        <stp>##V3_BDPV12</stp>
        <stp>CPURNSA Index</stp>
        <stp>CR OBSERVATION DATE</stp>
        <stp>[GMIC Info Template.xlsm]ECO Calendar!R17C13</stp>
        <tr r="M17" s="2"/>
      </tp>
      <tp t="s">
        <v>3/31/2015</v>
        <stp/>
        <stp>##V3_BDPV12</stp>
        <stp>NFP TMOM Index</stp>
        <stp>CR OBSERVATION DATE</stp>
        <stp>[GMIC Info Template.xlsm]ECO Calendar!R120C13</stp>
        <tr r="M120" s="2"/>
      </tp>
      <tp t="s">
        <v>United States</v>
        <stp/>
        <stp>##V3_BDPV12</stp>
        <stp>FDIDSGMO Index</stp>
        <stp>REGION OR COUNTRY</stp>
        <stp>[GMIC Info Template.xlsm]ECO Calendar!R100C20</stp>
        <tr r="T100" s="2"/>
      </tp>
      <tp t="s">
        <v>3/31/2015</v>
        <stp/>
        <stp>##V3_BDPV12</stp>
        <stp>USURTOT Index</stp>
        <stp>CR OBSERVATION DATE</stp>
        <stp>[GMIC Info Template.xlsm]ECO Calendar!R75C13</stp>
        <tr r="M75" s="2"/>
      </tp>
      <tp t="s">
        <v>2/28/2015</v>
        <stp/>
        <stp>##V3_BDPV12</stp>
        <stp>USPHTYOY Index</stp>
        <stp>CR OBSERVATION DATE</stp>
        <stp>[GMIC Info Template.xlsm]ECO Calendar!R47C13</stp>
        <tr r="M47" s="2"/>
      </tp>
      <tp t="s">
        <v>2/28/2015</v>
        <stp/>
        <stp>##V3_BDPV12</stp>
        <stp>CICRTOT Index</stp>
        <stp>CR OBSERVATION DATE</stp>
        <stp>[GMIC Info Template.xlsm]ECO Calendar!R73C13</stp>
        <tr r="M73" s="2"/>
      </tp>
      <tp t="s">
        <v>US</v>
        <stp/>
        <stp>##V3_BDPV12</stp>
        <stp>MMM US Equity</stp>
        <stp>CNTRY OF RISK</stp>
        <stp>[GMIC Info Template.xlsm]Security Analysis!R29C8</stp>
        <tr r="H29" s="13"/>
      </tp>
      <tp>
        <v>290</v>
        <stp/>
        <stp>##V3_BDPV12</stp>
        <stp>INJCJC Index</stp>
        <stp>BN SURVEY MEDIAN</stp>
        <stp>[GMIC Info Template.xlsm]ECO Calendar!R25C8</stp>
        <tr r="H25" s="2"/>
      </tp>
      <tp>
        <v>0.23</v>
        <stp/>
        <stp>##V3_BDPV12</stp>
        <stp>CPUPXCHG Index</stp>
        <stp>PX LAST</stp>
        <stp>[GMIC Info Template.xlsm]ECO Calendar!R13C7</stp>
        <tr r="G13" s="2"/>
      </tp>
      <tp>
        <v>10.9</v>
        <stp/>
        <stp>##V3_BDPV12</stp>
        <stp>USUDMAER Index</stp>
        <stp>PX LAST</stp>
        <stp>[GMIC Info Template.xlsm]ECO Calendar!R82C7</stp>
        <tr r="G82" s="2"/>
      </tp>
      <tp t="s">
        <v>#N/A N/A</v>
        <stp/>
        <stp>##V3_BDPV12</stp>
        <stp>SPCSUSA Index</stp>
        <stp>BN SURVEY MEDIAN</stp>
        <stp>[GMIC Info Template.xlsm]ECO Calendar!R41C8</stp>
        <tr r="H41" s="2"/>
      </tp>
      <tp t="s">
        <v>US</v>
        <stp/>
        <stp>##V3_BDPV12</stp>
        <stp>CAT US Equity</stp>
        <stp>CNTRY OF RISK</stp>
        <stp>[GMIC Info Template.xlsm]Security Analysis!R35C8</stp>
        <tr r="H35" s="13"/>
      </tp>
      <tp>
        <v>86.89</v>
        <stp/>
        <stp>##V3_BDPV12</stp>
        <stp>XOM US Equity</stp>
        <stp>PX ASK</stp>
        <stp>[GMIC Info Template.xlsm]Security Analysis!R8C13</stp>
        <tr r="M8" s="13"/>
      </tp>
      <tp t="s">
        <v>#N/A N/A</v>
        <stp/>
        <stp>##V3_BDPV12</stp>
        <stp>CONSCURR Index</stp>
        <stp>BN SURVEY MEDIAN</stp>
        <stp>[GMIC Info Template.xlsm]ECO Calendar!R11C8</stp>
        <tr r="H11" s="2"/>
      </tp>
      <tp>
        <v>16.16</v>
        <stp/>
        <stp>##V3_BDPV12</stp>
        <stp>SAARTOTL Index</stp>
        <stp>QUOTE PRIOR MID</stp>
        <stp>[GMIC Info Template.xlsm]ECO Calendar!R64C9</stp>
        <tr r="I64" s="2"/>
      </tp>
      <tp>
        <v>94003</v>
        <stp/>
        <stp>##V3_BDPV12</stp>
        <stp>ESCR US EQUITY</stp>
        <stp>PX VOLUME 1D</stp>
        <stp>[GMIC Info Template.xlsm]Most Up &amp; Down!R31C15</stp>
        <tr r="O31" s="9"/>
      </tp>
      <tp>
        <v>5.5</v>
        <stp/>
        <stp>##V3_BDPV12</stp>
        <stp>USURTOT Index</stp>
        <stp>QUOTE PRIOR MID</stp>
        <stp>[GMIC Info Template.xlsm]ECO Calendar!R75C9</stp>
        <tr r="I75" s="2"/>
      </tp>
      <tp>
        <v>239308</v>
        <stp/>
        <stp>##V3_BDPV12</stp>
        <stp>XPLR US EQUITY</stp>
        <stp>PX VOLUME 1D</stp>
        <stp>[GMIC Info Template.xlsm]Most Up &amp; Down!R29C15</stp>
        <tr r="O29" s="9"/>
      </tp>
      <tp>
        <v>4712</v>
        <stp/>
        <stp>##V3_BDPV12</stp>
        <stp>SPPR US EQUITY</stp>
        <stp>PX VOLUME 1D</stp>
        <stp>[GMIC Info Template.xlsm]Most Up &amp; Down!R10C15</stp>
        <tr r="O10" s="9"/>
      </tp>
      <tp>
        <v>5.67</v>
        <stp/>
        <stp>##V3_BDPV12</stp>
        <stp>XAU CURNCY</stp>
        <stp>CHG NET 1D</stp>
        <stp>[GMIC Info Template.xlsm]Currencies &amp; Commodities!R20C6</stp>
        <tr r="F20" s="3"/>
      </tp>
      <tp>
        <v>0.47310000000000002</v>
        <stp/>
        <stp>##V3_BDPV12</stp>
        <stp>XAU CURNCY</stp>
        <stp>CHG PCT 1D</stp>
        <stp>[GMIC Info Template.xlsm]Currencies &amp; Commodities!R20C7</stp>
        <tr r="G20" s="3"/>
      </tp>
      <tp t="s">
        <v>Common Stock</v>
        <stp/>
        <stp>##V3_BDPV12</stp>
        <stp>MSFT US Equity</stp>
        <stp>SECURITY TYP</stp>
        <stp>[GMIC Info Template.xlsm]Security Analysis!R9C5</stp>
        <tr r="E9" s="13"/>
      </tp>
      <tp t="s">
        <v>2/28/2015</v>
        <stp/>
        <stp>##V3_BDPV12</stp>
        <stp>MWSLCHNG Index</stp>
        <stp>CR OBSERVATION DATE</stp>
        <stp>[GMIC Info Template.xlsm]ECO Calendar!R86C13</stp>
        <tr r="M86" s="2"/>
      </tp>
      <tp t="s">
        <v>2/28/2015</v>
        <stp/>
        <stp>##V3_BDPV12</stp>
        <stp>MWINCHNG Index</stp>
        <stp>CR OBSERVATION DATE</stp>
        <stp>[GMIC Info Template.xlsm]ECO Calendar!R85C13</stp>
        <tr r="M85" s="2"/>
      </tp>
      <tp t="s">
        <v>2/28/2015</v>
        <stp/>
        <stp>##V3_BDPV12</stp>
        <stp>MTIBCHNG Index</stp>
        <stp>CR OBSERVATION DATE</stp>
        <stp>[GMIC Info Template.xlsm]ECO Calendar!R97C13</stp>
        <tr r="M97" s="2"/>
      </tp>
      <tp t="s">
        <v>United States</v>
        <stp/>
        <stp>##V3_BDPV12</stp>
        <stp>NHSPSTOT Index</stp>
        <stp>REGION OR COUNTRY</stp>
        <stp>[GMIC Info Template.xlsm]ECO Calendar!R111C20</stp>
        <tr r="T111" s="2"/>
      </tp>
      <tp>
        <v>3.9682499999999998</v>
        <stp/>
        <stp>##V3_BDPV12</stp>
        <stp>CONSPXMD Index</stp>
        <stp>RELEVANCE VALUE</stp>
        <stp>[GMIC Info Template.xlsm]ECO Calendar!R9C5</stp>
        <tr r="E9" s="2"/>
      </tp>
      <tp t="s">
        <v>United States</v>
        <stp/>
        <stp>##V3_BDPV12</stp>
        <stp>NHSPATOT Index</stp>
        <stp>REGION OR COUNTRY</stp>
        <stp>[GMIC Info Template.xlsm]ECO Calendar!R112C20</stp>
        <tr r="T112" s="2"/>
      </tp>
      <tp t="s">
        <v>4/10/2015</v>
        <stp/>
        <stp>##V3_BDPV12</stp>
        <stp>MBAVCHNG Index</stp>
        <stp>CR OBSERVATION DATE</stp>
        <stp>[GMIC Info Template.xlsm]ECO Calendar!R20C13</stp>
        <tr r="M20" s="2"/>
      </tp>
      <tp>
        <v>-0.1</v>
        <stp/>
        <stp>##V3_BDPV12</stp>
        <stp>CNSTTMOM Index</stp>
        <stp>PX LAST</stp>
        <stp>[GMIC Info Template.xlsm]ECO Calendar!R62C7</stp>
        <tr r="G62" s="2"/>
      </tp>
      <tp t="s">
        <v>#N/A N/A</v>
        <stp/>
        <stp>##V3_BDPV12</stp>
        <stp>MBAVCHNG Index</stp>
        <stp>BN SURVEY MEDIAN</stp>
        <stp>[GMIC Info Template.xlsm]ECO Calendar!R20C8</stp>
        <tr r="H20" s="2"/>
      </tp>
      <tp t="s">
        <v>#N/A N/A</v>
        <stp/>
        <stp>##V3_BDPV12</stp>
        <stp>RSTAXMOM Index</stp>
        <stp>BN SURVEY MEDIAN</stp>
        <stp>[GMIC Info Template.xlsm]ECO Calendar!R94C8</stp>
        <tr r="H94" s="2"/>
      </tp>
      <tp>
        <v>9.982793559325108</v>
        <stp/>
        <stp>##V3_BDPV12</stp>
        <stp>TRV US Equity</stp>
        <stp>PE RATIO</stp>
        <stp>[GMIC Info Template.xlsm]Security Analysis!R36C19</stp>
        <tr r="S36" s="13"/>
      </tp>
      <tp>
        <v>96.031700000000001</v>
        <stp/>
        <stp>##V3_BDPV12</stp>
        <stp>NAPMPMI Index</stp>
        <stp>RELEVANCE VALUE</stp>
        <stp>[GMIC Info Template.xlsm]ECO Calendar!R61C5</stp>
        <tr r="E61" s="2"/>
      </tp>
      <tp>
        <v>28.25706429978084</v>
        <stp/>
        <stp>##V3_BDPV12</stp>
        <stp>MRK US Equity</stp>
        <stp>PE RATIO</stp>
        <stp>[GMIC Info Template.xlsm]Security Analysis!R20C19</stp>
        <tr r="S20" s="13"/>
      </tp>
      <tp>
        <v>-1.7</v>
        <stp/>
        <stp>##V3_BDPV12</stp>
        <stp>CNSTTMOM Index</stp>
        <stp>QUOTE PRIOR MID</stp>
        <stp>[GMIC Info Template.xlsm]ECO Calendar!R62C9</stp>
        <tr r="I62" s="2"/>
      </tp>
      <tp t="s">
        <v>9:15:00 AM</v>
        <stp/>
        <stp>##V3_BDPV12</stp>
        <stp>IP CHNG Index</stp>
        <stp>ECO RELEASE TIME</stp>
        <stp>[GMIC Info Template.xlsm]ECO Calendar!R104C18</stp>
        <tr r="R104" s="2"/>
      </tp>
      <tp>
        <v>3.1764299579505773</v>
        <stp/>
        <stp>##V3_BDPV12</stp>
        <stp>XOM US Equity</stp>
        <stp>EQY DVD YLD IND</stp>
        <stp>[GMIC Info Template.xlsm]Security Analysis!R8C20</stp>
        <tr r="T8" s="13"/>
      </tp>
      <tp>
        <v>4.2142858505249023</v>
        <stp/>
        <stp>##V3_BDPV12</stp>
        <stp>AAPL US Equity</stp>
        <stp>EQY REC CONS</stp>
        <stp>[GMIC Info Template.xlsm]Security Analysis!R7C9</stp>
        <tr r="I7" s="13"/>
      </tp>
      <tp>
        <v>4.7618999999999998</v>
        <stp/>
        <stp>##V3_BDPV12</stp>
        <stp>CONSP5MD Index</stp>
        <stp>RELEVANCE VALUE</stp>
        <stp>[GMIC Info Template.xlsm]ECO Calendar!R8C5</stp>
        <tr r="E8" s="2"/>
      </tp>
      <tp t="s">
        <v>3/31/2015</v>
        <stp/>
        <stp>##V3_BDPV12</stp>
        <stp>LEI CHNG Index</stp>
        <stp>CR OBSERVATION DATE</stp>
        <stp>[GMIC Info Template.xlsm]ECO Calendar!R18C13</stp>
        <tr r="M18" s="2"/>
      </tp>
      <tp>
        <v>17.05</v>
        <stp/>
        <stp>##V3_BDPV12</stp>
        <stp>SAARTOTL Index</stp>
        <stp>PX LAST</stp>
        <stp>[GMIC Info Template.xlsm]ECO Calendar!R64C7</stp>
        <tr r="G64" s="2"/>
      </tp>
      <tp t="s">
        <v>#N/A N/A</v>
        <stp/>
        <stp>##V3_BDPV12</stp>
        <stp>RSTAXAG% Index</stp>
        <stp>BN SURVEY MEDIAN</stp>
        <stp>[GMIC Info Template.xlsm]ECO Calendar!R95C8</stp>
        <tr r="H95" s="2"/>
      </tp>
      <tp>
        <v>5.5</v>
        <stp/>
        <stp>##V3_BDPV12</stp>
        <stp>USURTOT Index</stp>
        <stp>PX LAST</stp>
        <stp>[GMIC Info Template.xlsm]ECO Calendar!R75C7</stp>
        <tr r="G75" s="2"/>
      </tp>
      <tp>
        <v>61.904800000000002</v>
        <stp/>
        <stp>##V3_BDPV12</stp>
        <stp>SBOITOTL Index</stp>
        <stp>RELEVANCE VALUE</stp>
        <stp>[GMIC Info Template.xlsm]ECO Calendar!R90C5</stp>
        <tr r="E90" s="2"/>
      </tp>
      <tp>
        <v>73.650800000000004</v>
        <stp/>
        <stp>##V3_BDPV12</stp>
        <stp>DGNOXTCH Index</stp>
        <stp>RELEVANCE VALUE</stp>
        <stp>[GMIC Info Template.xlsm]ECO Calendar!R32C5</stp>
        <tr r="E32" s="2"/>
      </tp>
      <tp>
        <v>16900</v>
        <stp/>
        <stp>##V3_BDPV12</stp>
        <stp>OSN US EQUITY</stp>
        <stp>PX VOLUME 1D</stp>
        <stp>[GMIC Info Template.xlsm]Most Up &amp; Down!R16C15</stp>
        <tr r="O16" s="9"/>
      </tp>
      <tp t="s">
        <v>Apr</v>
        <stp/>
        <stp>##V3_BDPV12</stp>
        <stp>AWH TOTL Index</stp>
        <stp>OBSERVATION PERIOD</stp>
        <stp>[GMIC Info Template.xlsm]ECO Calendar!R80C12</stp>
        <tr r="L80" s="2"/>
      </tp>
      <tp>
        <v>-0.52999999999999403</v>
        <stp/>
        <stp>##V3_BDPV12</stp>
        <stp>COA COMDTY</stp>
        <stp>CHG NET 1D</stp>
        <stp>[GMIC Info Template.xlsm]Currencies &amp; Commodities!R19C6</stp>
        <tr r="F19" s="3"/>
      </tp>
      <tp t="s">
        <v>Common Stock</v>
        <stp/>
        <stp>##V3_BDPV12</stp>
        <stp>AAPL US Equity</stp>
        <stp>SECURITY TYP</stp>
        <stp>[GMIC Info Template.xlsm]Security Analysis!R7C5</stp>
        <tr r="E7" s="13"/>
      </tp>
      <tp>
        <v>-0.82838386995935309</v>
        <stp/>
        <stp>##V3_BDPV12</stp>
        <stp>COA COMDTY</stp>
        <stp>CHG PCT 1D</stp>
        <stp>[GMIC Info Template.xlsm]Currencies &amp; Commodities!R19C7</stp>
        <tr r="G19" s="3"/>
      </tp>
      <tp t="s">
        <v>Base year 1982-84=100.</v>
        <stp/>
        <stp>##V3_BDPV12</stp>
        <stp>CPURNSA Index</stp>
        <stp>DES NOTES</stp>
        <stp>[GMIC Info Template.xlsm]ECO Calendar!R17C21</stp>
        <tr r="U17" s="2"/>
      </tp>
      <tp>
        <v>2.6</v>
        <stp/>
        <stp>##V3_BDPV12</stp>
        <stp>CONSP5MD Index</stp>
        <stp>PX LAST</stp>
        <stp>[GMIC Info Template.xlsm]ECO Calendar!R8C7</stp>
        <tr r="G8" s="2"/>
      </tp>
      <tp t="s">
        <v>3/31/2015</v>
        <stp/>
        <stp>##V3_BDPV12</stp>
        <stp>AHE MOM% Index</stp>
        <stp>CR OBSERVATION DATE</stp>
        <stp>[GMIC Info Template.xlsm]ECO Calendar!R78C13</stp>
        <tr r="M78" s="2"/>
      </tp>
      <tp t="s">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stp/>
        <stp>##V3_BDPV12</stp>
        <stp>SPCSUSA Index</stp>
        <stp>DES NOTES</stp>
        <stp>[GMIC Info Template.xlsm]ECO Calendar!R41C21</stp>
        <tr r="U41" s="2"/>
      </tp>
      <tp t="s">
        <v>BBG000PSKYX7</v>
        <stp/>
        <stp>##V3_BDPV12</stp>
        <stp>V US Equity</stp>
        <stp>ID BB GLOBAL</stp>
        <stp>[GMIC Info Template.xlsm]Security Analysis!R22C4</stp>
        <tr r="D22" s="13"/>
      </tp>
      <tp t="s">
        <v>US</v>
        <stp/>
        <stp>##V3_BDPV12</stp>
        <stp>NKE US Equity</stp>
        <stp>CNTRY OF RISK</stp>
        <stp>[GMIC Info Template.xlsm]Security Analysis!R32C8</stp>
        <tr r="H32" s="13"/>
      </tp>
      <tp t="s">
        <v>BBG000BH4R78</v>
        <stp/>
        <stp>##V3_BDPV12</stp>
        <stp>DIS US Equity</stp>
        <stp>ID BB GLOBAL</stp>
        <stp>[GMIC Info Template.xlsm]Security Analysis!R18C4</stp>
        <tr r="D18" s="13"/>
      </tp>
      <tp t="s">
        <v>BBG000C5HS04</v>
        <stp/>
        <stp>##V3_BDPV12</stp>
        <stp>NKE US Equity</stp>
        <stp>ID BB GLOBAL</stp>
        <stp>[GMIC Info Template.xlsm]Security Analysis!R32C4</stp>
        <tr r="D32" s="13"/>
      </tp>
      <tp t="s">
        <v>#N/A N/A</v>
        <stp/>
        <stp>##V3_BDPV12</stp>
        <stp>RSTAXAGM Index</stp>
        <stp>BN SURVEY MEDIAN</stp>
        <stp>[GMIC Info Template.xlsm]ECO Calendar!R96C8</stp>
        <tr r="H96" s="2"/>
      </tp>
      <tp>
        <v>1</v>
        <stp/>
        <stp>##V3_BDPV12</stp>
        <stp>GDP CQOQ Index</stp>
        <stp>BN SURVEY MEDIAN</stp>
        <stp>[GMIC Info Template.xlsm]ECO Calendar!R48C8</stp>
        <tr r="H48" s="2"/>
      </tp>
      <tp>
        <v>50</v>
        <stp/>
        <stp>##V3_BDPV12</stp>
        <stp>NYPMCURR Index</stp>
        <stp>PX LAST</stp>
        <stp>[GMIC Info Template.xlsm]ECO Calendar!R66C7</stp>
        <tr r="G66" s="2"/>
      </tp>
      <tp t="s">
        <v>Monthly</v>
        <stp/>
        <stp>##V3_BDPV12</stp>
        <stp>CONSP5MD Index</stp>
        <stp>INDX FREQ</stp>
        <stp>[GMIC Info Template.xlsm]ECO Calendar!R8C15</stp>
        <tr r="O8" s="2"/>
      </tp>
      <tp>
        <v>63.1</v>
        <stp/>
        <stp>##V3_BDPV12</stp>
        <stp>NYPMCURR Index</stp>
        <stp>QUOTE PRIOR MID</stp>
        <stp>[GMIC Info Template.xlsm]ECO Calendar!R66C9</stp>
        <tr r="I66" s="2"/>
      </tp>
      <tp>
        <v>468893</v>
        <stp/>
        <stp>##V3_BDPV12</stp>
        <stp>NVDQ US EQUITY</stp>
        <stp>PX VOLUME 1D</stp>
        <stp>[GMIC Info Template.xlsm]Most Up &amp; Down!R27C15</stp>
        <tr r="O27" s="9"/>
      </tp>
      <tp>
        <v>65.873000000000005</v>
        <stp/>
        <stp>##V3_BDPV12</stp>
        <stp>COMFCOMF Index</stp>
        <stp>RELEVANCE VALUE</stp>
        <stp>[GMIC Info Template.xlsm]ECO Calendar!R24C5</stp>
        <tr r="E24" s="2"/>
      </tp>
      <tp>
        <v>10.197276099296525</v>
        <stp/>
        <stp>##V3_BDPV12</stp>
        <stp>JPM US Equity</stp>
        <stp>PE RATIO</stp>
        <stp>[GMIC Info Template.xlsm]Security Analysis!R13C19</stp>
        <tr r="S13" s="13"/>
      </tp>
      <tp>
        <v>91.269800000000004</v>
        <stp/>
        <stp>##V3_BDPV12</stp>
        <stp>RSTAMOM Index</stp>
        <stp>RELEVANCE VALUE</stp>
        <stp>[GMIC Info Template.xlsm]ECO Calendar!R93C5</stp>
        <tr r="E93" s="2"/>
      </tp>
      <tp t="s">
        <v>University of Michigan Consumer Sentiment Index</v>
        <stp/>
        <stp>##V3_BDPV12</stp>
        <stp>CONSSENT Index</stp>
        <stp>Long Comp Name</stp>
        <stp>[GMIC Info Template.xlsm]ECO Calendar!R7C3</stp>
        <tr r="C7" s="2"/>
      </tp>
      <tp t="s">
        <v>Mar</v>
        <stp/>
        <stp>##V3_BDPV12</stp>
        <stp>PCE DEFM Index</stp>
        <stp>OBSERVATION PERIOD</stp>
        <stp>[GMIC Info Template.xlsm]ECO Calendar!R57C12</stp>
        <tr r="L57" s="2"/>
      </tp>
      <tp t="s">
        <v>Mar</v>
        <stp/>
        <stp>##V3_BDPV12</stp>
        <stp>PCE CMOM Index</stp>
        <stp>OBSERVATION PERIOD</stp>
        <stp>[GMIC Info Template.xlsm]ECO Calendar!R54C12</stp>
        <tr r="L54" s="2"/>
      </tp>
      <tp>
        <v>3.644444465637207</v>
        <stp/>
        <stp>##V3_BDPV12</stp>
        <stp>MSFT US Equity</stp>
        <stp>EQY REC CONS</stp>
        <stp>[GMIC Info Template.xlsm]Security Analysis!R9C9</stp>
        <tr r="I9" s="13"/>
      </tp>
      <tp>
        <v>-0.96999999999999886</v>
        <stp/>
        <stp>##V3_BDPV12</stp>
        <stp>CLA COMDTY</stp>
        <stp>CHG NET 1D</stp>
        <stp>[GMIC Info Template.xlsm]Currencies &amp; Commodities!R18C6</stp>
        <tr r="F18" s="3"/>
      </tp>
      <tp t="s">
        <v>Mar</v>
        <stp/>
        <stp>##V3_BDPV12</stp>
        <stp>CGSHXAI% Index</stp>
        <stp>OBSERVATION PERIOD</stp>
        <stp>[GMIC Info Template.xlsm]ECO Calendar!R34C12</stp>
        <tr r="L34" s="2"/>
      </tp>
      <tp>
        <v>-1.7104567095750287</v>
        <stp/>
        <stp>##V3_BDPV12</stp>
        <stp>CLA COMDTY</stp>
        <stp>CHG PCT 1D</stp>
        <stp>[GMIC Info Template.xlsm]Currencies &amp; Commodities!R18C7</stp>
        <tr r="G18" s="3"/>
      </tp>
      <tp>
        <v>20.191645990725558</v>
        <stp/>
        <stp>##V3_BDPV12</stp>
        <stp>BA US Equity</stp>
        <stp>PE RATIO</stp>
        <stp>[GMIC Info Template.xlsm]Security Analysis!R27C19</stp>
        <tr r="S27" s="13"/>
      </tp>
      <tp>
        <v>38.588035777783858</v>
        <stp/>
        <stp>##V3_BDPV12</stp>
        <stp>AAPL US Equity</stp>
        <stp>GROSS MARGIN</stp>
        <stp>[GMIC Info Template.xlsm]Security Analysis!R7C21</stp>
        <tr r="U7" s="13"/>
      </tp>
      <tp>
        <v>0.84</v>
        <stp/>
        <stp>##V3_BDPV12</stp>
        <stp>OSN US EQUITY</stp>
        <stp>PX ASK</stp>
        <stp>[GMIC Info Template.xlsm]Most Up &amp; Down!R16C11</stp>
        <tr r="K16" s="9"/>
      </tp>
      <tp t="s">
        <v>1/31/2015</v>
        <stp/>
        <stp>##V3_BDPV12</stp>
        <stp>SPCS20 Index</stp>
        <stp>CR OBSERVATION DATE</stp>
        <stp>[GMIC Info Template.xlsm]ECO Calendar!R38C13</stp>
        <tr r="M38" s="2"/>
      </tp>
      <tp t="s">
        <v>3/31/2015</v>
        <stp/>
        <stp>##V3_BDPV12</stp>
        <stp>NYPMCURR Index</stp>
        <stp>CR OBSERVATION DATE</stp>
        <stp>[GMIC Info Template.xlsm]ECO Calendar!R66C13</stp>
        <tr r="M66" s="2"/>
      </tp>
      <tp>
        <v>2.5</v>
        <stp/>
        <stp>##V3_BDPV12</stp>
        <stp>CONSPXMD Index</stp>
        <stp>PX LAST</stp>
        <stp>[GMIC Info Template.xlsm]ECO Calendar!R9C7</stp>
        <tr r="G9" s="2"/>
      </tp>
      <tp t="s">
        <v>2/28/2015</v>
        <stp/>
        <stp>##V3_BDPV12</stp>
        <stp>NHSLCHNG Index</stp>
        <stp>CR OBSERVATION DATE</stp>
        <stp>[GMIC Info Template.xlsm]ECO Calendar!R30C13</stp>
        <tr r="M30" s="2"/>
      </tp>
      <tp>
        <v>-5.4</v>
        <stp/>
        <stp>##V3_BDPV12</stp>
        <stp>NHSLCHNG Index</stp>
        <stp>BN SURVEY MEDIAN</stp>
        <stp>[GMIC Info Template.xlsm]ECO Calendar!R30C8</stp>
        <tr r="H30" s="2"/>
      </tp>
      <tp t="s">
        <v>BBG000BNSZP1</v>
        <stp/>
        <stp>##V3_BDPV12</stp>
        <stp>MCD US Equity</stp>
        <stp>ID BB GLOBAL</stp>
        <stp>[GMIC Info Template.xlsm]Security Analysis!R30C4</stp>
        <tr r="D30" s="13"/>
      </tp>
      <tp t="s">
        <v>US</v>
        <stp/>
        <stp>##V3_BDPV12</stp>
        <stp>UNH US Equity</stp>
        <stp>CNTRY OF RISK</stp>
        <stp>[GMIC Info Template.xlsm]Security Analysis!R26C8</stp>
        <tr r="H26" s="13"/>
      </tp>
      <tp t="s">
        <v>BBG000BPD168</v>
        <stp/>
        <stp>##V3_BDPV12</stp>
        <stp>MRK US Equity</stp>
        <stp>ID BB GLOBAL</stp>
        <stp>[GMIC Info Template.xlsm]Security Analysis!R20C4</stp>
        <tr r="D20" s="13"/>
      </tp>
      <tp>
        <v>184174</v>
        <stp/>
        <stp>##V3_BDPV12</stp>
        <stp>KUTV US EQUITY</stp>
        <stp>PX VOLUME 1D</stp>
        <stp>[GMIC Info Template.xlsm]Most Up &amp; Down!R15C15</stp>
        <tr r="O15" s="9"/>
      </tp>
      <tp>
        <v>1.5872999999999999</v>
        <stp/>
        <stp>##V3_BDPV12</stp>
        <stp>SPCSUSQS Index</stp>
        <stp>RELEVANCE VALUE</stp>
        <stp>[GMIC Info Template.xlsm]ECO Calendar!R43C5</stp>
        <tr r="E43" s="2"/>
      </tp>
      <tp>
        <v>77.777799999999999</v>
        <stp/>
        <stp>##V3_BDPV12</stp>
        <stp>USPHTMOM Index</stp>
        <stp>RELEVANCE VALUE</stp>
        <stp>[GMIC Info Template.xlsm]ECO Calendar!R46C5</stp>
        <tr r="E46" s="2"/>
      </tp>
      <tp>
        <v>87.301599999999993</v>
        <stp/>
        <stp>##V3_BDPV12</stp>
        <stp>FDIDFDMO Index</stp>
        <stp>RELEVANCE VALUE</stp>
        <stp>[GMIC Info Template.xlsm]ECO Calendar!R98C5</stp>
        <tr r="E98" s="2"/>
      </tp>
      <tp>
        <v>53.968299999999999</v>
        <stp/>
        <stp>##V3_BDPV12</stp>
        <stp>ETSLMOM Index</stp>
        <stp>RELEVANCE VALUE</stp>
        <stp>[GMIC Info Template.xlsm]ECO Calendar!R23C5</stp>
        <tr r="E23" s="2"/>
      </tp>
      <tp>
        <v>69.444400000000002</v>
        <stp/>
        <stp>##V3_BDPV12</stp>
        <stp>USMMMNCH Index</stp>
        <stp>RELEVANCE VALUE</stp>
        <stp>[GMIC Info Template.xlsm]ECO Calendar!R76C5</stp>
        <tr r="E76" s="2"/>
      </tp>
      <tp>
        <v>52695</v>
        <stp/>
        <stp>##V3_BDPV12</stp>
        <stp>TROV US EQUITY</stp>
        <stp>PX VOLUME 1D</stp>
        <stp>[GMIC Info Template.xlsm]Most Up &amp; Down!R14C15</stp>
        <tr r="O14" s="9"/>
      </tp>
      <tp>
        <v>39.682499999999997</v>
        <stp/>
        <stp>##V3_BDPV12</stp>
        <stp>SAARDTOT Index</stp>
        <stp>RELEVANCE VALUE</stp>
        <stp>[GMIC Info Template.xlsm]ECO Calendar!R65C5</stp>
        <tr r="E65" s="2"/>
      </tp>
      <tp>
        <v>3.93</v>
        <stp/>
        <stp>##V3_BDPV12</stp>
        <stp>SZYM US EQUITY</stp>
        <stp>PX ASK</stp>
        <stp>[GMIC Info Template.xlsm]Most Up &amp; Down!R30C11</stp>
        <tr r="K30" s="9"/>
      </tp>
      <tp t="s">
        <v>Apr F</v>
        <stp/>
        <stp>##V3_BDPV12</stp>
        <stp>CONSP5MD Index</stp>
        <stp>OBSERVATION PERIOD</stp>
        <stp>[GMIC Info Template.xlsm]ECO Calendar!R8C12</stp>
        <tr r="L8" s="2"/>
      </tp>
      <tp t="s">
        <v>Apr F</v>
        <stp/>
        <stp>##V3_BDPV12</stp>
        <stp>CONSPXMD Index</stp>
        <stp>OBSERVATION PERIOD</stp>
        <stp>[GMIC Info Template.xlsm]ECO Calendar!R9C12</stp>
        <tr r="L9" s="2"/>
      </tp>
      <tp t="s">
        <v>#N/A Field Not Applicable</v>
        <stp/>
        <stp>##V3_BDPV12</stp>
        <stp>FDIUSGYO Index</stp>
        <stp>DES NOTES</stp>
        <stp>[GMIC Info Template.xlsm]ECO Calendar!R101C21</stp>
        <tr r="U101" s="2"/>
      </tp>
      <tp t="s">
        <v>This concept tracks sentiment among participants in the housing industry.       A reading above 50 indicates more builders view conditions as good than poor.</v>
        <stp/>
        <stp>##V3_BDPV12</stp>
        <stp>USHBMIDX Index</stp>
        <stp>DES NOTES</stp>
        <stp>[GMIC Info Template.xlsm]ECO Calendar!R110C21</stp>
        <tr r="U110" s="2"/>
      </tp>
      <tp t="s">
        <v>US Empire State Manufacturing</v>
        <stp/>
        <stp>##V3_BDPV12</stp>
        <stp>EMPRGBCI Index</stp>
        <stp>NAME</stp>
        <stp>[GMIC Info Template.xlsm]ECO Calendar!R107C6</stp>
        <tr r="F107" s="2"/>
      </tp>
      <tp t="s">
        <v>Mar</v>
        <stp/>
        <stp>##V3_BDPV12</stp>
        <stp>CGNOXAI% Index</stp>
        <stp>OBSERVATION PERIOD</stp>
        <stp>[GMIC Info Template.xlsm]ECO Calendar!R33C12</stp>
        <tr r="L33" s="2"/>
      </tp>
      <tp t="s">
        <v>The underlying series for ''planned purchases'' (autos, homes, and major appliances) and ''vacation intentions'' showed larger increases in November 2010 levels, primarily due to sample design differences. These level shifts will be treated as breaks, and there will be no historial revisions. Neither series is included in or has any impact on the Consumer Confidence Index.The switch to the Census X-12 seasonal adjustment program produced only minor differences for both levels and month-to-month changes. As a result, The Conference Board did not find it necessary to undertake a full historical revision of the CCI time series based on the seasonal adjustment method. The restated data for November 2010, December 2010 and January 2011 (preliminary data) are based on the prior seasonal adjustment method.                                                                      This index is an average of responses to the following questions:               1. Respondents appraisal of current busi</v>
        <stp/>
        <stp>##V3_BDPV12</stp>
        <stp>CONCCYOY Index</stp>
        <stp>DES NOTES</stp>
        <stp>[GMIC Info Template.xlsm]ECO Calendar!R122C21</stp>
        <tr r="U122" s="2"/>
      </tp>
      <tp t="s">
        <v>3/31/2015</v>
        <stp/>
        <stp>##V3_BDPV12</stp>
        <stp>RSTAXMOM Index</stp>
        <stp>CR OBSERVATION DATE</stp>
        <stp>[GMIC Info Template.xlsm]ECO Calendar!R94C13</stp>
        <tr r="M94" s="2"/>
      </tp>
      <tp t="s">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v>
        <stp/>
        <stp>##V3_BDPV12</stp>
        <stp>NFP PCH Index</stp>
        <stp>DES NOTES</stp>
        <stp>[GMIC Info Template.xlsm]ECO Calendar!R77C21</stp>
        <tr r="U77" s="2"/>
      </tp>
      <tp t="s">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                                                            In June 2003, all figures from the establishment survey were converted from the Standard Industrial Classification (SIC) over to the North American Industry Classification System (NAICS).  As a result, new categories were created and all history was revised.  Please note that only the broader categories will have history dating back prior to 1990.</v>
        <stp/>
        <stp>##V3_BDPV12</stp>
        <stp>NFP TCH Index</stp>
        <stp>DES NOTES</stp>
        <stp>[GMIC Info Template.xlsm]ECO Calendar!R74C21</stp>
        <tr r="U74" s="2"/>
      </tp>
      <tp t="s">
        <v>United States</v>
        <stp/>
        <stp>##V3_BDPV12</stp>
        <stp>NHCHSTCH Index</stp>
        <stp>REGION OR COUNTRY</stp>
        <stp>[GMIC Info Template.xlsm]ECO Calendar!R113C20</stp>
        <tr r="T113" s="2"/>
      </tp>
      <tp t="s">
        <v>3/31/2015</v>
        <stp/>
        <stp>##V3_BDPV12</stp>
        <stp>RSTAXAG% Index</stp>
        <stp>CR OBSERVATION DATE</stp>
        <stp>[GMIC Info Template.xlsm]ECO Calendar!R95C13</stp>
        <tr r="M95" s="2"/>
      </tp>
      <tp t="s">
        <v>3/31/2015</v>
        <stp/>
        <stp>##V3_BDPV12</stp>
        <stp>RSTAXAGM Index</stp>
        <stp>CR OBSERVATION DATE</stp>
        <stp>[GMIC Info Template.xlsm]ECO Calendar!R96C13</stp>
        <tr r="M96" s="2"/>
      </tp>
      <tp t="s">
        <v>UNITED STATES</v>
        <stp/>
        <stp>##V3_BDPV12</stp>
        <stp>FRNTTNET Index</stp>
        <stp>REGION OR COUNTRY</stp>
        <stp>[GMIC Info Template.xlsm]ECO Calendar!R109C20</stp>
        <tr r="T109" s="2"/>
      </tp>
      <tp t="s">
        <v>3/31/2015</v>
        <stp/>
        <stp>##V3_BDPV12</stp>
        <stp>FDDSSD Index</stp>
        <stp>CR OBSERVATION DATE</stp>
        <stp>[GMIC Info Template.xlsm]ECO Calendar!R89C13</stp>
        <tr r="M89" s="2"/>
      </tp>
      <tp t="s">
        <v>United States</v>
        <stp/>
        <stp>##V3_BDPV12</stp>
        <stp>NHCHATCH Index</stp>
        <stp>REGION OR COUNTRY</stp>
        <stp>[GMIC Info Template.xlsm]ECO Calendar!R114C20</stp>
        <tr r="T114" s="2"/>
      </tp>
      <tp t="s">
        <v>United States</v>
        <stp/>
        <stp>##V3_BDPV12</stp>
        <stp>IPMGCHNG Index</stp>
        <stp>REGION OR COUNTRY</stp>
        <stp>[GMIC Info Template.xlsm]ECO Calendar!R106C20</stp>
        <tr r="T106" s="2"/>
      </tp>
      <tp t="s">
        <v>3/31/2015</v>
        <stp/>
        <stp>##V3_BDPV12</stp>
        <stp>CHPMINDX Index</stp>
        <stp>CR OBSERVATION DATE</stp>
        <stp>[GMIC Info Template.xlsm]ECO Calendar!R59C13</stp>
        <tr r="M59" s="2"/>
      </tp>
      <tp t="s">
        <v>3/31/2015</v>
        <stp/>
        <stp>##V3_BDPV12</stp>
        <stp>IMP1CHNG Index</stp>
        <stp>CR OBSERVATION DATE</stp>
        <stp>[GMIC Info Template.xlsm]ECO Calendar!R91C13</stp>
        <tr r="M91" s="2"/>
      </tp>
      <tp t="s">
        <v>10:00:00 AM</v>
        <stp/>
        <stp>##V3_BDPV12</stp>
        <stp>CONSSENT Index</stp>
        <stp>ECO RELEASE TIME</stp>
        <stp>[GMIC Info Template.xlsm]ECO Calendar!R7C18</stp>
        <tr r="R7" s="2"/>
      </tp>
      <tp t="s">
        <v>BBG000BMHYD1</v>
        <stp/>
        <stp>##V3_BDPV12</stp>
        <stp>JNJ US Equity</stp>
        <stp>ID BB GLOBAL</stp>
        <stp>[GMIC Info Template.xlsm]Security Analysis!R10C4</stp>
        <tr r="D10" s="13"/>
      </tp>
      <tp t="s">
        <v>US</v>
        <stp/>
        <stp>##V3_BDPV12</stp>
        <stp>WMT US Equity</stp>
        <stp>CNTRY OF RISK</stp>
        <stp>[GMIC Info Template.xlsm]Security Analysis!R12C8</stp>
        <tr r="H12" s="13"/>
      </tp>
      <tp>
        <v>42.857100000000003</v>
        <stp/>
        <stp>##V3_BDPV12</stp>
        <stp>MTIBCHNG Index</stp>
        <stp>RELEVANCE VALUE</stp>
        <stp>[GMIC Info Template.xlsm]ECO Calendar!R97C5</stp>
        <tr r="E97" s="2"/>
      </tp>
      <tp>
        <v>10.742669942898891</v>
        <stp/>
        <stp>##V3_BDPV12</stp>
        <stp>CVX US Equity</stp>
        <stp>PE RATIO</stp>
        <stp>[GMIC Info Template.xlsm]Security Analysis!R16C19</stp>
        <tr r="S16" s="13"/>
      </tp>
      <tp>
        <v>26877044</v>
        <stp/>
        <stp>##V3_BDPV12</stp>
        <stp>AXPW US EQUITY</stp>
        <stp>PX VOLUME 1D</stp>
        <stp>[GMIC Info Template.xlsm]Most Up &amp; Down!R11C15</stp>
        <tr r="O11" s="9"/>
      </tp>
      <tp>
        <v>88.095200000000006</v>
        <stp/>
        <stp>##V3_BDPV12</stp>
        <stp>ETSLTOTL Index</stp>
        <stp>RELEVANCE VALUE</stp>
        <stp>[GMIC Info Template.xlsm]ECO Calendar!R22C5</stp>
        <tr r="E22" s="2"/>
      </tp>
      <tp t="s">
        <v>The Empire State Manufacturing Survey is a monthly survey of manufacturers in New York State conducted by the Federal Reserve Bank of New York. Participants from across the state in a variety of industries respond to a questionnaire and report the change in a variety of indicators from the previous month. Respondents also state the likely direction of these same indicators six months ahead. April 2002 is the first report, although survey data date back to July 2001. Each month, new data will be released and the previous month's data will be revised slightly. Once per year, all data will undergo a benchmark revision.</v>
        <stp/>
        <stp>##V3_BDPV12</stp>
        <stp>EMPRGBCI Index</stp>
        <stp>DES NOTES</stp>
        <stp>[GMIC Info Template.xlsm]ECO Calendar!R107C21</stp>
        <tr r="U107" s="2"/>
      </tp>
      <tp>
        <v>2.5809690000000001</v>
        <stp/>
        <stp>##V3_BDPV12</stp>
        <stp>XOM US Equity</stp>
        <stp>SHORT INT RATIO</stp>
        <stp>[GMIC Info Template.xlsm]Security Analysis!R8C11</stp>
        <tr r="K8" s="13"/>
      </tp>
      <tp>
        <v>16.790135297687048</v>
        <stp/>
        <stp>##V3_BDPV12</stp>
        <stp>DD US Equity</stp>
        <stp>PE RATIO</stp>
        <stp>[GMIC Info Template.xlsm]Security Analysis!R34C19</stp>
        <tr r="S34" s="13"/>
      </tp>
      <tp t="s">
        <v>#N/A Field Not Applicable</v>
        <stp/>
        <stp>##V3_BDPV12</stp>
        <stp>DFEDGBA Index</stp>
        <stp>DES NOTES</stp>
        <stp>[GMIC Info Template.xlsm]ECO Calendar!R37C21</stp>
        <tr r="U37" s="2"/>
      </tp>
      <tp t="s">
        <v>#N/A N/A</v>
        <stp/>
        <stp>##V3_BDPV12</stp>
        <stp>IMP1CHNG Index</stp>
        <stp>BN SURVEY MEDIAN</stp>
        <stp>[GMIC Info Template.xlsm]ECO Calendar!R91C8</stp>
        <tr r="H91" s="2"/>
      </tp>
      <tp t="s">
        <v>US</v>
        <stp/>
        <stp>##V3_BDPV12</stp>
        <stp>JNJ US Equity</stp>
        <stp>CNTRY OF RISK</stp>
        <stp>[GMIC Info Template.xlsm]Security Analysis!R10C8</stp>
        <tr r="H10" s="13"/>
      </tp>
      <tp t="s">
        <v>#N/A N/A</v>
        <stp/>
        <stp>##V3_BDPV12</stp>
        <stp>NYPMCURR Index</stp>
        <stp>BN SURVEY MEDIAN</stp>
        <stp>[GMIC Info Template.xlsm]ECO Calendar!R66C8</stp>
        <tr r="H66" s="2"/>
      </tp>
      <tp>
        <v>99.206299999999999</v>
        <stp/>
        <stp>##V3_BDPV12</stp>
        <stp>NFP TCH Index</stp>
        <stp>RELEVANCE VALUE</stp>
        <stp>[GMIC Info Template.xlsm]ECO Calendar!R74C5</stp>
        <tr r="E74" s="2"/>
      </tp>
      <tp t="s">
        <v>#N/A N/A</v>
        <stp/>
        <stp>##V3_BDPV12</stp>
        <stp>MWINCHNG Index</stp>
        <stp>BN SURVEY MEDIAN</stp>
        <stp>[GMIC Info Template.xlsm]ECO Calendar!R85C8</stp>
        <tr r="H85" s="2"/>
      </tp>
      <tp>
        <v>45.8</v>
        <stp/>
        <stp>##V3_BDPV12</stp>
        <stp>CHPMINDX Index</stp>
        <stp>QUOTE PRIOR MID</stp>
        <stp>[GMIC Info Template.xlsm]ECO Calendar!R59C9</stp>
        <tr r="I59" s="2"/>
      </tp>
      <tp t="s">
        <v>Prior figure is from the same month of a year earlier. This item is reported in the monthly Treasury statment of Receipts and Outlays of the US Government.  This statement summarizes the financial activities of the Federal Government and off-budget federal entities conducted in accordance with the budget of the US Government, i.e. receipts and outlays of funds, surplus or deficit, and the means of financing the deficit or disposing of the surplus.  Information is presented on a modified cash basis:  receipts are accounted for on the basis of collections; refunds of receipts are treated as deductions from gross receipts; revolving and management fund receipts; reimbursements refunds of monies previously expended are treaded as deductions from gross outlay; interest on public debt is recognized on the accrual basis.  Major sources include accounting data reported by federal entities, disbursing officers, and Federal Reserve banks.</v>
        <stp/>
        <stp>##V3_BDPV12</stp>
        <stp>FDDSSD Index</stp>
        <stp>DES NOTES</stp>
        <stp>[GMIC Info Template.xlsm]ECO Calendar!R89C21</stp>
        <tr r="U89" s="2"/>
      </tp>
      <tp>
        <v>95.238100000000003</v>
        <stp/>
        <stp>##V3_BDPV12</stp>
        <stp>CONCCONF Index</stp>
        <stp>RELEVANCE VALUE</stp>
        <stp>[GMIC Info Template.xlsm]ECO Calendar!R44C5</stp>
        <tr r="E44" s="2"/>
      </tp>
      <tp>
        <v>61285</v>
        <stp/>
        <stp>##V3_BDPV12</stp>
        <stp>ADAT US EQUITY</stp>
        <stp>PX VOLUME 1D</stp>
        <stp>[GMIC Info Template.xlsm]Most Up &amp; Down!R19C15</stp>
        <tr r="O19" s="9"/>
      </tp>
      <tp>
        <v>62.8</v>
        <stp/>
        <stp>##V3_BDPV12</stp>
        <stp>PRUSTOT Index</stp>
        <stp>QUOTE PRIOR MID</stp>
        <stp>[GMIC Info Template.xlsm]ECO Calendar!R83C9</stp>
        <tr r="I83" s="2"/>
      </tp>
      <tp>
        <v>244824</v>
        <stp/>
        <stp>##V3_BDPV12</stp>
        <stp>XBIT US EQUITY</stp>
        <stp>PX VOLUME 1D</stp>
        <stp>[GMIC Info Template.xlsm]Most Up &amp; Down!R17C15</stp>
        <tr r="O17" s="9"/>
      </tp>
      <tp>
        <v>4.4999999999999998E-2</v>
        <stp/>
        <stp>##V3_BDPV12</stp>
        <stp>AXPW US EQUITY</stp>
        <stp>PX ASK</stp>
        <stp>[GMIC Info Template.xlsm]Most Up &amp; Down!R11C11</stp>
        <tr r="K11" s="9"/>
      </tp>
      <tp>
        <v>67.777799999999999</v>
        <stp/>
        <stp>##V3_BDPV12</stp>
        <stp>GDPCPCEC Index</stp>
        <stp>RELEVANCE VALUE</stp>
        <stp>[GMIC Info Template.xlsm]ECO Calendar!R51C5</stp>
        <tr r="E51" s="2"/>
      </tp>
      <tp t="s">
        <v>Monthly</v>
        <stp/>
        <stp>##V3_BDPV12</stp>
        <stp>IP CHNG Index</stp>
        <stp>INDX FREQ</stp>
        <stp>[GMIC Info Template.xlsm]ECO Calendar!R104C15</stp>
        <tr r="O104" s="2"/>
      </tp>
      <tp t="s">
        <v>This is the sum of gross purchases by foreigners from US residents minus gross sales by foreigners to US residents. The categories are as follows: US Treasury Bonds &amp; Notes, US Gov't Agency Bonds, US Corp Bonds, US Corp Stocks, Foreign Bonds, and Foreign Stocks. This data is for long-term securites, for example US Treasury Bills are not included.                                                    History is stored independently for monthly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v>
        <stp/>
        <stp>##V3_BDPV12</stp>
        <stp>FRNTTOTL Index</stp>
        <stp>DES NOTES</stp>
        <stp>[GMIC Info Template.xlsm]ECO Calendar!R108C21</stp>
        <tr r="U108" s="2"/>
      </tp>
      <tp t="s">
        <v>Mar</v>
        <stp/>
        <stp>##V3_BDPV12</stp>
        <stp>PCE CRCH Index</stp>
        <stp>OBSERVATION PERIOD</stp>
        <stp>[GMIC Info Template.xlsm]ECO Calendar!R53C12</stp>
        <tr r="L53" s="2"/>
      </tp>
      <tp t="s">
        <v>Monthly</v>
        <stp/>
        <stp>##V3_BDPV12</stp>
        <stp>NFP TYOY Index</stp>
        <stp>INDX FREQ</stp>
        <stp>[GMIC Info Template.xlsm]ECO Calendar!R121C15</stp>
        <tr r="O121" s="2"/>
      </tp>
      <tp t="s">
        <v>Feb</v>
        <stp/>
        <stp>##V3_BDPV12</stp>
        <stp>HPIMMOM% Index</stp>
        <stp>OBSERVATION PERIOD</stp>
        <stp>[GMIC Info Template.xlsm]ECO Calendar!R21C12</stp>
        <tr r="L21" s="2"/>
      </tp>
      <tp t="s">
        <v>US Initial Jobless Claims NSA</v>
        <stp/>
        <stp>##V3_BDPV12</stp>
        <stp>INJCJCNS Index</stp>
        <stp>NAME</stp>
        <stp>[GMIC Info Template.xlsm]ECO Calendar!R117C6</stp>
        <tr r="F117" s="2"/>
      </tp>
      <tp>
        <v>9.1520038690306258</v>
        <stp/>
        <stp>##V3_BDPV12</stp>
        <stp>GE US Equity</stp>
        <stp>PE RATIO</stp>
        <stp>[GMIC Info Template.xlsm]Security Analysis!R11C19</stp>
        <tr r="S11" s="13"/>
      </tp>
      <tp>
        <v>9.8979404311778261</v>
        <stp/>
        <stp>##V3_BDPV12</stp>
        <stp>GS US Equity</stp>
        <stp>PE RATIO</stp>
        <stp>[GMIC Info Template.xlsm]Security Analysis!R31C19</stp>
        <tr r="S31" s="13"/>
      </tp>
      <tp t="s">
        <v>As per the U.S. Commerce Departments Bureau of the Census, Median Sales and Average Sales for New One-Family Houses in dollars, as well as housing units sold and units for sale at the end of period are provided at ALLX NHSL &lt;GO&gt; for US totals as well as broken down into regions Northeast, Midwest, South and West.      Data is seasonally adjusted annual rates, put out by the US Dept. of Commerce's bureau of the Census and the US Dep't of Housing and Urban Development.</v>
        <stp/>
        <stp>##V3_BDPV12</stp>
        <stp>NHSLTOT Index</stp>
        <stp>DES NOTES</stp>
        <stp>[GMIC Info Template.xlsm]ECO Calendar!R29C21</stp>
        <tr r="U29" s="2"/>
      </tp>
      <tp t="s">
        <v>#N/A N/A</v>
        <stp/>
        <stp>##V3_BDPV12</stp>
        <stp>FDIDFDMO Index</stp>
        <stp>BN SURVEY MEDIAN</stp>
        <stp>[GMIC Info Template.xlsm]ECO Calendar!R98C8</stp>
        <tr r="H98" s="2"/>
      </tp>
      <tp>
        <v>-17.399999999999999</v>
        <stp/>
        <stp>##V3_BDPV12</stp>
        <stp>DFEDGBA Index</stp>
        <stp>PX LAST</stp>
        <stp>[GMIC Info Template.xlsm]ECO Calendar!R37C7</stp>
        <tr r="G37" s="2"/>
      </tp>
      <tp t="s">
        <v>BBG000BLNNH6</v>
        <stp/>
        <stp>##V3_BDPV12</stp>
        <stp>IBM US Equity</stp>
        <stp>ID BB GLOBAL</stp>
        <stp>[GMIC Info Template.xlsm]Security Analysis!R21C4</stp>
        <tr r="D21" s="13"/>
      </tp>
      <tp>
        <v>0.91</v>
        <stp/>
        <stp>##V3_BDPV12</stp>
        <stp>SPCS20SM Index</stp>
        <stp>QUOTE PRIOR MID</stp>
        <stp>[GMIC Info Template.xlsm]ECO Calendar!R42C9</stp>
        <tr r="I42" s="2"/>
      </tp>
      <tp>
        <v>-0.38090000000000002</v>
        <stp/>
        <stp>##V3_BDPV12</stp>
        <stp>CHFUSD CURNCY</stp>
        <stp>CHG PCT 1D</stp>
        <stp>[GMIC Info Template.xlsm]Currencies &amp; Commodities!R13C7</stp>
        <tr r="G13" s="3"/>
      </tp>
      <tp>
        <v>4.0000000000000001E-3</v>
        <stp/>
        <stp>##V3_BDPV12</stp>
        <stp>CHFUSD CURNCY</stp>
        <stp>CHG NET 1D</stp>
        <stp>[GMIC Info Template.xlsm]Currencies &amp; Commodities!R13C6</stp>
        <tr r="F13" s="3"/>
      </tp>
      <tp t="s">
        <v>UMich Expected Change in Price</v>
        <stp/>
        <stp>##V3_BDPV12</stp>
        <stp>CONSPXMD Index</stp>
        <stp>NAME</stp>
        <stp>[GMIC Info Template.xlsm]ECO Calendar!R9C6</stp>
        <tr r="F9" s="2"/>
      </tp>
      <tp>
        <v>166.66</v>
        <stp/>
        <stp>##V3_BDPV12</stp>
        <stp>SPCSUSA Index</stp>
        <stp>PX LAST</stp>
        <stp>[GMIC Info Template.xlsm]ECO Calendar!R41C7</stp>
        <tr r="G41" s="2"/>
      </tp>
      <tp>
        <v>30.952400000000001</v>
        <stp/>
        <stp>##V3_BDPV12</stp>
        <stp>NFP PCH Index</stp>
        <stp>RELEVANCE VALUE</stp>
        <stp>[GMIC Info Template.xlsm]ECO Calendar!R77C5</stp>
        <tr r="E77" s="2"/>
      </tp>
      <tp t="s">
        <v>#N/A N/A</v>
        <stp/>
        <stp>##V3_BDPV12</stp>
        <stp>MWSLCHNG Index</stp>
        <stp>BN SURVEY MEDIAN</stp>
        <stp>[GMIC Info Template.xlsm]ECO Calendar!R86C8</stp>
        <tr r="H86" s="2"/>
      </tp>
      <tp>
        <v>18.430914590356323</v>
        <stp/>
        <stp>##V3_BDPV12</stp>
        <stp>UTX US Equity</stp>
        <stp>PE RATIO</stp>
        <stp>[GMIC Info Template.xlsm]Security Analysis!R28C19</stp>
        <tr r="S28" s="13"/>
      </tp>
      <tp>
        <v>2.3809499999999999</v>
        <stp/>
        <stp>##V3_BDPV12</stp>
        <stp>CONSCURR Index</stp>
        <stp>RELEVANCE VALUE</stp>
        <stp>[GMIC Info Template.xlsm]ECO Calendar!R11C5</stp>
        <tr r="E11" s="2"/>
      </tp>
      <tp>
        <v>3.1745999999999999</v>
        <stp/>
        <stp>##V3_BDPV12</stp>
        <stp>CONSEXP Index</stp>
        <stp>RELEVANCE VALUE</stp>
        <stp>[GMIC Info Template.xlsm]ECO Calendar!R10C5</stp>
        <tr r="E10" s="2"/>
      </tp>
      <tp>
        <v>95.238100000000003</v>
        <stp/>
        <stp>##V3_BDPV12</stp>
        <stp>CONCCONF Index</stp>
        <stp>RELEVANCE VALUE</stp>
        <stp>[GMIC Info Template.xlsm]ECO Calendar!R45C5</stp>
        <tr r="E45" s="2"/>
      </tp>
      <tp>
        <v>166.75</v>
        <stp/>
        <stp>##V3_BDPV12</stp>
        <stp>SPCSUSA Index</stp>
        <stp>QUOTE PRIOR MID</stp>
        <stp>[GMIC Info Template.xlsm]ECO Calendar!R41C9</stp>
        <tr r="I41" s="2"/>
      </tp>
      <tp>
        <v>0.87</v>
        <stp/>
        <stp>##V3_BDPV12</stp>
        <stp>SPCS20SM Index</stp>
        <stp>PX LAST</stp>
        <stp>[GMIC Info Template.xlsm]ECO Calendar!R42C7</stp>
        <tr r="G42" s="2"/>
      </tp>
      <tp>
        <v>-11.2</v>
        <stp/>
        <stp>##V3_BDPV12</stp>
        <stp>DFEDGBA Index</stp>
        <stp>QUOTE PRIOR MID</stp>
        <stp>[GMIC Info Template.xlsm]ECO Calendar!R37C9</stp>
        <tr r="I37" s="2"/>
      </tp>
      <tp t="s">
        <v>10:00:00 AM</v>
        <stp/>
        <stp>##V3_BDPV12</stp>
        <stp>CONSP5MD Index</stp>
        <stp>ECO RELEASE TIME</stp>
        <stp>[GMIC Info Template.xlsm]ECO Calendar!R8C18</stp>
        <tr r="R8" s="2"/>
      </tp>
      <tp t="s">
        <v>The Chicago Fed National Activity Index (CFNAI) provides useful information on the current state of economic activity and inflationary pressures in the United States.  Movements in the CFNAI closely track periods of economic expansion and contraction, as well as periods of rising and falling inflationary pressures.  The 85 economic indicators underlying the CFNAI are drawn from five broad categories of data: output and income; employment, unemployment and hours; personal consumption, housing starts and sales; manufacturing and trade sales; and inventories and orders, each of these data series measures some aspect of overall macroeconomic activity.For a list of indicators used see http://www.chicagofed.org/digital_assets/publications/cfnai/background/cfnai_indicators_list.pdf</v>
        <stp/>
        <stp>##V3_BDPV12</stp>
        <stp>CFNAI Index</stp>
        <stp>DES NOTES</stp>
        <stp>[GMIC Info Template.xlsm]ECO Calendar!R19C21</stp>
        <tr r="U19" s="2"/>
      </tp>
      <tp t="s">
        <v>US Employees on Nonfarm Payrol</v>
        <stp/>
        <stp>##V3_BDPV12</stp>
        <stp>NFP TMOM Index</stp>
        <stp>NAME</stp>
        <stp>[GMIC Info Template.xlsm]ECO Calendar!R120C6</stp>
        <tr r="F120" s="2"/>
      </tp>
      <tp t="s">
        <v>Apr</v>
        <stp/>
        <stp>##V3_BDPV12</stp>
        <stp>CHALYOY% Index</stp>
        <stp>OBSERVATION PERIOD</stp>
        <stp>[GMIC Info Template.xlsm]ECO Calendar!R72C12</stp>
        <tr r="L72" s="2"/>
      </tp>
      <tp t="s">
        <v>Apr F</v>
        <stp/>
        <stp>##V3_BDPV12</stp>
        <stp>CONSSENT Index</stp>
        <stp>OBSERVATION PERIOD</stp>
        <stp>[GMIC Info Template.xlsm]ECO Calendar!R7C12</stp>
        <tr r="L7" s="2"/>
      </tp>
      <tp t="s">
        <v>3/31/2015</v>
        <stp/>
        <stp>##V3_BDPV12</stp>
        <stp>FDIDSGUM Index</stp>
        <stp>CR OBSERVATION DATE</stp>
        <stp>[GMIC Info Template.xlsm]ECO Calendar!R102C13</stp>
        <tr r="M102" s="2"/>
      </tp>
      <tp t="s">
        <v>3/31/2015</v>
        <stp/>
        <stp>##V3_BDPV12</stp>
        <stp>FDIUSGUY Index</stp>
        <stp>CR OBSERVATION DATE</stp>
        <stp>[GMIC Info Template.xlsm]ECO Calendar!R103C13</stp>
        <tr r="M103" s="2"/>
      </tp>
      <tp t="s">
        <v>This index covers most short-term and intermediate-term credit extended to individuals, excluding loans secured by real estate.  This index is taken from the G.19 report disseminated by the Federal Reserve.  For total consumer credit outstanding type CCOSTOT &lt;Index&gt;. FAQ:In the September 10. 2012 release of the Federal Reserve reported a methodology change for the G.19 Consumer Credit Table. As such, data was revised for December 2010 forward. For more details please see the following link:&lt;http://www.federalreserve.gov/releases/g19/revisions/&gt;</v>
        <stp/>
        <stp>##V3_BDPV12</stp>
        <stp>CICRTOT Index</stp>
        <stp>DES NOTES</stp>
        <stp>[GMIC Info Template.xlsm]ECO Calendar!R73C21</stp>
        <tr r="U73" s="2"/>
      </tp>
      <tp t="s">
        <v>3/31/2015</v>
        <stp/>
        <stp>##V3_BDPV12</stp>
        <stp>FDIUSGYO Index</stp>
        <stp>CR OBSERVATION DATE</stp>
        <stp>[GMIC Info Template.xlsm]ECO Calendar!R101C13</stp>
        <tr r="M101" s="2"/>
      </tp>
      <tp t="s">
        <v>3/31/2015</v>
        <stp/>
        <stp>##V3_BDPV12</stp>
        <stp>FDIDSGMO Index</stp>
        <stp>CR OBSERVATION DATE</stp>
        <stp>[GMIC Info Template.xlsm]ECO Calendar!R100C13</stp>
        <tr r="M100" s="2"/>
      </tp>
      <tp t="s">
        <v>#N/A N/A</v>
        <stp/>
        <stp>##V3_BDPV12</stp>
        <stp>FDIUFDYO Index</stp>
        <stp>BN SURVEY MEDIAN</stp>
        <stp>[GMIC Info Template.xlsm]ECO Calendar!R99C8</stp>
        <tr r="H99" s="2"/>
      </tp>
      <tp t="s">
        <v>BBG000DMBXR2</v>
        <stp/>
        <stp>##V3_BDPV12</stp>
        <stp>JPM US Equity</stp>
        <stp>ID BB GLOBAL</stp>
        <stp>[GMIC Info Template.xlsm]Security Analysis!R13C4</stp>
        <tr r="D13" s="13"/>
      </tp>
      <tp t="s">
        <v>UMich Expected Change in Price</v>
        <stp/>
        <stp>##V3_BDPV12</stp>
        <stp>CONSP5MD Index</stp>
        <stp>NAME</stp>
        <stp>[GMIC Info Template.xlsm]ECO Calendar!R8C6</stp>
        <tr r="F8" s="2"/>
      </tp>
      <tp t="s">
        <v>10:00:00 AM</v>
        <stp/>
        <stp>##V3_BDPV12</stp>
        <stp>CONSPXMD Index</stp>
        <stp>ECO RELEASE TIME</stp>
        <stp>[GMIC Info Template.xlsm]ECO Calendar!R9C18</stp>
        <tr r="R9" s="2"/>
      </tp>
      <tp>
        <v>62.7</v>
        <stp/>
        <stp>##V3_BDPV12</stp>
        <stp>PRUSTOT Index</stp>
        <stp>PX LAST</stp>
        <stp>[GMIC Info Template.xlsm]ECO Calendar!R83C7</stp>
        <tr r="G83" s="2"/>
      </tp>
      <tp t="s">
        <v>#N/A N/A</v>
        <stp/>
        <stp>##V3_BDPV12</stp>
        <stp>MTIBCHNG Index</stp>
        <stp>BN SURVEY MEDIAN</stp>
        <stp>[GMIC Info Template.xlsm]ECO Calendar!R97C8</stp>
        <tr r="H97" s="2"/>
      </tp>
      <tp>
        <v>46.3</v>
        <stp/>
        <stp>##V3_BDPV12</stp>
        <stp>CHPMINDX Index</stp>
        <stp>PX LAST</stp>
        <stp>[GMIC Info Template.xlsm]ECO Calendar!R59C7</stp>
        <tr r="G59" s="2"/>
      </tp>
      <tp t="s">
        <v>#N/A N/A</v>
        <stp/>
        <stp>##V3_BDPV12</stp>
        <stp>MTIBCHNG Index</stp>
        <stp>QUOTE PRIOR MID</stp>
        <stp>[GMIC Info Template.xlsm]ECO Calendar!R97C9</stp>
        <tr r="I97" s="2"/>
      </tp>
      <tp>
        <v>28.157143729073656</v>
        <stp/>
        <stp>##V3_BDPV12</stp>
        <stp>NKE US Equity</stp>
        <stp>PE RATIO</stp>
        <stp>[GMIC Info Template.xlsm]Security Analysis!R32C19</stp>
        <tr r="S32" s="13"/>
      </tp>
      <tp>
        <v>4.82</v>
        <stp/>
        <stp>##V3_BDPV12</stp>
        <stp>ETSLTOTL Index</stp>
        <stp>QUOTE PRIOR MID</stp>
        <stp>[GMIC Info Template.xlsm]ECO Calendar!R22C9</stp>
        <tr r="I22" s="2"/>
      </tp>
      <tp t="s">
        <v>Conference Board Consumer Conf</v>
        <stp/>
        <stp>##V3_BDPV12</stp>
        <stp>CONCCYOY Index</stp>
        <stp>NAME</stp>
        <stp>[GMIC Info Template.xlsm]ECO Calendar!R122C6</stp>
        <tr r="F122" s="2"/>
      </tp>
      <tp t="s">
        <v>Apr</v>
        <stp/>
        <stp>##V3_BDPV12</stp>
        <stp>IMP1CHNG Index</stp>
        <stp>OBSERVATION PERIOD</stp>
        <stp>[GMIC Info Template.xlsm]ECO Calendar!R91C12</stp>
        <tr r="L91" s="2"/>
      </tp>
      <tp t="s">
        <v>3/31/2015</v>
        <stp/>
        <stp>##V3_BDPV12</stp>
        <stp>NHSPSTOT Index</stp>
        <stp>CR OBSERVATION DATE</stp>
        <stp>[GMIC Info Template.xlsm]ECO Calendar!R111C13</stp>
        <tr r="M111" s="2"/>
      </tp>
      <tp t="s">
        <v>3/31/2015</v>
        <stp/>
        <stp>##V3_BDPV12</stp>
        <stp>NHSPATOT Index</stp>
        <stp>CR OBSERVATION DATE</stp>
        <stp>[GMIC Info Template.xlsm]ECO Calendar!R112C13</stp>
        <tr r="M112" s="2"/>
      </tp>
      <tp t="s">
        <v>2/28/2015</v>
        <stp/>
        <stp>##V3_BDPV12</stp>
        <stp>FRNTTNET Index</stp>
        <stp>CR OBSERVATION DATE</stp>
        <stp>[GMIC Info Template.xlsm]ECO Calendar!R109C13</stp>
        <tr r="M109" s="2"/>
      </tp>
      <tp t="s">
        <v>Feb</v>
        <stp/>
        <stp>##V3_BDPV12</stp>
        <stp>SPCS20Y% Index</stp>
        <stp>OBSERVATION PERIOD</stp>
        <stp>[GMIC Info Template.xlsm]ECO Calendar!R39C12</stp>
        <tr r="L39" s="2"/>
      </tp>
      <tp t="s">
        <v>3/31/2015</v>
        <stp/>
        <stp>##V3_BDPV12</stp>
        <stp>NHCHSTCH Index</stp>
        <stp>CR OBSERVATION DATE</stp>
        <stp>[GMIC Info Template.xlsm]ECO Calendar!R113C13</stp>
        <tr r="M113" s="2"/>
      </tp>
      <tp t="s">
        <v>3/31/2015</v>
        <stp/>
        <stp>##V3_BDPV12</stp>
        <stp>NHCHATCH Index</stp>
        <stp>CR OBSERVATION DATE</stp>
        <stp>[GMIC Info Template.xlsm]ECO Calendar!R114C13</stp>
        <tr r="M114" s="2"/>
      </tp>
      <tp t="s">
        <v>#N/A N/A</v>
        <stp/>
        <stp>##V3_BDPV12</stp>
        <stp>JOLTTOTL Index</stp>
        <stp>BN SURVEY MEDIAN</stp>
        <stp>[GMIC Info Template.xlsm]ECO Calendar!R88C8</stp>
        <tr r="H88" s="2"/>
      </tp>
      <tp>
        <v>13.35</v>
        <stp/>
        <stp>##V3_BDPV12</stp>
        <stp>SAARDTOT Index</stp>
        <stp>PX LAST</stp>
        <stp>[GMIC Info Template.xlsm]ECO Calendar!R65C7</stp>
        <tr r="G65" s="2"/>
      </tp>
      <tp t="s">
        <v>US</v>
        <stp/>
        <stp>##V3_BDPV12</stp>
        <stp>JPM US Equity</stp>
        <stp>CNTRY OF RISK</stp>
        <stp>[GMIC Info Template.xlsm]Security Analysis!R13C8</stp>
        <tr r="H13" s="13"/>
      </tp>
      <tp t="s">
        <v>BBG000BR2TH3</v>
        <stp/>
        <stp>##V3_BDPV12</stp>
        <stp>PG US Equity</stp>
        <stp>ID BB GLOBAL</stp>
        <stp>[GMIC Info Template.xlsm]Security Analysis!R14C4</stp>
        <tr r="D14" s="13"/>
      </tp>
      <tp t="s">
        <v>#N/A N/A</v>
        <stp/>
        <stp>##V3_BDPV12</stp>
        <stp>GDPCPCEC Index</stp>
        <stp>BN SURVEY MEDIAN</stp>
        <stp>[GMIC Info Template.xlsm]ECO Calendar!R51C8</stp>
        <tr r="H51" s="2"/>
      </tp>
      <tp>
        <v>510</v>
        <stp/>
        <stp>##V3_BDPV12</stp>
        <stp>NHSLTOT Index</stp>
        <stp>BN SURVEY MEDIAN</stp>
        <stp>[GMIC Info Template.xlsm]ECO Calendar!R29C8</stp>
        <tr r="H29" s="2"/>
      </tp>
      <tp>
        <v>1.24</v>
        <stp/>
        <stp>##V3_BDPV12</stp>
        <stp>ETSLMOM Index</stp>
        <stp>PX LAST</stp>
        <stp>[GMIC Info Template.xlsm]ECO Calendar!R23C7</stp>
        <tr r="G23" s="2"/>
      </tp>
      <tp>
        <v>-1</v>
        <stp/>
        <stp>##V3_BDPV12</stp>
        <stp>USMMMNCH Index</stp>
        <stp>PX LAST</stp>
        <stp>[GMIC Info Template.xlsm]ECO Calendar!R76C7</stp>
        <tr r="G76" s="2"/>
      </tp>
      <tp t="s">
        <v>University of Michigan Consume</v>
        <stp/>
        <stp>##V3_BDPV12</stp>
        <stp>CONSSENT Index</stp>
        <stp>NAME</stp>
        <stp>[GMIC Info Template.xlsm]ECO Calendar!R7C6</stp>
        <tr r="F7" s="2"/>
      </tp>
      <tp>
        <v>0.56999999999999995</v>
        <stp/>
        <stp>##V3_BDPV12</stp>
        <stp>SPCSUSQS Index</stp>
        <stp>PX LAST</stp>
        <stp>[GMIC Info Template.xlsm]ECO Calendar!R43C7</stp>
        <tr r="G43" s="2"/>
      </tp>
      <tp t="s">
        <v>BBG000BH13K9</v>
        <stp/>
        <stp>##V3_BDPV12</stp>
        <stp>DD US Equity</stp>
        <stp>ID BB GLOBAL</stp>
        <stp>[GMIC Info Template.xlsm]Security Analysis!R34C4</stp>
        <tr r="D34" s="13"/>
      </tp>
      <tp>
        <v>3.09</v>
        <stp/>
        <stp>##V3_BDPV12</stp>
        <stp>USPHTMOM Index</stp>
        <stp>PX LAST</stp>
        <stp>[GMIC Info Template.xlsm]ECO Calendar!R46C7</stp>
        <tr r="G46" s="2"/>
      </tp>
      <tp>
        <v>0.2</v>
        <stp/>
        <stp>##V3_BDPV12</stp>
        <stp>FDIDFDMO Index</stp>
        <stp>PX LAST</stp>
        <stp>[GMIC Info Template.xlsm]ECO Calendar!R98C7</stp>
        <tr r="G98" s="2"/>
      </tp>
      <tp>
        <v>1.4</v>
        <stp/>
        <stp>##V3_BDPV12</stp>
        <stp>PCE CYOY Index</stp>
        <stp>BN SURVEY MEDIAN</stp>
        <stp>[GMIC Info Template.xlsm]ECO Calendar!R55C8</stp>
        <tr r="H55" s="2"/>
      </tp>
      <tp t="s">
        <v>BBG000BKZB36</v>
        <stp/>
        <stp>##V3_BDPV12</stp>
        <stp>HD US Equity</stp>
        <stp>ID BB GLOBAL</stp>
        <stp>[GMIC Info Template.xlsm]Security Analysis!R24C4</stp>
        <tr r="D24" s="13"/>
      </tp>
      <tp>
        <v>264</v>
        <stp/>
        <stp>##V3_BDPV12</stp>
        <stp>NFP TCH Index</stp>
        <stp>QUOTE PRIOR MID</stp>
        <stp>[GMIC Info Template.xlsm]ECO Calendar!R74C9</stp>
        <tr r="I74" s="2"/>
      </tp>
      <tp>
        <v>126</v>
        <stp/>
        <stp>##V3_BDPV12</stp>
        <stp>NFP TCH Index</stp>
        <stp>PX LAST</stp>
        <stp>[GMIC Info Template.xlsm]ECO Calendar!R74C7</stp>
        <tr r="G74" s="2"/>
      </tp>
      <tp>
        <v>0.71</v>
        <stp/>
        <stp>##V3_BDPV12</stp>
        <stp>SPCSUSQS Index</stp>
        <stp>QUOTE PRIOR MID</stp>
        <stp>[GMIC Info Template.xlsm]ECO Calendar!R43C9</stp>
        <tr r="I43" s="2"/>
      </tp>
      <tp>
        <v>463869</v>
        <stp/>
        <stp>##V3_BDPV12</stp>
        <stp>GNMK US EQUITY</stp>
        <stp>PX VOLUME 1D</stp>
        <stp>[GMIC Info Template.xlsm]Most Up &amp; Down!R26C15</stp>
        <tr r="O26" s="9"/>
      </tp>
      <tp>
        <v>1.2</v>
        <stp/>
        <stp>##V3_BDPV12</stp>
        <stp>USPHTMOM Index</stp>
        <stp>QUOTE PRIOR MID</stp>
        <stp>[GMIC Info Template.xlsm]ECO Calendar!R46C9</stp>
        <tr r="I46" s="2"/>
      </tp>
      <tp>
        <v>-0.5</v>
        <stp/>
        <stp>##V3_BDPV12</stp>
        <stp>FDIDFDMO Index</stp>
        <stp>QUOTE PRIOR MID</stp>
        <stp>[GMIC Info Template.xlsm]ECO Calendar!R98C9</stp>
        <tr r="I98" s="2"/>
      </tp>
      <tp>
        <v>-4.9000000000000004</v>
        <stp/>
        <stp>##V3_BDPV12</stp>
        <stp>ETSLMOM Index</stp>
        <stp>QUOTE PRIOR MID</stp>
        <stp>[GMIC Info Template.xlsm]ECO Calendar!R23C9</stp>
        <tr r="I23" s="2"/>
      </tp>
      <tp>
        <v>2</v>
        <stp/>
        <stp>##V3_BDPV12</stp>
        <stp>USMMMNCH Index</stp>
        <stp>QUOTE PRIOR MID</stp>
        <stp>[GMIC Info Template.xlsm]ECO Calendar!R76C9</stp>
        <tr r="I76" s="2"/>
      </tp>
      <tp>
        <v>12.87</v>
        <stp/>
        <stp>##V3_BDPV12</stp>
        <stp>SAARDTOT Index</stp>
        <stp>QUOTE PRIOR MID</stp>
        <stp>[GMIC Info Template.xlsm]ECO Calendar!R65C9</stp>
        <tr r="I65" s="2"/>
      </tp>
      <tp t="s">
        <v>US Foreign Net Transactions</v>
        <stp/>
        <stp>##V3_BDPV12</stp>
        <stp>FRNTTOTL Index</stp>
        <stp>NAME</stp>
        <stp>[GMIC Info Template.xlsm]ECO Calendar!R108C6</stp>
        <tr r="F108" s="2"/>
      </tp>
      <tp t="s">
        <v>US Treasury International Capi</v>
        <stp/>
        <stp>##V3_BDPV12</stp>
        <stp>FRNTTNET Index</stp>
        <stp>NAME</stp>
        <stp>[GMIC Info Template.xlsm]ECO Calendar!R109C6</stp>
        <tr r="F109" s="2"/>
      </tp>
      <tp t="s">
        <v>US</v>
        <stp/>
        <stp>##V3_BDPV12</stp>
        <stp>DD US Equity</stp>
        <stp>CNTRY OF RISK</stp>
        <stp>[GMIC Info Template.xlsm]Security Analysis!R34C8</stp>
        <tr r="H34" s="13"/>
      </tp>
      <tp t="s">
        <v>2/28/2015</v>
        <stp/>
        <stp>##V3_BDPV12</stp>
        <stp>FRNTTOTL Index</stp>
        <stp>CR OBSERVATION DATE</stp>
        <stp>[GMIC Info Template.xlsm]ECO Calendar!R108C13</stp>
        <tr r="M108" s="2"/>
      </tp>
      <tp t="s">
        <v>1/31/2018</v>
        <stp/>
        <stp>##V3_BDPV12</stp>
        <stp>SAARDTOT Index</stp>
        <stp>CR OBSERVATION DATE</stp>
        <stp>[GMIC Info Template.xlsm]ECO Calendar!R65C13</stp>
        <tr r="M65" s="2"/>
      </tp>
      <tp t="s">
        <v>3/31/2015</v>
        <stp/>
        <stp>##V3_BDPV12</stp>
        <stp>DFEDGBA Index</stp>
        <stp>CR OBSERVATION DATE</stp>
        <stp>[GMIC Info Template.xlsm]ECO Calendar!R37C13</stp>
        <tr r="M37" s="2"/>
      </tp>
      <tp t="s">
        <v>12/31/2014</v>
        <stp/>
        <stp>##V3_BDPV12</stp>
        <stp>GDP PIQQ Index</stp>
        <stp>CR OBSERVATION DATE</stp>
        <stp>[GMIC Info Template.xlsm]ECO Calendar!R49C13</stp>
        <tr r="M49" s="2"/>
      </tp>
      <tp t="s">
        <v>12/31/2014</v>
        <stp/>
        <stp>##V3_BDPV12</stp>
        <stp>GDPCPCEC Index</stp>
        <stp>CR OBSERVATION DATE</stp>
        <stp>[GMIC Info Template.xlsm]ECO Calendar!R51C13</stp>
        <tr r="M51" s="2"/>
      </tp>
      <tp t="s">
        <v>2/28/2015</v>
        <stp/>
        <stp>##V3_BDPV12</stp>
        <stp>TMNOCHNG Index</stp>
        <stp>CR OBSERVATION DATE</stp>
        <stp>[GMIC Info Template.xlsm]ECO Calendar!R67C13</stp>
        <tr r="M67" s="2"/>
      </tp>
      <tp t="s">
        <v>2/28/2015</v>
        <stp/>
        <stp>##V3_BDPV12</stp>
        <stp>CNSTTMOM Index</stp>
        <stp>CR OBSERVATION DATE</stp>
        <stp>[GMIC Info Template.xlsm]ECO Calendar!R62C13</stp>
        <tr r="M62" s="2"/>
      </tp>
      <tp>
        <v>4.88</v>
        <stp/>
        <stp>##V3_BDPV12</stp>
        <stp>ETSLTOTL Index</stp>
        <stp>PX LAST</stp>
        <stp>[GMIC Info Template.xlsm]ECO Calendar!R22C7</stp>
        <tr r="G22" s="2"/>
      </tp>
      <tp t="s">
        <v>US</v>
        <stp/>
        <stp>##V3_BDPV12</stp>
        <stp>MRK US Equity</stp>
        <stp>CNTRY OF RISK</stp>
        <stp>[GMIC Info Template.xlsm]Security Analysis!R20C8</stp>
        <tr r="H20" s="13"/>
      </tp>
      <tp>
        <v>0.1</v>
        <stp/>
        <stp>##V3_BDPV12</stp>
        <stp>PCE CMOM Index</stp>
        <stp>BN SURVEY MEDIAN</stp>
        <stp>[GMIC Info Template.xlsm]ECO Calendar!R54C8</stp>
        <tr r="H54" s="2"/>
      </tp>
      <tp t="s">
        <v>#N/A N/A</v>
        <stp/>
        <stp>##V3_BDPV12</stp>
        <stp>NAPMNMI Index</stp>
        <stp>BN SURVEY MEDIAN</stp>
        <stp>[GMIC Info Template.xlsm]ECO Calendar!R69C8</stp>
        <tr r="H69" s="2"/>
      </tp>
      <tp>
        <v>0.3</v>
        <stp/>
        <stp>##V3_BDPV12</stp>
        <stp>MTIBCHNG Index</stp>
        <stp>PX LAST</stp>
        <stp>[GMIC Info Template.xlsm]ECO Calendar!R97C7</stp>
        <tr r="G97" s="2"/>
      </tp>
      <tp>
        <v>129</v>
        <stp/>
        <stp>##V3_BDPV12</stp>
        <stp>NFP PCH Index</stp>
        <stp>PX LAST</stp>
        <stp>[GMIC Info Template.xlsm]ECO Calendar!R77C7</stp>
        <tr r="G77" s="2"/>
      </tp>
      <tp>
        <v>0.26</v>
        <stp/>
        <stp>##V3_BDPV12</stp>
        <stp>ADAT US EQUITY</stp>
        <stp>PX ASK</stp>
        <stp>[GMIC Info Template.xlsm]Most Up &amp; Down!R19C11</stp>
        <tr r="K19" s="9"/>
      </tp>
      <tp>
        <v>33.333300000000001</v>
        <stp/>
        <stp>##V3_BDPV12</stp>
        <stp>SPCSUSA Index</stp>
        <stp>RELEVANCE VALUE</stp>
        <stp>[GMIC Info Template.xlsm]ECO Calendar!R41C5</stp>
        <tr r="E41" s="2"/>
      </tp>
      <tp>
        <v>98.8</v>
        <stp/>
        <stp>##V3_BDPV12</stp>
        <stp>CONCCONF Index</stp>
        <stp>QUOTE PRIOR MID</stp>
        <stp>[GMIC Info Template.xlsm]ECO Calendar!R45C9</stp>
        <tr r="I45" s="2"/>
      </tp>
      <tp>
        <v>105</v>
        <stp/>
        <stp>##V3_BDPV12</stp>
        <stp>CONSCURR Index</stp>
        <stp>QUOTE PRIOR MID</stp>
        <stp>[GMIC Info Template.xlsm]ECO Calendar!R11C9</stp>
        <tr r="I11" s="2"/>
      </tp>
      <tp>
        <v>85.3</v>
        <stp/>
        <stp>##V3_BDPV12</stp>
        <stp>CONSEXP Index</stp>
        <stp>QUOTE PRIOR MID</stp>
        <stp>[GMIC Info Template.xlsm]ECO Calendar!R10C9</stp>
        <tr r="I10" s="2"/>
      </tp>
      <tp>
        <v>23.459323930270301</v>
        <stp/>
        <stp>##V3_BDPV12</stp>
        <stp>DIS US Equity</stp>
        <stp>PE RATIO</stp>
        <stp>[GMIC Info Template.xlsm]Security Analysis!R18C19</stp>
        <tr r="S18" s="13"/>
      </tp>
      <tp>
        <v>65.079400000000007</v>
        <stp/>
        <stp>##V3_BDPV12</stp>
        <stp>DFEDGBA Index</stp>
        <stp>RELEVANCE VALUE</stp>
        <stp>[GMIC Info Template.xlsm]ECO Calendar!R37C5</stp>
        <tr r="E37" s="2"/>
      </tp>
      <tp t="s">
        <v>US Employees on Nonfarm Payrol</v>
        <stp/>
        <stp>##V3_BDPV12</stp>
        <stp>NFP TYCH Index</stp>
        <stp>NAME</stp>
        <stp>[GMIC Info Template.xlsm]ECO Calendar!R119C6</stp>
        <tr r="F119" s="2"/>
      </tp>
      <tp t="s">
        <v>As per the U.S. Commerce Department's Bureau of the Census, Private Residential Real Estate Activity in Thousands of Units. Seasonally Adjusted Annual rates.ALLX NHSP &lt;GO&gt; provides these totals broken into regions Northeast, Midwest, South and West.                                                                                                This index tracks New Privately Owned Housing Units Started.  It includes total 1 unit, 2 unit, 3 &amp; 4 units, 5 or more units.</v>
        <stp/>
        <stp>##V3_BDPV12</stp>
        <stp>NHSPSTOT Index</stp>
        <stp>DES NOTES</stp>
        <stp>[GMIC Info Template.xlsm]ECO Calendar!R111C21</stp>
        <tr r="U111" s="2"/>
      </tp>
      <tp t="s">
        <v>As per the U.S. Commerce Department's Bureau of the Census, Private Residential Real Estate Activity in Thousands of Units. Seasonally Adjusted Annual rates.ALLX NHSP &lt;GO&gt; provides these totals broken into regions Northeast, Midwest, South and West.                                                                       Ç</v>
        <stp/>
        <stp>##V3_BDPV12</stp>
        <stp>NHSPATOT Index</stp>
        <stp>DES NOTES</stp>
        <stp>[GMIC Info Template.xlsm]ECO Calendar!R112C21</stp>
        <tr r="U112" s="2"/>
      </tp>
      <tp t="s">
        <v>Total includes single-family homes, townhomes, condominiums and co-ops, sales are based on closings. Foreclosed homes are only counted in the inventory if the bank is working with a realtor. Foreclosed homes that sell via auction are not included. This index shows the monthly supply.</v>
        <stp/>
        <stp>##V3_BDPV12</stp>
        <stp>ETSLMOM Index</stp>
        <stp>DES NOTES</stp>
        <stp>[GMIC Info Template.xlsm]ECO Calendar!R23C21</stp>
        <tr r="U23" s="2"/>
      </tp>
      <tp t="s">
        <v>2/28/2015</v>
        <stp/>
        <stp>##V3_BDPV12</stp>
        <stp>PCE DEFY Index</stp>
        <stp>CR OBSERVATION DATE</stp>
        <stp>[GMIC Info Template.xlsm]ECO Calendar!R56C13</stp>
        <tr r="M56" s="2"/>
      </tp>
      <tp t="s">
        <v>2/28/2015</v>
        <stp/>
        <stp>##V3_BDPV12</stp>
        <stp>PCE DEFM Index</stp>
        <stp>CR OBSERVATION DATE</stp>
        <stp>[GMIC Info Template.xlsm]ECO Calendar!R57C13</stp>
        <tr r="M57" s="2"/>
      </tp>
      <tp>
        <v>1.1000000000000001</v>
        <stp/>
        <stp>##V3_BDPV12</stp>
        <stp>GDPCPCEC Index</stp>
        <stp>PX LAST</stp>
        <stp>[GMIC Info Template.xlsm]ECO Calendar!R51C7</stp>
        <tr r="G51" s="2"/>
      </tp>
      <tp>
        <v>4.4999999999999997E-3</v>
        <stp/>
        <stp>##V3_BDPV12</stp>
        <stp>EURUSD CURNCY</stp>
        <stp>CHG NET 1D</stp>
        <stp>[GMIC Info Template.xlsm]Currencies &amp; Commodities!R12C6</stp>
        <tr r="F12" s="3"/>
      </tp>
      <tp t="s">
        <v>SPPR    UQ</v>
        <stp/>
        <stp>##V3_BDSV12</stp>
        <stp>CCMP Index</stp>
        <stp>INDX_MOST_UP</stp>
        <stp>[GMIC Info Template.xlsm]Most Up &amp; Down!R10C2</stp>
        <stp>cols=6;rows=10</stp>
        <tr r="B10" s="9"/>
      </tp>
      <tp t="s">
        <v>None</v>
        <stp/>
        <stp>##V3_BDPV12</stp>
        <stp>SPCS20 Index</stp>
        <stp>SCALING FORMAT</stp>
        <stp>[GMIC Info Template.xlsm]ECO Calendar!R38C10</stp>
        <tr r="J38" s="2"/>
      </tp>
      <tp>
        <v>101.3</v>
        <stp/>
        <stp>##V3_BDPV12</stp>
        <stp>CONCCONF Index</stp>
        <stp>PX LAST</stp>
        <stp>[GMIC Info Template.xlsm]ECO Calendar!R44C7</stp>
        <tr r="G44" s="2"/>
      </tp>
      <tp>
        <v>0.41820000000000002</v>
        <stp/>
        <stp>##V3_BDPV12</stp>
        <stp>EURUSD CURNCY</stp>
        <stp>CHG PCT 1D</stp>
        <stp>[GMIC Info Template.xlsm]Currencies &amp; Commodities!R12C7</stp>
        <tr r="G12" s="3"/>
      </tp>
      <tp>
        <v>81.745999999999995</v>
        <stp/>
        <stp>##V3_BDPV12</stp>
        <stp>CHPMINDX Index</stp>
        <stp>RELEVANCE VALUE</stp>
        <stp>[GMIC Info Template.xlsm]ECO Calendar!R59C5</stp>
        <tr r="E59" s="2"/>
      </tp>
      <tp>
        <v>11.1111</v>
        <stp/>
        <stp>##V3_BDPV12</stp>
        <stp>PRUSTOT Index</stp>
        <stp>RELEVANCE VALUE</stp>
        <stp>[GMIC Info Template.xlsm]ECO Calendar!R83C5</stp>
        <tr r="E83" s="2"/>
      </tp>
      <tp>
        <v>98.8</v>
        <stp/>
        <stp>##V3_BDPV12</stp>
        <stp>CONCCONF Index</stp>
        <stp>QUOTE PRIOR MID</stp>
        <stp>[GMIC Info Template.xlsm]ECO Calendar!R44C9</stp>
        <tr r="I44" s="2"/>
      </tp>
      <tp>
        <v>1.4</v>
        <stp/>
        <stp>##V3_BDPV12</stp>
        <stp>GDPCPCEC Index</stp>
        <stp>QUOTE PRIOR MID</stp>
        <stp>[GMIC Info Template.xlsm]ECO Calendar!R51C9</stp>
        <tr r="I51" s="2"/>
      </tp>
      <tp>
        <v>2.1076359999999998</v>
        <stp/>
        <stp>##V3_BDPV12</stp>
        <stp>MSFT US Equity</stp>
        <stp>SHORT INT RATIO</stp>
        <stp>[GMIC Info Template.xlsm]Security Analysis!R9C11</stp>
        <tr r="K9" s="13"/>
      </tp>
      <tp t="s">
        <v>US</v>
        <stp/>
        <stp>##V3_BDPV12</stp>
        <stp>KO US Equity</stp>
        <stp>CNTRY OF RISK</stp>
        <stp>[GMIC Info Template.xlsm]Security Analysis!R19C8</stp>
        <tr r="H19" s="13"/>
      </tp>
      <tp t="s">
        <v>3/31/2015</v>
        <stp/>
        <stp>##V3_BDPV12</stp>
        <stp>NFP TYOY Index</stp>
        <stp>CR OBSERVATION DATE</stp>
        <stp>[GMIC Info Template.xlsm]ECO Calendar!R121C13</stp>
        <tr r="M121" s="2"/>
      </tp>
      <tp t="s">
        <v>3/31/2015</v>
        <stp/>
        <stp>##V3_BDPV12</stp>
        <stp>AWH TOTL Index</stp>
        <stp>CR OBSERVATION DATE</stp>
        <stp>[GMIC Info Template.xlsm]ECO Calendar!R80C13</stp>
        <tr r="M80" s="2"/>
      </tp>
      <tp t="s">
        <v>3/31/2015</v>
        <stp/>
        <stp>##V3_BDPV12</stp>
        <stp>NFP TYCH Index</stp>
        <stp>CR OBSERVATION DATE</stp>
        <stp>[GMIC Info Template.xlsm]ECO Calendar!R119C13</stp>
        <tr r="M119" s="2"/>
      </tp>
      <tp>
        <v>0.5</v>
        <stp/>
        <stp>##V3_BDPV12</stp>
        <stp>CNSTTMOM Index</stp>
        <stp>BN SURVEY MEDIAN</stp>
        <stp>[GMIC Info Template.xlsm]ECO Calendar!R62C8</stp>
        <tr r="H62" s="2"/>
      </tp>
      <tp t="s">
        <v>BBG000HS77T5</v>
        <stp/>
        <stp>##V3_BDPV12</stp>
        <stp>VZ US Equity</stp>
        <stp>ID BB GLOBAL</stp>
        <stp>[GMIC Info Template.xlsm]Security Analysis!R17C4</stp>
        <tr r="D17" s="13"/>
      </tp>
      <tp>
        <v>7.5278390000000002</v>
        <stp/>
        <stp>##V3_BDPV12</stp>
        <stp>XOM US Equity</stp>
        <stp>TRAIL 12M EPS</stp>
        <stp>[GMIC Info Template.xlsm]Security Analysis!R8C14</stp>
        <tr r="N8" s="13"/>
      </tp>
      <tp t="s">
        <v>BBG000BR2B91</v>
        <stp/>
        <stp>##V3_BDPV12</stp>
        <stp>PFE US Equity</stp>
        <stp>ID BB GLOBAL</stp>
        <stp>[GMIC Info Template.xlsm]Security Analysis!R15C4</stp>
        <tr r="D15" s="13"/>
      </tp>
      <tp>
        <v>29.365100000000002</v>
        <stp/>
        <stp>##V3_BDPV12</stp>
        <stp>SPCS20SM Index</stp>
        <stp>RELEVANCE VALUE</stp>
        <stp>[GMIC Info Template.xlsm]ECO Calendar!R42C5</stp>
        <tr r="E42" s="2"/>
      </tp>
      <tp t="s">
        <v>BBG000BWXBC2</v>
        <stp/>
        <stp>##V3_BDPV12</stp>
        <stp>WMT US Equity</stp>
        <stp>ID BB GLOBAL</stp>
        <stp>[GMIC Info Template.xlsm]Security Analysis!R12C4</stp>
        <tr r="D12" s="13"/>
      </tp>
      <tp t="s">
        <v>BBG000BCSST7</v>
        <stp/>
        <stp>##V3_BDPV12</stp>
        <stp>BA US Equity</stp>
        <stp>ID BB GLOBAL</stp>
        <stp>[GMIC Info Template.xlsm]Security Analysis!R27C4</stp>
        <tr r="D27" s="13"/>
      </tp>
      <tp t="s">
        <v>US</v>
        <stp/>
        <stp>##V3_BDPV12</stp>
        <stp>CVX US Equity</stp>
        <stp>CNTRY OF RISK</stp>
        <stp>[GMIC Info Template.xlsm]Security Analysis!R16C8</stp>
        <tr r="H16" s="13"/>
      </tp>
      <tp>
        <v>108.2</v>
        <stp/>
        <stp>##V3_BDPV12</stp>
        <stp>CONSCURR Index</stp>
        <stp>PX LAST</stp>
        <stp>[GMIC Info Template.xlsm]ECO Calendar!R11C7</stp>
        <tr r="G11" s="2"/>
      </tp>
      <tp>
        <v>88</v>
        <stp/>
        <stp>##V3_BDPV12</stp>
        <stp>CONSEXP Index</stp>
        <stp>PX LAST</stp>
        <stp>[GMIC Info Template.xlsm]ECO Calendar!R10C7</stp>
        <tr r="G10" s="2"/>
      </tp>
      <tp>
        <v>101.3</v>
        <stp/>
        <stp>##V3_BDPV12</stp>
        <stp>CONCCONF Index</stp>
        <stp>PX LAST</stp>
        <stp>[GMIC Info Template.xlsm]ECO Calendar!R45C7</stp>
        <tr r="G45" s="2"/>
      </tp>
      <tp t="s">
        <v>#N/A N/A</v>
        <stp/>
        <stp>##V3_BDPV12</stp>
        <stp>AWH TOTL Index</stp>
        <stp>BN SURVEY MEDIAN</stp>
        <stp>[GMIC Info Template.xlsm]ECO Calendar!R80C8</stp>
        <tr r="H80" s="2"/>
      </tp>
      <tp t="s">
        <v>US Industrial Production MoM 2</v>
        <stp/>
        <stp>##V3_BDPV12</stp>
        <stp>IP CHNG Index</stp>
        <stp>NAME</stp>
        <stp>[GMIC Info Template.xlsm]ECO Calendar!R104C6</stp>
        <tr r="F104" s="2"/>
      </tp>
      <tp>
        <v>264</v>
        <stp/>
        <stp>##V3_BDPV12</stp>
        <stp>NFP PCH Index</stp>
        <stp>QUOTE PRIOR MID</stp>
        <stp>[GMIC Info Template.xlsm]ECO Calendar!R77C9</stp>
        <tr r="I77" s="2"/>
      </tp>
      <tp>
        <v>9129</v>
        <stp/>
        <stp>##V3_BDPV12</stp>
        <stp>IPDN US EQUITY</stp>
        <stp>PX VOLUME 1D</stp>
        <stp>[GMIC Info Template.xlsm]Most Up &amp; Down!R23C15</stp>
        <tr r="O23" s="9"/>
      </tp>
      <tp>
        <v>26.35</v>
        <stp/>
        <stp>##V3_BDPV12</stp>
        <stp>XBIT US EQUITY</stp>
        <stp>PX ASK</stp>
        <stp>[GMIC Info Template.xlsm]Most Up &amp; Down!R17C11</stp>
        <tr r="K17" s="9"/>
      </tp>
      <tp>
        <v>0.96</v>
        <stp/>
        <stp>##V3_BDPV12</stp>
        <stp>PBIB US EQUITY</stp>
        <stp>PX ASK</stp>
        <stp>[GMIC Info Template.xlsm]Most Up &amp; Down!R28C11</stp>
        <tr r="K28" s="9"/>
      </tp>
      <tp>
        <v>52.9</v>
        <stp/>
        <stp>##V3_BDPV12</stp>
        <stp>NAPMPMI Index</stp>
        <stp>QUOTE PRIOR MID</stp>
        <stp>[GMIC Info Template.xlsm]ECO Calendar!R61C9</stp>
        <tr r="I61" s="2"/>
      </tp>
      <tp>
        <v>80.158699999999996</v>
        <stp/>
        <stp>##V3_BDPV12</stp>
        <stp>CNSTTMOM Index</stp>
        <stp>RELEVANCE VALUE</stp>
        <stp>[GMIC Info Template.xlsm]ECO Calendar!R62C5</stp>
        <tr r="E62" s="2"/>
      </tp>
      <tp>
        <v>6.11</v>
        <stp/>
        <stp>##V3_BDPV12</stp>
        <stp>CBYL US EQUITY</stp>
        <stp>PX ASK</stp>
        <stp>[GMIC Info Template.xlsm]Most Up &amp; Down!R18C11</stp>
        <tr r="K18" s="9"/>
      </tp>
      <tp t="s">
        <v>US</v>
        <stp/>
        <stp>##V3_BDPV12</stp>
        <stp>BA US Equity</stp>
        <stp>CNTRY OF RISK</stp>
        <stp>[GMIC Info Template.xlsm]Security Analysis!R27C8</stp>
        <tr r="H27" s="13"/>
      </tp>
      <tp>
        <v>3.4827585220336914</v>
        <stp/>
        <stp>##V3_BDPV12</stp>
        <stp>XOM US Equity</stp>
        <stp>EQY REC CONS</stp>
        <stp>[GMIC Info Template.xlsm]Security Analysis!R8C9</stp>
        <tr r="I8" s="13"/>
      </tp>
      <tp t="s">
        <v>3/31/2015</v>
        <stp/>
        <stp>##V3_BDPV12</stp>
        <stp>CPTICHNG Index</stp>
        <stp>CR OBSERVATION DATE</stp>
        <stp>[GMIC Info Template.xlsm]ECO Calendar!R105C13</stp>
        <tr r="M105" s="2"/>
      </tp>
      <tp t="s">
        <v>UNITED STATES</v>
        <stp/>
        <stp>##V3_BDPV12</stp>
        <stp>FRNTTOTL Index</stp>
        <stp>REGION OR COUNTRY</stp>
        <stp>[GMIC Info Template.xlsm]ECO Calendar!R108C20</stp>
        <tr r="T108" s="2"/>
      </tp>
      <tp t="s">
        <v>3/31/2015</v>
        <stp/>
        <stp>##V3_BDPV12</stp>
        <stp>RSTAMOM Index</stp>
        <stp>CR OBSERVATION DATE</stp>
        <stp>[GMIC Info Template.xlsm]ECO Calendar!R93C13</stp>
        <tr r="M93" s="2"/>
      </tp>
      <tp t="s">
        <v>The employment participation rate represents the proportion of the population that is in the labor force.                                                       Formula for PRUSTOT Index = USLFTOT Index/ USCPTOT  Index</v>
        <stp/>
        <stp>##V3_BDPV12</stp>
        <stp>PRUSTOT Index</stp>
        <stp>DES NOTES</stp>
        <stp>[GMIC Info Template.xlsm]ECO Calendar!R83C21</stp>
        <tr r="U83" s="2"/>
      </tp>
      <tp t="s">
        <v>3/31/2015</v>
        <stp/>
        <stp>##V3_BDPV12</stp>
        <stp>IPMGCHNG Index</stp>
        <stp>CR OBSERVATION DATE</stp>
        <stp>[GMIC Info Template.xlsm]ECO Calendar!R106C13</stp>
        <tr r="M106" s="2"/>
      </tp>
      <tp t="s">
        <v>#N/A N/A</v>
        <stp/>
        <stp>##V3_BDPV12</stp>
        <stp>IMP1YOY% Index</stp>
        <stp>BN SURVEY MEDIAN</stp>
        <stp>[GMIC Info Template.xlsm]ECO Calendar!R92C8</stp>
        <tr r="H92" s="2"/>
      </tp>
      <tp t="s">
        <v>#N/A N/A</v>
        <stp/>
        <stp>##V3_BDPV12</stp>
        <stp>PCE DEFY Index</stp>
        <stp>BN SURVEY MEDIAN</stp>
        <stp>[GMIC Info Template.xlsm]ECO Calendar!R56C8</stp>
        <tr r="H56" s="2"/>
      </tp>
      <tp t="s">
        <v>BBG000BJ81C1</v>
        <stp/>
        <stp>##V3_BDPV12</stp>
        <stp>TRV US Equity</stp>
        <stp>ID BB GLOBAL</stp>
        <stp>[GMIC Info Template.xlsm]Security Analysis!R36C4</stp>
        <tr r="D36" s="13"/>
      </tp>
      <tp>
        <v>13.45</v>
        <stp/>
        <stp>##V3_BDPV12</stp>
        <stp>SAARDTOT Index</stp>
        <stp>BN SURVEY MEDIAN</stp>
        <stp>[GMIC Info Template.xlsm]ECO Calendar!R65C8</stp>
        <tr r="H65" s="2"/>
      </tp>
      <tp>
        <v>1005</v>
        <stp/>
        <stp>##V3_BDPV12</stp>
        <stp>MOKO US EQUITY</stp>
        <stp>PX VOLUME 1D</stp>
        <stp>[GMIC Info Template.xlsm]Most Up &amp; Down!R13C15</stp>
        <tr r="O13" s="9"/>
      </tp>
      <tp>
        <v>826258</v>
        <stp/>
        <stp>##V3_BDPV12</stp>
        <stp>DSCO US EQUITY</stp>
        <stp>PX VOLUME 1D</stp>
        <stp>[GMIC Info Template.xlsm]Most Up &amp; Down!R24C15</stp>
        <tr r="O24" s="9"/>
      </tp>
      <tp>
        <v>46.825400000000002</v>
        <stp/>
        <stp>##V3_BDPV12</stp>
        <stp>SAARTOTL Index</stp>
        <stp>RELEVANCE VALUE</stp>
        <stp>[GMIC Info Template.xlsm]ECO Calendar!R64C5</stp>
        <tr r="E64" s="2"/>
      </tp>
      <tp>
        <v>89.285700000000006</v>
        <stp/>
        <stp>##V3_BDPV12</stp>
        <stp>USURTOT Index</stp>
        <stp>RELEVANCE VALUE</stp>
        <stp>[GMIC Info Template.xlsm]ECO Calendar!R75C5</stp>
        <tr r="E75" s="2"/>
      </tp>
      <tp>
        <v>19.947049679004341</v>
        <stp/>
        <stp>##V3_BDPV12</stp>
        <stp>UNH US Equity</stp>
        <stp>PE RATIO</stp>
        <stp>[GMIC Info Template.xlsm]Security Analysis!R26C19</stp>
        <tr r="S26" s="13"/>
      </tp>
      <tp>
        <v>16.822372746988798</v>
        <stp/>
        <stp>##V3_BDPV12</stp>
        <stp>JNJ US Equity</stp>
        <stp>PE RATIO</stp>
        <stp>[GMIC Info Template.xlsm]Security Analysis!R10C19</stp>
        <tr r="S10" s="13"/>
      </tp>
      <tp>
        <v>104072</v>
        <stp/>
        <stp>##V3_BDPV12</stp>
        <stp>VPCO US EQUITY</stp>
        <stp>PX VOLUME 1D</stp>
        <stp>[GMIC Info Template.xlsm]Most Up &amp; Down!R12C15</stp>
        <tr r="O12" s="9"/>
      </tp>
      <tp t="s">
        <v>Adjusted for seasonal variation, for holiday and trading day differences, but not for price changes.</v>
        <stp/>
        <stp>##V3_BDPV12</stp>
        <stp>RSTAMOM Index</stp>
        <stp>DES NOTES</stp>
        <stp>[GMIC Info Template.xlsm]ECO Calendar!R93C21</stp>
        <tr r="U93" s="2"/>
      </tp>
      <tp t="s">
        <v>2/28/2015</v>
        <stp/>
        <stp>##V3_BDPV12</stp>
        <stp>PCE CYOY Index</stp>
        <stp>CR OBSERVATION DATE</stp>
        <stp>[GMIC Info Template.xlsm]ECO Calendar!R55C13</stp>
        <tr r="M55" s="2"/>
      </tp>
      <tp t="s">
        <v>2/28/2015</v>
        <stp/>
        <stp>##V3_BDPV12</stp>
        <stp>PCE CRCH Index</stp>
        <stp>CR OBSERVATION DATE</stp>
        <stp>[GMIC Info Template.xlsm]ECO Calendar!R53C13</stp>
        <tr r="M53" s="2"/>
      </tp>
      <tp t="s">
        <v>2/28/2015</v>
        <stp/>
        <stp>##V3_BDPV12</stp>
        <stp>PCE CMOM Index</stp>
        <stp>CR OBSERVATION DATE</stp>
        <stp>[GMIC Info Template.xlsm]ECO Calendar!R54C13</stp>
        <tr r="M54" s="2"/>
      </tp>
      <tp t="s">
        <v>2/28/2015</v>
        <stp/>
        <stp>##V3_BDPV12</stp>
        <stp>PCE CHNC Index</stp>
        <stp>CR OBSERVATION DATE</stp>
        <stp>[GMIC Info Template.xlsm]ECO Calendar!R58C13</stp>
        <tr r="M58" s="2"/>
      </tp>
      <tp t="s">
        <v>12/31/2014</v>
        <stp/>
        <stp>##V3_BDPV12</stp>
        <stp>GDPCTOT% Index</stp>
        <stp>CR OBSERVATION DATE</stp>
        <stp>[GMIC Info Template.xlsm]ECO Calendar!R50C13</stp>
        <tr r="M50" s="2"/>
      </tp>
      <tp t="s">
        <v>Index measures the US unemployment rate on a monthly basis.  The unemployment rate represents the number unemployed persons as a percent of the labor force.  Each month approximately 60,000 sample households are interviewed (a portion is done via telephone) during the week that includes the 12th of the month.          History is stored independently for monthly, quarterly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 on.</v>
        <stp/>
        <stp>##V3_BDPV12</stp>
        <stp>USURTOT Index</stp>
        <stp>DES NOTES</stp>
        <stp>[GMIC Info Template.xlsm]ECO Calendar!R75C21</stp>
        <tr r="U75" s="2"/>
      </tp>
      <tp t="s">
        <v>Balance of payments.  Total trade balance = Goods + Services.</v>
        <stp/>
        <stp>##V3_BDPV12</stp>
        <stp>USTBTOT Index</stp>
        <stp>DES NOTES</stp>
        <stp>[GMIC Info Template.xlsm]ECO Calendar!R68C21</stp>
        <tr r="U68" s="2"/>
      </tp>
      <tp t="s">
        <v>2/28/2015</v>
        <stp/>
        <stp>##V3_BDPV12</stp>
        <stp>PITLCHNG Index</stp>
        <stp>CR OBSERVATION DATE</stp>
        <stp>[GMIC Info Template.xlsm]ECO Calendar!R52C13</stp>
        <tr r="M52" s="2"/>
      </tp>
      <tp>
        <v>0.2</v>
        <stp/>
        <stp>##V3_BDPV12</stp>
        <stp>PCE DEFM Index</stp>
        <stp>BN SURVEY MEDIAN</stp>
        <stp>[GMIC Info Template.xlsm]ECO Calendar!R57C8</stp>
        <tr r="H57" s="2"/>
      </tp>
      <tp>
        <v>51.5</v>
        <stp/>
        <stp>##V3_BDPV12</stp>
        <stp>NAPMPMI Index</stp>
        <stp>PX LAST</stp>
        <stp>[GMIC Info Template.xlsm]ECO Calendar!R61C7</stp>
        <tr r="G61" s="2"/>
      </tp>
      <tp>
        <v>1.7</v>
        <stp/>
        <stp>##V3_BDPV12</stp>
        <stp>GDPCTOT% Index</stp>
        <stp>BN SURVEY MEDIAN</stp>
        <stp>[GMIC Info Template.xlsm]ECO Calendar!R50C8</stp>
        <tr r="H50" s="2"/>
      </tp>
      <tp t="s">
        <v>BBG000CH5208</v>
        <stp/>
        <stp>##V3_BDPV12</stp>
        <stp>UNH US Equity</stp>
        <stp>ID BB GLOBAL</stp>
        <stp>[GMIC Info Template.xlsm]Security Analysis!R26C4</stp>
        <tr r="D26" s="13"/>
      </tp>
      <tp t="s">
        <v>BBG000C6CFJ5</v>
        <stp/>
        <stp>##V3_BDPV12</stp>
        <stp>GS US Equity</stp>
        <stp>ID BB GLOBAL</stp>
        <stp>[GMIC Info Template.xlsm]Security Analysis!R31C4</stp>
        <tr r="D31" s="13"/>
      </tp>
      <tp t="s">
        <v>BBG000BK6MB5</v>
        <stp/>
        <stp>##V3_BDPV12</stp>
        <stp>GE US Equity</stp>
        <stp>ID BB GLOBAL</stp>
        <stp>[GMIC Info Template.xlsm]Security Analysis!R11C4</stp>
        <tr r="D11" s="13"/>
      </tp>
      <tp>
        <v>5.03</v>
        <stp/>
        <stp>##V3_BDPV12</stp>
        <stp>ETSLTOTL Index</stp>
        <stp>BN SURVEY MEDIAN</stp>
        <stp>[GMIC Info Template.xlsm]ECO Calendar!R22C8</stp>
        <tr r="H22" s="2"/>
      </tp>
      <tp>
        <v>16.666699999999999</v>
        <stp/>
        <stp>##V3_BDPV12</stp>
        <stp>NYPMCURR Index</stp>
        <stp>RELEVANCE VALUE</stp>
        <stp>[GMIC Info Template.xlsm]ECO Calendar!R66C5</stp>
        <tr r="E66" s="2"/>
      </tp>
      <tp>
        <v>15.452380407424201</v>
        <stp/>
        <stp>##V3_BDPV12</stp>
        <stp>WMT US Equity</stp>
        <stp>PE RATIO</stp>
        <stp>[GMIC Info Template.xlsm]Security Analysis!R12C19</stp>
        <tr r="S12" s="13"/>
      </tp>
      <tp>
        <v>47.9</v>
        <stp/>
        <stp>##V3_BDPV12</stp>
        <stp>COMFCOMF Index</stp>
        <stp>QUOTE PRIOR MID</stp>
        <stp>[GMIC Info Template.xlsm]ECO Calendar!R24C9</stp>
        <tr r="I24" s="2"/>
      </tp>
      <tp>
        <v>345149</v>
        <stp/>
        <stp>##V3_BDPV12</stp>
        <stp>CBYL US EQUITY</stp>
        <stp>PX VOLUME 1D</stp>
        <stp>[GMIC Info Template.xlsm]Most Up &amp; Down!R18C15</stp>
        <tr r="O18" s="9"/>
      </tp>
      <tp>
        <v>21.59012105659108</v>
        <stp/>
        <stp>##V3_BDPV12</stp>
        <stp>MMM US Equity</stp>
        <stp>PE RATIO</stp>
        <stp>[GMIC Info Template.xlsm]Security Analysis!R29C19</stp>
        <tr r="S29" s="13"/>
      </tp>
      <tp t="s">
        <v>4/30/2015</v>
        <stp/>
        <stp>##V3_BDPV12</stp>
        <stp>OUTFGAF Index</stp>
        <stp>CR OBSERVATION DATE</stp>
        <stp>[GMIC Info Template.xlsm]ECO Calendar!R116C13</stp>
        <tr r="M116" s="2"/>
      </tp>
      <tp>
        <v>-0.5</v>
        <stp/>
        <stp>##V3_BDPV12</stp>
        <stp>RSTAMOM Index</stp>
        <stp>QUOTE PRIOR MID</stp>
        <stp>[GMIC Info Template.xlsm]ECO Calendar!R93C9</stp>
        <tr r="I93" s="2"/>
      </tp>
      <tp t="s">
        <v>Represents the sum of US Net Private Transaction &amp; Net Official in other words FRNTTPVT index + FRNTTOFF index                                                  History is stored independently for monthly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 on.</v>
        <stp/>
        <stp>##V3_BDPV12</stp>
        <stp>FRNTTNET Index</stp>
        <stp>DES NOTES</stp>
        <stp>[GMIC Info Template.xlsm]ECO Calendar!R109C21</stp>
        <tr r="U109" s="2"/>
      </tp>
      <tp t="s">
        <v>Index % change is based from NHSPSTOT (index) total # of authorized housing starts % change.</v>
        <stp/>
        <stp>##V3_BDPV12</stp>
        <stp>NHCHSTCH Index</stp>
        <stp>DES NOTES</stp>
        <stp>[GMIC Info Template.xlsm]ECO Calendar!R113C21</stp>
        <tr r="U113" s="2"/>
      </tp>
      <tp t="s">
        <v>The production index measures real output and is expressed as a percentage of real output in a base year, currently 2007. The production indexes are computed as Fisher indexes since 1972; the weights are based on annual estimates of value added. Please note IPNEXMOT Index represents the Non-energy ex. motor vehicles &amp; pts., computers, communications eq., and semiconductors; s.a. IP from the G.17 Report</v>
        <stp/>
        <stp>##V3_BDPV12</stp>
        <stp>IPMGCHNG Index</stp>
        <stp>DES NOTES</stp>
        <stp>[GMIC Info Template.xlsm]ECO Calendar!R106C21</stp>
        <tr r="U106" s="2"/>
      </tp>
      <tp t="s">
        <v>#N/A Field Not Applicable</v>
        <stp/>
        <stp>##V3_BDPV12</stp>
        <stp>NHCHATCH Index</stp>
        <stp>DES NOTES</stp>
        <stp>[GMIC Info Template.xlsm]ECO Calendar!R114C21</stp>
        <tr r="U114" s="2"/>
      </tp>
      <tp t="s">
        <v>United States</v>
        <stp/>
        <stp>##V3_BDPV12</stp>
        <stp>USHBMIDX Index</stp>
        <stp>REGION OR COUNTRY</stp>
        <stp>[GMIC Info Template.xlsm]ECO Calendar!R110C20</stp>
        <tr r="T110" s="2"/>
      </tp>
      <tp t="s">
        <v>Base Year 1982-84=100.  The CPI represents changes in prices of all goods and services purchased for consumption by urban households.  User fees (such as water and sewer service) and sales and excise taxes paid by the consumer are also included.  Income taxes and investment items (i.e. stocks, bonds, and life insurance) are not included.  CPI for urban consumers, includes expenditures by urban wage earners and clerical workers, professional, managerial,and technical workers,the self-employed, short-term workers, the unemployed, retirees and others not in the labor force.  This represents about 80% of the total U.S. population. &lt;P&gt;This calculation uses CPURNSA  Index =&gt; ((Current Month  - Prior value for same month last year)/ Prior value for same month last year ))*100; the value is then rounded to 1 decimal place.</v>
        <stp/>
        <stp>##V3_BDPV12</stp>
        <stp>CPI YOY Index</stp>
        <stp>DES NOTES</stp>
        <stp>[GMIC Info Template.xlsm]ECO Calendar!R14C21</stp>
        <tr r="U14" s="2"/>
      </tp>
      <tp t="s">
        <v>United States</v>
        <stp/>
        <stp>##V3_BDPV12</stp>
        <stp>FDIUSGYO Index</stp>
        <stp>REGION OR COUNTRY</stp>
        <stp>[GMIC Info Template.xlsm]ECO Calendar!R101C20</stp>
        <tr r="T101" s="2"/>
      </tp>
      <tp t="s">
        <v>6/30/2006</v>
        <stp/>
        <stp>##V3_BDPV12</stp>
        <stp>ECONUSIB Index</stp>
        <stp>CR OBSERVATION DATE</stp>
        <stp>[GMIC Info Template.xlsm]ECO Calendar!R70C13</stp>
        <tr r="M70" s="2"/>
      </tp>
      <tp t="s">
        <v>4/30/2015</v>
        <stp/>
        <stp>##V3_BDPV12</stp>
        <stp>USHBMIDX Index</stp>
        <stp>CR OBSERVATION DATE</stp>
        <stp>[GMIC Info Template.xlsm]ECO Calendar!R110C13</stp>
        <tr r="M110" s="2"/>
      </tp>
      <tp>
        <v>63.735457311616251</v>
        <stp/>
        <stp>##V3_BDPV12</stp>
        <stp>INTC US Equity</stp>
        <stp>GROSS MARGIN</stp>
        <stp>[GMIC Info Template.xlsm]Security Analysis!R23C21</stp>
        <tr r="U23" s="13"/>
      </tp>
      <tp t="s">
        <v>3/31/2015</v>
        <stp/>
        <stp>##V3_BDPV12</stp>
        <stp>IMP1YOY% Index</stp>
        <stp>CR OBSERVATION DATE</stp>
        <stp>[GMIC Info Template.xlsm]ECO Calendar!R92C13</stp>
        <tr r="M92" s="2"/>
      </tp>
      <tp t="s">
        <v>United States</v>
        <stp/>
        <stp>##V3_BDPV12</stp>
        <stp>CONCCYOY Index</stp>
        <stp>REGION OR COUNTRY</stp>
        <stp>[GMIC Info Template.xlsm]ECO Calendar!R122C20</stp>
        <tr r="T122" s="2"/>
      </tp>
      <tp>
        <v>-2</v>
        <stp/>
        <stp>##V3_BDPV12</stp>
        <stp>KCLSSACI Index</stp>
        <stp>BN SURVEY MEDIAN</stp>
        <stp>[GMIC Info Template.xlsm]ECO Calendar!R28C8</stp>
        <tr r="H28" s="2"/>
      </tp>
      <tp t="s">
        <v>#N/A N/A</v>
        <stp/>
        <stp>##V3_BDPV12</stp>
        <stp>TMNOCHNG Index</stp>
        <stp>BN SURVEY MEDIAN</stp>
        <stp>[GMIC Info Template.xlsm]ECO Calendar!R67C8</stp>
        <tr r="H67" s="2"/>
      </tp>
      <tp>
        <v>-0.6</v>
        <stp/>
        <stp>##V3_BDPV12</stp>
        <stp>DGNOXTCH Index</stp>
        <stp>PX LAST</stp>
        <stp>[GMIC Info Template.xlsm]ECO Calendar!R32C7</stp>
        <tr r="G32" s="2"/>
      </tp>
      <tp>
        <v>0.26529999999999998</v>
        <stp/>
        <stp>##V3_BDPV12</stp>
        <stp>USDAUD CURNCY</stp>
        <stp>CHG PCT 1D</stp>
        <stp>[GMIC Info Template.xlsm]Currencies &amp; Commodities!R10C7</stp>
        <tr r="G10" s="3"/>
      </tp>
      <tp t="s">
        <v>#N/A N/A</v>
        <stp/>
        <stp>##V3_BDPV12</stp>
        <stp>ECONUSIB Index</stp>
        <stp>BN SURVEY MEDIAN</stp>
        <stp>[GMIC Info Template.xlsm]ECO Calendar!R70C8</stp>
        <tr r="H70" s="2"/>
      </tp>
      <tp>
        <v>95.2</v>
        <stp/>
        <stp>##V3_BDPV12</stp>
        <stp>SBOITOTL Index</stp>
        <stp>PX LAST</stp>
        <stp>[GMIC Info Template.xlsm]ECO Calendar!R90C7</stp>
        <tr r="G90" s="2"/>
      </tp>
      <tp>
        <v>0.4</v>
        <stp/>
        <stp>##V3_BDPV12</stp>
        <stp>PCE CRCH Index</stp>
        <stp>BN SURVEY MEDIAN</stp>
        <stp>[GMIC Info Template.xlsm]ECO Calendar!R53C8</stp>
        <tr r="H53" s="2"/>
      </tp>
      <tp>
        <v>-12</v>
        <stp/>
        <stp>##V3_BDPV12</stp>
        <stp>DFEDGBA Index</stp>
        <stp>BN SURVEY MEDIAN</stp>
        <stp>[GMIC Info Template.xlsm]ECO Calendar!R37C8</stp>
        <tr r="H37" s="2"/>
      </tp>
      <tp>
        <v>3.3999999999999998E-3</v>
        <stp/>
        <stp>##V3_BDPV12</stp>
        <stp>USDAUD CURNCY</stp>
        <stp>CHG NET 1D</stp>
        <stp>[GMIC Info Template.xlsm]Currencies &amp; Commodities!R10C6</stp>
        <tr r="F10" s="3"/>
      </tp>
      <tp>
        <v>98</v>
        <stp/>
        <stp>##V3_BDPV12</stp>
        <stp>SBOITOTL Index</stp>
        <stp>QUOTE PRIOR MID</stp>
        <stp>[GMIC Info Template.xlsm]ECO Calendar!R90C9</stp>
        <tr r="I90" s="2"/>
      </tp>
      <tp>
        <v>-0.9</v>
        <stp/>
        <stp>##V3_BDPV12</stp>
        <stp>DGNOXTCH Index</stp>
        <stp>QUOTE PRIOR MID</stp>
        <stp>[GMIC Info Template.xlsm]ECO Calendar!R32C9</stp>
        <tr r="I32" s="2"/>
      </tp>
      <tp>
        <v>2060576</v>
        <stp/>
        <stp>##V3_BDPV12</stp>
        <stp>SZYM US EQUITY</stp>
        <stp>PX VOLUME 1D</stp>
        <stp>[GMIC Info Template.xlsm]Most Up &amp; Down!R30C15</stp>
        <tr r="O30" s="9"/>
      </tp>
      <tp t="s">
        <v>1Q A</v>
        <stp/>
        <stp>##V3_BDPV12</stp>
        <stp>GDP PIQQ Index</stp>
        <stp>OBSERVATION PERIOD</stp>
        <stp>[GMIC Info Template.xlsm]ECO Calendar!R49C12</stp>
        <tr r="L49" s="2"/>
      </tp>
      <tp t="s">
        <v>US</v>
        <stp/>
        <stp>##V3_BDPV12</stp>
        <stp>GS US Equity</stp>
        <stp>CNTRY OF RISK</stp>
        <stp>[GMIC Info Template.xlsm]Security Analysis!R31C8</stp>
        <tr r="H31" s="13"/>
      </tp>
      <tp t="s">
        <v>Common Stock</v>
        <stp/>
        <stp>##V3_BDPV12</stp>
        <stp>XOM US Equity</stp>
        <stp>SECURITY TYP</stp>
        <stp>[GMIC Info Template.xlsm]Security Analysis!R8C5</stp>
        <tr r="E8" s="13"/>
      </tp>
      <tp>
        <v>2.9796948444953579</v>
        <stp/>
        <stp>##V3_BDPV12</stp>
        <stp>MSFT US Equity</stp>
        <stp>EQY DVD YLD IND</stp>
        <stp>[GMIC Info Template.xlsm]Security Analysis!R9C20</stp>
        <tr r="T9" s="13"/>
      </tp>
      <tp t="s">
        <v>1Q A</v>
        <stp/>
        <stp>##V3_BDPV12</stp>
        <stp>GDP CQOQ Index</stp>
        <stp>OBSERVATION PERIOD</stp>
        <stp>[GMIC Info Template.xlsm]ECO Calendar!R48C12</stp>
        <tr r="L48" s="2"/>
      </tp>
      <tp t="s">
        <v>US</v>
        <stp/>
        <stp>##V3_BDPV12</stp>
        <stp>GE US Equity</stp>
        <stp>CNTRY OF RISK</stp>
        <stp>[GMIC Info Template.xlsm]Security Analysis!R11C8</stp>
        <tr r="H11" s="13"/>
      </tp>
      <tp t="s">
        <v>4/30/2015</v>
        <stp/>
        <stp>##V3_BDPV12</stp>
        <stp>COMFBTWR Index</stp>
        <stp>CR OBSERVATION DATE</stp>
        <stp>[GMIC Info Template.xlsm]ECO Calendar!R115C13</stp>
        <tr r="M115" s="2"/>
      </tp>
      <tp t="s">
        <v>2/28/2015</v>
        <stp/>
        <stp>##V3_BDPV12</stp>
        <stp>ETSLTOTL Index</stp>
        <stp>CR OBSERVATION DATE</stp>
        <stp>[GMIC Info Template.xlsm]ECO Calendar!R22C13</stp>
        <tr r="M22" s="2"/>
      </tp>
      <tp t="s">
        <v>2/28/2015</v>
        <stp/>
        <stp>##V3_BDPV12</stp>
        <stp>USTBTOT Index</stp>
        <stp>CR OBSERVATION DATE</stp>
        <stp>[GMIC Info Template.xlsm]ECO Calendar!R68C13</stp>
        <tr r="M68" s="2"/>
      </tp>
      <tp t="s">
        <v>United States</v>
        <stp/>
        <stp>##V3_BDPV12</stp>
        <stp>EMPRGBCI Index</stp>
        <stp>REGION OR COUNTRY</stp>
        <stp>[GMIC Info Template.xlsm]ECO Calendar!R107C20</stp>
        <tr r="T107" s="2"/>
      </tp>
      <tp>
        <v>0.2</v>
        <stp/>
        <stp>##V3_BDPV12</stp>
        <stp>PITLCHNG Index</stp>
        <stp>BN SURVEY MEDIAN</stp>
        <stp>[GMIC Info Template.xlsm]ECO Calendar!R52C8</stp>
        <tr r="H52" s="2"/>
      </tp>
      <tp>
        <v>0.9</v>
        <stp/>
        <stp>##V3_BDPV12</stp>
        <stp>RSTAMOM Index</stp>
        <stp>PX LAST</stp>
        <stp>[GMIC Info Template.xlsm]ECO Calendar!R93C7</stp>
        <tr r="G93" s="2"/>
      </tp>
      <tp t="s">
        <v>#N/A N/A</v>
        <stp/>
        <stp>##V3_BDPV12</stp>
        <stp>AHE YOY% Index</stp>
        <stp>BN SURVEY MEDIAN</stp>
        <stp>[GMIC Info Template.xlsm]ECO Calendar!R79C8</stp>
        <tr r="H79" s="2"/>
      </tp>
      <tp t="s">
        <v>#N/A N/A</v>
        <stp/>
        <stp>##V3_BDPV12</stp>
        <stp>RSTAMOM Index</stp>
        <stp>BN SURVEY MEDIAN</stp>
        <stp>[GMIC Info Template.xlsm]ECO Calendar!R93C8</stp>
        <tr r="H93" s="2"/>
      </tp>
      <tp>
        <v>46.6</v>
        <stp/>
        <stp>##V3_BDPV12</stp>
        <stp>COMFCOMF Index</stp>
        <stp>PX LAST</stp>
        <stp>[GMIC Info Template.xlsm]ECO Calendar!R24C7</stp>
        <tr r="G24" s="2"/>
      </tp>
      <tp t="s">
        <v>US</v>
        <stp/>
        <stp>##V3_BDPV12</stp>
        <stp>TRV US Equity</stp>
        <stp>CNTRY OF RISK</stp>
        <stp>[GMIC Info Template.xlsm]Security Analysis!R36C8</stp>
        <tr r="H36" s="13"/>
      </tp>
      <tp>
        <v>-0.23</v>
        <stp/>
        <stp>##V3_BDPV12</stp>
        <stp>RSTAXAGM Index</stp>
        <stp>QUOTE PRIOR MID</stp>
        <stp>[GMIC Info Template.xlsm]ECO Calendar!R96C9</stp>
        <tr r="I96" s="2"/>
      </tp>
      <tp t="s">
        <v>Weekly initial jobless claims is the actual number of people who have filed for Unemployment benefits for the first time. Following five (5) eligibility criteria must be met in order to file for unemployment benefits: 1. Meet the requirements of time worked during a 1 year period (full time or not).  2.  Become unemployed through no fault of your own (cannot be fired).  3. Must be able to work; no physical or mental holdbacks.  4.  Must be available for work.  5.  Must be actively seeking work.</v>
        <stp/>
        <stp>##V3_BDPV12</stp>
        <stp>INJCJC Index</stp>
        <stp>DES NOTES</stp>
        <stp>[GMIC Info Template.xlsm]ECO Calendar!R25C21</stp>
        <tr r="U25" s="2"/>
      </tp>
      <tp>
        <v>4.58</v>
        <stp/>
        <stp>##V3_BDPV12</stp>
        <stp>SPCSUSAY Index</stp>
        <stp>QUOTE PRIOR MID</stp>
        <stp>[GMIC Info Template.xlsm]ECO Calendar!R40C9</stp>
        <tr r="I40" s="2"/>
      </tp>
      <tp>
        <v>10.87</v>
        <stp/>
        <stp>##V3_BDPV12</stp>
        <stp>GNMK US EQUITY</stp>
        <stp>PX ASK</stp>
        <stp>[GMIC Info Template.xlsm]Most Up &amp; Down!R26C11</stp>
        <tr r="K26" s="9"/>
      </tp>
      <tp>
        <v>10.795999999999999</v>
        <stp/>
        <stp>##V3_BDPV12</stp>
        <stp>CICRTOT Index</stp>
        <stp>QUOTE PRIOR MID</stp>
        <stp>[GMIC Info Template.xlsm]ECO Calendar!R73C9</stp>
        <tr r="I73" s="2"/>
      </tp>
      <tp>
        <v>4</v>
        <stp/>
        <stp>##V3_BDPV12</stp>
        <stp>FNRG US EQUITY</stp>
        <stp>PX ASK</stp>
        <stp>[GMIC Info Template.xlsm]Most Up &amp; Down!R25C11</stp>
        <tr r="K25" s="9"/>
      </tp>
      <tp>
        <v>18.640470973166597</v>
        <stp/>
        <stp>##V3_BDPV12</stp>
        <stp>MCD US Equity</stp>
        <stp>PE RATIO</stp>
        <stp>[GMIC Info Template.xlsm]Security Analysis!R30C19</stp>
        <tr r="S30" s="13"/>
      </tp>
      <tp>
        <v>0</v>
        <stp/>
        <stp>##V3_BDPV12</stp>
        <stp>PBIB US EQUITY</stp>
        <stp>PX VOLUME 1D</stp>
        <stp>[GMIC Info Template.xlsm]Most Up &amp; Down!R28C15</stp>
        <tr r="O28" s="9"/>
      </tp>
      <tp t="s">
        <v>UMich Expected Change in Prices During the Next Year: Median</v>
        <stp/>
        <stp>##V3_BDPV12</stp>
        <stp>CONSPXMD Index</stp>
        <stp>Long Comp Name</stp>
        <stp>[GMIC Info Template.xlsm]ECO Calendar!R9C3</stp>
        <tr r="C9" s="2"/>
      </tp>
      <tp t="s">
        <v>On December 5, 2002 the Federal Reserve published a revision to Industrial Production.  The revised estimates will be classified according to the 2002 North American Industrial Classification System (NAICS); previously, the estimates were classified according the the 1987 Standard Industrial Classification (SIC) system.  Capacity utilization is calculated for the manufacturing, mining, and electric and gas utilities industries.  For a given industry, the utilization rate is equal to an output index divided by a capacity index.  Output is measured by seasonally adjusted indexes of industrial production.  The capactiy indexes attempt to capture the concept of sustainable practical capacity, which is defined as the greatest level of output that a plant can maintain within the framework of a realistic work schedule, taking account of normal downtime, and assuming sufficient availability of inputs to operate the machinery and equipment in place.      History is stored independently for mont</v>
        <stp/>
        <stp>##V3_BDPV12</stp>
        <stp>CPTICHNG Index</stp>
        <stp>DES NOTES</stp>
        <stp>[GMIC Info Template.xlsm]ECO Calendar!R105C21</stp>
        <tr r="U105" s="2"/>
      </tp>
      <tp t="s">
        <v>3/31/2015</v>
        <stp/>
        <stp>##V3_BDPV12</stp>
        <stp>NAPMNMI Index</stp>
        <stp>CR OBSERVATION DATE</stp>
        <stp>[GMIC Info Template.xlsm]ECO Calendar!R69C13</stp>
        <tr r="M69" s="2"/>
      </tp>
      <tp t="s">
        <v>3/31/2015</v>
        <stp/>
        <stp>##V3_BDPV12</stp>
        <stp>NAPMPRIC Index</stp>
        <stp>CR OBSERVATION DATE</stp>
        <stp>[GMIC Info Template.xlsm]ECO Calendar!R63C13</stp>
        <tr r="M63" s="2"/>
      </tp>
      <tp t="s">
        <v>3/31/2015</v>
        <stp/>
        <stp>##V3_BDPV12</stp>
        <stp>NAPMPMI Index</stp>
        <stp>CR OBSERVATION DATE</stp>
        <stp>[GMIC Info Template.xlsm]ECO Calendar!R61C13</stp>
        <tr r="M61" s="2"/>
      </tp>
      <tp t="s">
        <v>2/28/2015</v>
        <stp/>
        <stp>##V3_BDPV12</stp>
        <stp>JOLTTOTL Index</stp>
        <stp>CR OBSERVATION DATE</stp>
        <stp>[GMIC Info Template.xlsm]ECO Calendar!R88C13</stp>
        <tr r="M88" s="2"/>
      </tp>
      <tp t="s">
        <v>United States</v>
        <stp/>
        <stp>##V3_BDPV12</stp>
        <stp>COMFBTWR Index</stp>
        <stp>REGION OR COUNTRY</stp>
        <stp>[GMIC Info Template.xlsm]ECO Calendar!R115C20</stp>
        <tr r="T115" s="2"/>
      </tp>
      <tp t="s">
        <v>#N/A N/A</v>
        <stp/>
        <stp>##V3_BDPV12</stp>
        <stp>MPMIUSSA Index</stp>
        <stp>BN SURVEY MEDIAN</stp>
        <stp>[GMIC Info Template.xlsm]ECO Calendar!R36C8</stp>
        <tr r="H36" s="2"/>
      </tp>
      <tp t="s">
        <v>#N/A N/A</v>
        <stp/>
        <stp>##V3_BDPV12</stp>
        <stp>CPI XYOY Index</stp>
        <stp>BN SURVEY MEDIAN</stp>
        <stp>[GMIC Info Template.xlsm]ECO Calendar!R15C8</stp>
        <tr r="H15" s="2"/>
      </tp>
      <tp>
        <v>124.76</v>
        <stp/>
        <stp>##V3_BDPV12</stp>
        <stp>AAPL US Equity</stp>
        <stp>PX ASK</stp>
        <stp>[GMIC Info Template.xlsm]Security Analysis!R7C13</stp>
        <tr r="M7" s="13"/>
      </tp>
      <tp>
        <v>34</v>
        <stp/>
        <stp>##V3_BDPV12</stp>
        <stp>USEMNCHG Index</stp>
        <stp>PX LAST</stp>
        <stp>[GMIC Info Template.xlsm]ECO Calendar!R81C7</stp>
        <tr r="G81" s="2"/>
      </tp>
      <tp>
        <v>0.4</v>
        <stp/>
        <stp>##V3_BDPV12</stp>
        <stp>GDP PIQQ Index</stp>
        <stp>BN SURVEY MEDIAN</stp>
        <stp>[GMIC Info Template.xlsm]ECO Calendar!R49C8</stp>
        <tr r="H49" s="2"/>
      </tp>
      <tp t="s">
        <v>Philadelphia Fed Business Outl</v>
        <stp/>
        <stp>##V3_BDPV12</stp>
        <stp>OUTFGAF Index</stp>
        <stp>NAME</stp>
        <stp>[GMIC Info Template.xlsm]ECO Calendar!R116C6</stp>
        <tr r="F116" s="2"/>
      </tp>
      <tp>
        <v>0.3</v>
        <stp/>
        <stp>##V3_BDPV12</stp>
        <stp>DGNOXTCH Index</stp>
        <stp>BN SURVEY MEDIAN</stp>
        <stp>[GMIC Info Template.xlsm]ECO Calendar!R32C8</stp>
        <tr r="H32" s="2"/>
      </tp>
      <tp>
        <v>7.8</v>
        <stp/>
        <stp>##V3_BDPV12</stp>
        <stp>NHSLCHNG Index</stp>
        <stp>PX LAST</stp>
        <stp>[GMIC Info Template.xlsm]ECO Calendar!R30C7</stp>
        <tr r="G30" s="2"/>
      </tp>
      <tp>
        <v>0</v>
        <stp/>
        <stp>##V3_BDPV12</stp>
        <stp>CPI YOY Index</stp>
        <stp>QUOTE PRIOR MID</stp>
        <stp>[GMIC Info Template.xlsm]ECO Calendar!R14C9</stp>
        <tr r="I14" s="2"/>
      </tp>
      <tp t="s">
        <v>US</v>
        <stp/>
        <stp>##V3_BDPV12</stp>
        <stp>AXP US Equity</stp>
        <stp>CNTRY OF RISK</stp>
        <stp>[GMIC Info Template.xlsm]Security Analysis!R33C8</stp>
        <tr r="H33" s="13"/>
      </tp>
      <tp t="s">
        <v>#N/A N/A</v>
        <stp/>
        <stp>##V3_BDPV12</stp>
        <stp>USMMMNCH Index</stp>
        <stp>BN SURVEY MEDIAN</stp>
        <stp>[GMIC Info Template.xlsm]ECO Calendar!R76C8</stp>
        <tr r="H76" s="2"/>
      </tp>
      <tp>
        <v>4.4000000000000004</v>
        <stp/>
        <stp>##V3_BDPV12</stp>
        <stp>NHSLCHNG Index</stp>
        <stp>QUOTE PRIOR MID</stp>
        <stp>[GMIC Info Template.xlsm]ECO Calendar!R30C9</stp>
        <tr r="I30" s="2"/>
      </tp>
      <tp>
        <v>-0.1</v>
        <stp/>
        <stp>##V3_BDPV12</stp>
        <stp>CPI YOY Index</stp>
        <stp>PX LAST</stp>
        <stp>[GMIC Info Template.xlsm]ECO Calendar!R14C7</stp>
        <tr r="G14" s="2"/>
      </tp>
      <tp>
        <v>31.745999999999999</v>
        <stp/>
        <stp>##V3_BDPV12</stp>
        <stp>USPHTYOY Index</stp>
        <stp>RELEVANCE VALUE</stp>
        <stp>[GMIC Info Template.xlsm]ECO Calendar!R47C5</stp>
        <tr r="E47" s="2"/>
      </tp>
      <tp>
        <v>5.89</v>
        <stp/>
        <stp>##V3_BDPV12</stp>
        <stp>MOKO US EQUITY</stp>
        <stp>PX ASK</stp>
        <stp>[GMIC Info Template.xlsm]Most Up &amp; Down!R13C11</stp>
        <tr r="K13" s="9"/>
      </tp>
      <tp>
        <v>9.6710109573660095</v>
        <stp/>
        <stp>##V3_BDPV12</stp>
        <stp>IBM US Equity</stp>
        <stp>PE RATIO</stp>
        <stp>[GMIC Info Template.xlsm]Security Analysis!R21C19</stp>
        <tr r="S21" s="13"/>
      </tp>
      <tp>
        <v>96</v>
        <stp/>
        <stp>##V3_BDPV12</stp>
        <stp>USEMNCHG Index</stp>
        <stp>QUOTE PRIOR MID</stp>
        <stp>[GMIC Info Template.xlsm]ECO Calendar!R81C9</stp>
        <tr r="I81" s="2"/>
      </tp>
      <tp>
        <v>84.920599999999993</v>
        <stp/>
        <stp>##V3_BDPV12</stp>
        <stp>USTBTOT Index</stp>
        <stp>RELEVANCE VALUE</stp>
        <stp>[GMIC Info Template.xlsm]ECO Calendar!R68C5</stp>
        <tr r="E68" s="2"/>
      </tp>
      <tp>
        <v>35.714300000000001</v>
        <stp/>
        <stp>##V3_BDPV12</stp>
        <stp>IMP1YOY% Index</stp>
        <stp>RELEVANCE VALUE</stp>
        <stp>[GMIC Info Template.xlsm]ECO Calendar!R92C5</stp>
        <tr r="E92" s="2"/>
      </tp>
      <tp t="s">
        <v>US Capacity Utilization % of T</v>
        <stp/>
        <stp>##V3_BDPV12</stp>
        <stp>CPTICHNG Index</stp>
        <stp>NAME</stp>
        <stp>[GMIC Info Template.xlsm]ECO Calendar!R105C6</stp>
        <tr r="F105" s="2"/>
      </tp>
      <tp t="s">
        <v>US New Privately Owned Housing</v>
        <stp/>
        <stp>##V3_BDPV12</stp>
        <stp>NHSPSTOT Index</stp>
        <stp>NAME</stp>
        <stp>[GMIC Info Template.xlsm]ECO Calendar!R111C6</stp>
        <tr r="F111" s="2"/>
      </tp>
      <tp t="s">
        <v>BBG000C0G1D1</v>
        <stp/>
        <stp>##V3_BDPV12</stp>
        <stp>INTC US Equity</stp>
        <stp>ID BB GLOBAL</stp>
        <stp>[GMIC Info Template.xlsm]Security Analysis!R23C4</stp>
        <tr r="D23" s="13"/>
      </tp>
      <tp t="s">
        <v>2/28/2015</v>
        <stp/>
        <stp>##V3_BDPV12</stp>
        <stp>ETSLMOM Index</stp>
        <stp>CR OBSERVATION DATE</stp>
        <stp>[GMIC Info Template.xlsm]ECO Calendar!R23C13</stp>
        <tr r="M23" s="2"/>
      </tp>
      <tp>
        <v>20.164363824279739</v>
        <stp/>
        <stp>##V3_BDPV12</stp>
        <stp>PG US Equity</stp>
        <stp>PE RATIO</stp>
        <stp>[GMIC Info Template.xlsm]Security Analysis!R14C19</stp>
        <tr r="S14" s="13"/>
      </tp>
      <tp>
        <v>68.981838701876015</v>
        <stp/>
        <stp>##V3_BDPV12</stp>
        <stp>MSFT US Equity</stp>
        <stp>GROSS MARGIN</stp>
        <stp>[GMIC Info Template.xlsm]Security Analysis!R9C21</stp>
        <tr r="U9" s="13"/>
      </tp>
      <tp t="s">
        <v>2/28/2015</v>
        <stp/>
        <stp>##V3_BDPV12</stp>
        <stp>NHSLTOT Index</stp>
        <stp>CR OBSERVATION DATE</stp>
        <stp>[GMIC Info Template.xlsm]ECO Calendar!R29C13</stp>
        <tr r="M29" s="2"/>
      </tp>
      <tp>
        <v>55.6</v>
        <stp/>
        <stp>##V3_BDPV12</stp>
        <stp>MPMIUSMA Index</stp>
        <stp>BN SURVEY MEDIAN</stp>
        <stp>[GMIC Info Template.xlsm]ECO Calendar!R27C8</stp>
        <tr r="H27" s="2"/>
      </tp>
      <tp>
        <v>0.6</v>
        <stp/>
        <stp>##V3_BDPV12</stp>
        <stp>CGSHXAI% Index</stp>
        <stp>BN SURVEY MEDIAN</stp>
        <stp>[GMIC Info Template.xlsm]ECO Calendar!R34C8</stp>
        <tr r="H34" s="2"/>
      </tp>
      <tp>
        <v>52</v>
        <stp/>
        <stp>##V3_BDPV12</stp>
        <stp>NAPMPMI Index</stp>
        <stp>BN SURVEY MEDIAN</stp>
        <stp>[GMIC Info Template.xlsm]ECO Calendar!R61C8</stp>
        <tr r="H61" s="2"/>
      </tp>
      <tp>
        <v>4.47</v>
        <stp/>
        <stp>##V3_BDPV12</stp>
        <stp>SPCSUSAY Index</stp>
        <stp>PX LAST</stp>
        <stp>[GMIC Info Template.xlsm]ECO Calendar!R40C7</stp>
        <tr r="G40" s="2"/>
      </tp>
      <tp>
        <v>15.516</v>
        <stp/>
        <stp>##V3_BDPV12</stp>
        <stp>CICRTOT Index</stp>
        <stp>PX LAST</stp>
        <stp>[GMIC Info Template.xlsm]ECO Calendar!R73C7</stp>
        <tr r="G73" s="2"/>
      </tp>
      <tp>
        <v>0.3</v>
        <stp/>
        <stp>##V3_BDPV12</stp>
        <stp>RSTAXAGM Index</stp>
        <stp>PX LAST</stp>
        <stp>[GMIC Info Template.xlsm]ECO Calendar!R96C7</stp>
        <tr r="G96" s="2"/>
      </tp>
      <tp>
        <v>0</v>
        <stp/>
        <stp>##V3_BDPV12</stp>
        <stp>RSTAXMOM Index</stp>
        <stp>QUOTE PRIOR MID</stp>
        <stp>[GMIC Info Template.xlsm]ECO Calendar!R94C9</stp>
        <tr r="I94" s="2"/>
      </tp>
      <tp>
        <v>13.058615084189789</v>
        <stp/>
        <stp>##V3_BDPV12</stp>
        <stp>CAT US Equity</stp>
        <stp>PE RATIO</stp>
        <stp>[GMIC Info Template.xlsm]Security Analysis!R35C19</stp>
        <tr r="S35" s="13"/>
      </tp>
      <tp>
        <v>38.8889</v>
        <stp/>
        <stp>##V3_BDPV12</stp>
        <stp>MAPMINDX Index</stp>
        <stp>RELEVANCE VALUE</stp>
        <stp>[GMIC Info Template.xlsm]ECO Calendar!R60C5</stp>
        <tr r="E60" s="2"/>
      </tp>
      <tp t="s">
        <v>Bloomberg US National Economy</v>
        <stp/>
        <stp>##V3_BDPV12</stp>
        <stp>COMFBTWR Index</stp>
        <stp>NAME</stp>
        <stp>[GMIC Info Template.xlsm]ECO Calendar!R115C6</stp>
        <tr r="F115" s="2"/>
      </tp>
      <tp t="s">
        <v>#N/A Field Not Applicable</v>
        <stp/>
        <stp>##V3_BDPV12</stp>
        <stp>FDIUSGUY Index</stp>
        <stp>DES NOTES</stp>
        <stp>[GMIC Info Template.xlsm]ECO Calendar!R103C21</stp>
        <tr r="U103" s="2"/>
      </tp>
      <tp t="s">
        <v>Federal Reserve Bank of Philadelphia:Business outlook survey diffusion.             Each January seasonally adjusted history is revised.</v>
        <stp/>
        <stp>##V3_BDPV12</stp>
        <stp>OUTFGAF Index</stp>
        <stp>DES NOTES</stp>
        <stp>[GMIC Info Template.xlsm]ECO Calendar!R116C21</stp>
        <tr r="U116" s="2"/>
      </tp>
      <tp t="s">
        <v>US Employees on Nonfarm Payrol</v>
        <stp/>
        <stp>##V3_BDPV12</stp>
        <stp>NFP TYOY Index</stp>
        <stp>NAME</stp>
        <stp>[GMIC Info Template.xlsm]ECO Calendar!R121C6</stp>
        <tr r="F121" s="2"/>
      </tp>
      <tp t="s">
        <v>Private Housing Authorized by</v>
        <stp/>
        <stp>##V3_BDPV12</stp>
        <stp>NHSPATOT Index</stp>
        <stp>NAME</stp>
        <stp>[GMIC Info Template.xlsm]ECO Calendar!R112C6</stp>
        <tr r="F112" s="2"/>
      </tp>
      <tp t="s">
        <v>Monthly</v>
        <stp/>
        <stp>##V3_BDPV12</stp>
        <stp>NFP TMOM Index</stp>
        <stp>INDX FREQ</stp>
        <stp>[GMIC Info Template.xlsm]ECO Calendar!R120C15</stp>
        <tr r="O120" s="2"/>
      </tp>
      <tp t="s">
        <v>US Industrial Production Indus</v>
        <stp/>
        <stp>##V3_BDPV12</stp>
        <stp>IPMGCHNG Index</stp>
        <stp>NAME</stp>
        <stp>[GMIC Info Template.xlsm]ECO Calendar!R106C6</stp>
        <tr r="F106" s="2"/>
      </tp>
      <tp t="s">
        <v>2/28/2015</v>
        <stp/>
        <stp>##V3_BDPV12</stp>
        <stp>DGNOXTCH Index</stp>
        <stp>CR OBSERVATION DATE</stp>
        <stp>[GMIC Info Template.xlsm]ECO Calendar!R32C13</stp>
        <tr r="M32" s="2"/>
      </tp>
      <tp t="s">
        <v>3/31/2015</v>
        <stp/>
        <stp>##V3_BDPV12</stp>
        <stp>CONCCYOY Index</stp>
        <stp>CR OBSERVATION DATE</stp>
        <stp>[GMIC Info Template.xlsm]ECO Calendar!R122C13</stp>
        <tr r="M122" s="2"/>
      </tp>
      <tp>
        <v>0.4</v>
        <stp/>
        <stp>##V3_BDPV12</stp>
        <stp>PITLCHNG Index</stp>
        <stp>PX LAST</stp>
        <stp>[GMIC Info Template.xlsm]ECO Calendar!R52C7</stp>
        <tr r="G52" s="2"/>
      </tp>
      <tp>
        <v>-1.4</v>
        <stp/>
        <stp>##V3_BDPV12</stp>
        <stp>DGNOCHNG Index</stp>
        <stp>PX LAST</stp>
        <stp>[GMIC Info Template.xlsm]ECO Calendar!R31C7</stp>
        <tr r="G31" s="2"/>
      </tp>
      <tp>
        <v>-69</v>
        <stp/>
        <stp>##V3_BDPV12</stp>
        <stp>ECONGECC Index</stp>
        <stp>PX LAST</stp>
        <stp>[GMIC Info Template.xlsm]ECO Calendar!R84C7</stp>
        <tr r="G84" s="2"/>
      </tp>
      <tp>
        <v>3.07</v>
        <stp/>
        <stp>##V3_BDPV12</stp>
        <stp>ETSLMOM Index</stp>
        <stp>BN SURVEY MEDIAN</stp>
        <stp>[GMIC Info Template.xlsm]ECO Calendar!R23C8</stp>
        <tr r="H23" s="2"/>
      </tp>
      <tp t="s">
        <v>#N/A Field Not Applicable</v>
        <stp/>
        <stp>##V3_BDPV12</stp>
        <stp>CONSP5MD Index</stp>
        <stp>DES NOTES</stp>
        <stp>[GMIC Info Template.xlsm]ECO Calendar!R8C21</stp>
        <tr r="U8" s="2"/>
      </tp>
      <tp>
        <v>1.9</v>
        <stp/>
        <stp>##V3_BDPV12</stp>
        <stp>DGNOCHNG Index</stp>
        <stp>QUOTE PRIOR MID</stp>
        <stp>[GMIC Info Template.xlsm]ECO Calendar!R31C9</stp>
        <tr r="I31" s="2"/>
      </tp>
      <tp t="s">
        <v>#N/A N/A</v>
        <stp/>
        <stp>##V3_BDPV12</stp>
        <stp>ECONGECC Index</stp>
        <stp>QUOTE PRIOR MID</stp>
        <stp>[GMIC Info Template.xlsm]ECO Calendar!R84C9</stp>
        <tr r="I84" s="2"/>
      </tp>
      <tp>
        <v>21.428599999999999</v>
        <stp/>
        <stp>##V3_BDPV12</stp>
        <stp>USUDMAER Index</stp>
        <stp>RELEVANCE VALUE</stp>
        <stp>[GMIC Info Template.xlsm]ECO Calendar!R82C5</stp>
        <tr r="E82" s="2"/>
      </tp>
      <tp>
        <v>75.555599999999998</v>
        <stp/>
        <stp>##V3_BDPV12</stp>
        <stp>CPUPXCHG Index</stp>
        <stp>RELEVANCE VALUE</stp>
        <stp>[GMIC Info Template.xlsm]ECO Calendar!R13C5</stp>
        <tr r="E13" s="2"/>
      </tp>
      <tp>
        <v>0.4</v>
        <stp/>
        <stp>##V3_BDPV12</stp>
        <stp>PITLCHNG Index</stp>
        <stp>QUOTE PRIOR MID</stp>
        <stp>[GMIC Info Template.xlsm]ECO Calendar!R52C9</stp>
        <tr r="I52" s="2"/>
      </tp>
      <tp>
        <v>1.5070140242337704</v>
        <stp/>
        <stp>##V3_BDPV12</stp>
        <stp>AAPL US Equity</stp>
        <stp>EQY DVD YLD IND</stp>
        <stp>[GMIC Info Template.xlsm]Security Analysis!R7C20</stp>
        <tr r="T7" s="13"/>
      </tp>
      <tp t="s">
        <v>Private Housing Units Started</v>
        <stp/>
        <stp>##V3_BDPV12</stp>
        <stp>NHCHSTCH Index</stp>
        <stp>NAME</stp>
        <stp>[GMIC Info Template.xlsm]ECO Calendar!R113C6</stp>
        <tr r="F113" s="2"/>
      </tp>
      <tp t="s">
        <v>#N/A N/A</v>
        <stp/>
        <stp>##V3_BDPV12</stp>
        <stp>MPMIUSCA Index</stp>
        <stp>BN SURVEY MEDIAN</stp>
        <stp>[GMIC Info Template.xlsm]ECO Calendar!R35C8</stp>
        <tr r="H35" s="2"/>
      </tp>
      <tp>
        <v>41</v>
        <stp/>
        <stp>##V3_BDPV12</stp>
        <stp>NAPMPRIC Index</stp>
        <stp>BN SURVEY MEDIAN</stp>
        <stp>[GMIC Info Template.xlsm]ECO Calendar!R63C8</stp>
        <tr r="H63" s="2"/>
      </tp>
      <tp t="s">
        <v>BBG000BW8S60</v>
        <stp/>
        <stp>##V3_BDPV12</stp>
        <stp>UTX US Equity</stp>
        <stp>ID BB GLOBAL</stp>
        <stp>[GMIC Info Template.xlsm]Security Analysis!R28C4</stp>
        <tr r="D28" s="13"/>
      </tp>
      <tp>
        <v>0.4</v>
        <stp/>
        <stp>##V3_BDPV12</stp>
        <stp>RSTAXMOM Index</stp>
        <stp>PX LAST</stp>
        <stp>[GMIC Info Template.xlsm]ECO Calendar!R94C7</stp>
        <tr r="G94" s="2"/>
      </tp>
      <tp>
        <v>70.634900000000002</v>
        <stp/>
        <stp>##V3_BDPV12</stp>
        <stp>FDIUFDYO Index</stp>
        <stp>RELEVANCE VALUE</stp>
        <stp>[GMIC Info Template.xlsm]ECO Calendar!R99C5</stp>
        <tr r="E99" s="2"/>
      </tp>
      <tp>
        <v>40.476199999999999</v>
        <stp/>
        <stp>##V3_BDPV12</stp>
        <stp>CPUPAXFE Index</stp>
        <stp>RELEVANCE VALUE</stp>
        <stp>[GMIC Info Template.xlsm]ECO Calendar!R16C5</stp>
        <tr r="E16" s="2"/>
      </tp>
      <tp>
        <v>56.9</v>
        <stp/>
        <stp>##V3_BDPV12</stp>
        <stp>NAPMNMI Index</stp>
        <stp>QUOTE PRIOR MID</stp>
        <stp>[GMIC Info Template.xlsm]ECO Calendar!R69C9</stp>
        <tr r="I69" s="2"/>
      </tp>
      <tp>
        <v>57.1</v>
        <stp/>
        <stp>##V3_BDPV12</stp>
        <stp>MPMIUSSA Index</stp>
        <stp>QUOTE PRIOR MID</stp>
        <stp>[GMIC Info Template.xlsm]ECO Calendar!R36C9</stp>
        <tr r="I36" s="2"/>
      </tp>
      <tp t="s">
        <v>Private Total Housing Authoriz</v>
        <stp/>
        <stp>##V3_BDPV12</stp>
        <stp>NHCHATCH Index</stp>
        <stp>NAME</stp>
        <stp>[GMIC Info Template.xlsm]ECO Calendar!R114C6</stp>
        <tr r="F114" s="2"/>
      </tp>
      <tp>
        <v>33.132012174457309</v>
        <stp/>
        <stp>##V3_BDPV12</stp>
        <stp>V US Equity</stp>
        <stp>PE RATIO</stp>
        <stp>[GMIC Info Template.xlsm]Security Analysis!R22C19</stp>
        <tr r="S22" s="13"/>
      </tp>
      <tp t="s">
        <v>3/31/2015</v>
        <stp/>
        <stp>##V3_BDPV12</stp>
        <stp>CHALYOY% Index</stp>
        <stp>CR OBSERVATION DATE</stp>
        <stp>[GMIC Info Template.xlsm]ECO Calendar!R72C13</stp>
        <tr r="M72" s="2"/>
      </tp>
      <tp t="s">
        <v>United States</v>
        <stp/>
        <stp>##V3_BDPV12</stp>
        <stp>INJCJCNS Index</stp>
        <stp>REGION OR COUNTRY</stp>
        <stp>[GMIC Info Template.xlsm]ECO Calendar!R117C20</stp>
        <tr r="T117" s="2"/>
      </tp>
      <tp>
        <v>0.2</v>
        <stp/>
        <stp>##V3_BDPV12</stp>
        <stp>TMNOCHNG Index</stp>
        <stp>PX LAST</stp>
        <stp>[GMIC Info Template.xlsm]ECO Calendar!R67C7</stp>
        <tr r="G67" s="2"/>
      </tp>
      <tp t="s">
        <v>United States</v>
        <stp/>
        <stp>##V3_BDPV12</stp>
        <stp>CONSSENT Index</stp>
        <stp>REGION OR COUNTRY</stp>
        <stp>[GMIC Info Template.xlsm]ECO Calendar!R7C20</stp>
        <tr r="T7" s="2"/>
      </tp>
      <tp>
        <v>55.7</v>
        <stp/>
        <stp>##V3_BDPV12</stp>
        <stp>MPMIUSMA Index</stp>
        <stp>PX LAST</stp>
        <stp>[GMIC Info Template.xlsm]ECO Calendar!R27C7</stp>
        <tr r="G27" s="2"/>
      </tp>
      <tp t="s">
        <v>#N/A N/A</v>
        <stp/>
        <stp>##V3_BDPV12</stp>
        <stp>USEMNCHG Index</stp>
        <stp>BN SURVEY MEDIAN</stp>
        <stp>[GMIC Info Template.xlsm]ECO Calendar!R81C8</stp>
        <tr r="H81" s="2"/>
      </tp>
      <tp t="s">
        <v>#N/A N/A</v>
        <stp/>
        <stp>##V3_BDPV12</stp>
        <stp>USUDMAER Index</stp>
        <stp>BN SURVEY MEDIAN</stp>
        <stp>[GMIC Info Template.xlsm]ECO Calendar!R82C8</stp>
        <tr r="H82" s="2"/>
      </tp>
      <tp t="s">
        <v>United States</v>
        <stp/>
        <stp>##V3_BDPV12</stp>
        <stp>SPCS20 Index</stp>
        <stp>REGION OR COUNTRY</stp>
        <stp>[GMIC Info Template.xlsm]ECO Calendar!R38C20</stp>
        <tr r="T38" s="2"/>
      </tp>
      <tp>
        <v>1085623</v>
        <stp/>
        <stp>##V3_BDPV12</stp>
        <stp>FNRG US EQUITY</stp>
        <stp>PX VOLUME 1D</stp>
        <stp>[GMIC Info Template.xlsm]Most Up &amp; Down!R25C15</stp>
        <tr r="O25" s="9"/>
      </tp>
      <tp>
        <v>18.254000000000001</v>
        <stp/>
        <stp>##V3_BDPV12</stp>
        <stp>KCLSSACI Index</stp>
        <stp>RELEVANCE VALUE</stp>
        <stp>[GMIC Info Template.xlsm]ECO Calendar!R28C5</stp>
        <tr r="E28" s="2"/>
      </tp>
      <tp>
        <v>55.1</v>
        <stp/>
        <stp>##V3_BDPV12</stp>
        <stp>MPMIUSMA Index</stp>
        <stp>QUOTE PRIOR MID</stp>
        <stp>[GMIC Info Template.xlsm]ECO Calendar!R27C9</stp>
        <tr r="I27" s="2"/>
      </tp>
      <tp>
        <v>-0.7</v>
        <stp/>
        <stp>##V3_BDPV12</stp>
        <stp>TMNOCHNG Index</stp>
        <stp>QUOTE PRIOR MID</stp>
        <stp>[GMIC Info Template.xlsm]ECO Calendar!R67C9</stp>
        <tr r="I67" s="2"/>
      </tp>
      <tp>
        <v>18.72524124807542</v>
        <stp/>
        <stp>##V3_BDPV12</stp>
        <stp>PFE US Equity</stp>
        <stp>PE RATIO</stp>
        <stp>[GMIC Info Template.xlsm]Security Analysis!R15C19</stp>
        <tr r="S15" s="13"/>
      </tp>
      <tp t="s">
        <v>#N/A Field Not Applicable</v>
        <stp/>
        <stp>##V3_BDPV12</stp>
        <stp>FDIDSGMO Index</stp>
        <stp>DES NOTES</stp>
        <stp>[GMIC Info Template.xlsm]ECO Calendar!R100C21</stp>
        <tr r="U100" s="2"/>
      </tp>
      <tp t="s">
        <v>US</v>
        <stp/>
        <stp>##V3_BDPV12</stp>
        <stp>HD US Equity</stp>
        <stp>CNTRY OF RISK</stp>
        <stp>[GMIC Info Template.xlsm]Security Analysis!R24C8</stp>
        <tr r="H24" s="13"/>
      </tp>
      <tp t="s">
        <v>3/31/2015</v>
        <stp/>
        <stp>##V3_BDPV12</stp>
        <stp>CPUPXCHG Index</stp>
        <stp>CR OBSERVATION DATE</stp>
        <stp>[GMIC Info Template.xlsm]ECO Calendar!R13C13</stp>
        <tr r="M13" s="2"/>
      </tp>
      <tp t="s">
        <v>3/31/2015</v>
        <stp/>
        <stp>##V3_BDPV12</stp>
        <stp>USEMNCHG Index</stp>
        <stp>CR OBSERVATION DATE</stp>
        <stp>[GMIC Info Template.xlsm]ECO Calendar!R81C13</stp>
        <tr r="M81" s="2"/>
      </tp>
      <tp t="s">
        <v>3/31/2015</v>
        <stp/>
        <stp>##V3_BDPV12</stp>
        <stp>CPI XYOY Index</stp>
        <stp>CR OBSERVATION DATE</stp>
        <stp>[GMIC Info Template.xlsm]ECO Calendar!R15C13</stp>
        <tr r="M15" s="2"/>
      </tp>
      <tp t="s">
        <v>2/28/2015</v>
        <stp/>
        <stp>##V3_BDPV12</stp>
        <stp>CGSHXAI% Index</stp>
        <stp>CR OBSERVATION DATE</stp>
        <stp>[GMIC Info Template.xlsm]ECO Calendar!R34C13</stp>
        <tr r="M34" s="2"/>
      </tp>
      <tp t="s">
        <v>2/28/2015</v>
        <stp/>
        <stp>##V3_BDPV12</stp>
        <stp>CGNOXAI% Index</stp>
        <stp>CR OBSERVATION DATE</stp>
        <stp>[GMIC Info Template.xlsm]ECO Calendar!R33C13</stp>
        <tr r="M33" s="2"/>
      </tp>
      <tp t="s">
        <v>4/28/2015</v>
        <stp/>
        <stp>##V3_BDPV12</stp>
        <stp>SPCS20 Index</stp>
        <stp>ECO RELEASE DT</stp>
        <stp>[GMIC Info Template.xlsm]ECO Calendar!R38C16</stp>
        <tr r="P38" s="2"/>
      </tp>
      <tp>
        <v>56.5</v>
        <stp/>
        <stp>##V3_BDPV12</stp>
        <stp>NAPMNMI Index</stp>
        <stp>PX LAST</stp>
        <stp>[GMIC Info Template.xlsm]ECO Calendar!R69C7</stp>
        <tr r="G69" s="2"/>
      </tp>
      <tp t="s">
        <v>#N/A N/A</v>
        <stp/>
        <stp>##V3_BDPV12</stp>
        <stp>PCE CHNC Index</stp>
        <stp>BN SURVEY MEDIAN</stp>
        <stp>[GMIC Info Template.xlsm]ECO Calendar!R58C8</stp>
        <tr r="H58" s="2"/>
      </tp>
      <tp>
        <v>59.2</v>
        <stp/>
        <stp>##V3_BDPV12</stp>
        <stp>MPMIUSSA Index</stp>
        <stp>PX LAST</stp>
        <stp>[GMIC Info Template.xlsm]ECO Calendar!R36C7</stp>
        <tr r="G36" s="2"/>
      </tp>
      <tp t="s">
        <v>BBG000BMX289</v>
        <stp/>
        <stp>##V3_BDPV12</stp>
        <stp>KO US Equity</stp>
        <stp>ID BB GLOBAL</stp>
        <stp>[GMIC Info Template.xlsm]Security Analysis!R19C4</stp>
        <tr r="D19" s="13"/>
      </tp>
      <tp>
        <v>0.4</v>
        <stp/>
        <stp>##V3_BDPV12</stp>
        <stp>MWINCHNG Index</stp>
        <stp>QUOTE PRIOR MID</stp>
        <stp>[GMIC Info Template.xlsm]ECO Calendar!R85C9</stp>
        <tr r="I85" s="2"/>
      </tp>
      <tp>
        <v>92.857100000000003</v>
        <stp/>
        <stp>##V3_BDPV12</stp>
        <stp>MBAVCHNG Index</stp>
        <stp>RELEVANCE VALUE</stp>
        <stp>[GMIC Info Template.xlsm]ECO Calendar!R20C5</stp>
        <tr r="E20" s="2"/>
      </tp>
      <tp>
        <v>2</v>
        <stp/>
        <stp>##V3_BDPV12</stp>
        <stp>AHE YOY% Index</stp>
        <stp>QUOTE PRIOR MID</stp>
        <stp>[GMIC Info Template.xlsm]ECO Calendar!R79C9</stp>
        <tr r="I79" s="2"/>
      </tp>
      <tp t="s">
        <v>#N/A N/A</v>
        <stp/>
        <stp>##V3_BDPV12</stp>
        <stp>ECONUSIB Index</stp>
        <stp>QUOTE PRIOR MID</stp>
        <stp>[GMIC Info Template.xlsm]ECO Calendar!R70C9</stp>
        <tr r="I70" s="2"/>
      </tp>
      <tp t="s">
        <v>National Association of Home B</v>
        <stp/>
        <stp>##V3_BDPV12</stp>
        <stp>USHBMIDX Index</stp>
        <stp>NAME</stp>
        <stp>[GMIC Info Template.xlsm]ECO Calendar!R110C6</stp>
        <tr r="F110" s="2"/>
      </tp>
      <tp t="s">
        <v>3/31/2015</v>
        <stp/>
        <stp>##V3_BDPV12</stp>
        <stp>USMMMNCH Index</stp>
        <stp>CR OBSERVATION DATE</stp>
        <stp>[GMIC Info Template.xlsm]ECO Calendar!R76C13</stp>
        <tr r="M76" s="2"/>
      </tp>
      <tp t="s">
        <v>This release is frequently released early. It can come out as early as 9:55am EST. The official release time is 10:00.                                          Base year 1966=100.  A survey of consumer attitudes concerning both the present situation as well as expectations regarding economic conditions conducted by the University of Michigan. For the preliminary release approximately three hundred consumers are surveyed while five hundred are interviewed for the final figure. The level of consumer sentiment is related to the strength of consumer spending. Please note that this report is released twice per month. The first is a preliminary figure while the second is the final (revised) figure. HP only shows the final values for previous months while ECO &lt;GO&gt; includes every release.  This may account for discrepancies between the 'Prior' column and HP.</v>
        <stp/>
        <stp>##V3_BDPV12</stp>
        <stp>CONSEXP Index</stp>
        <stp>DES NOTES</stp>
        <stp>[GMIC Info Template.xlsm]ECO Calendar!R10C21</stp>
        <tr r="U10" s="2"/>
      </tp>
      <tp t="s">
        <v>3/31/2015</v>
        <stp/>
        <stp>##V3_BDPV12</stp>
        <stp>USUDMAER Index</stp>
        <stp>CR OBSERVATION DATE</stp>
        <stp>[GMIC Info Template.xlsm]ECO Calendar!R82C13</stp>
        <tr r="M82" s="2"/>
      </tp>
      <tp t="s">
        <v>3/31/2015</v>
        <stp/>
        <stp>##V3_BDPV12</stp>
        <stp>AHE YOY% Index</stp>
        <stp>CR OBSERVATION DATE</stp>
        <stp>[GMIC Info Template.xlsm]ECO Calendar!R79C13</stp>
        <tr r="M79" s="2"/>
      </tp>
      <tp t="s">
        <v>3/31/2015</v>
        <stp/>
        <stp>##V3_BDPV12</stp>
        <stp>KCLSSACI Index</stp>
        <stp>CR OBSERVATION DATE</stp>
        <stp>[GMIC Info Template.xlsm]ECO Calendar!R28C13</stp>
        <tr r="M28" s="2"/>
      </tp>
      <tp t="s">
        <v>3/31/2015</v>
        <stp/>
        <stp>##V3_BDPV12</stp>
        <stp>MPMIUSSA Index</stp>
        <stp>CR OBSERVATION DATE</stp>
        <stp>[GMIC Info Template.xlsm]ECO Calendar!R36C13</stp>
        <tr r="M36" s="2"/>
      </tp>
      <tp t="s">
        <v>3/31/2015</v>
        <stp/>
        <stp>##V3_BDPV12</stp>
        <stp>MPMIUSCA Index</stp>
        <stp>CR OBSERVATION DATE</stp>
        <stp>[GMIC Info Template.xlsm]ECO Calendar!R35C13</stp>
        <tr r="M35" s="2"/>
      </tp>
      <tp t="s">
        <v>3/31/2015</v>
        <stp/>
        <stp>##V3_BDPV12</stp>
        <stp>MPMIUSMA Index</stp>
        <stp>CR OBSERVATION DATE</stp>
        <stp>[GMIC Info Template.xlsm]ECO Calendar!R27C13</stp>
        <tr r="M27" s="2"/>
      </tp>
      <tp>
        <v>0.3</v>
        <stp/>
        <stp>##V3_BDPV12</stp>
        <stp>CGNOXAI% Index</stp>
        <stp>BN SURVEY MEDIAN</stp>
        <stp>[GMIC Info Template.xlsm]ECO Calendar!R33C8</stp>
        <tr r="H33" s="2"/>
      </tp>
      <tp t="s">
        <v>#N/A N/A</v>
        <stp/>
        <stp>##V3_BDPV12</stp>
        <stp>CHALYOY% Index</stp>
        <stp>BN SURVEY MEDIAN</stp>
        <stp>[GMIC Info Template.xlsm]ECO Calendar!R72C8</stp>
        <tr r="H72" s="2"/>
      </tp>
      <tp>
        <v>39</v>
        <stp/>
        <stp>##V3_BDPV12</stp>
        <stp>NAPMPRIC Index</stp>
        <stp>PX LAST</stp>
        <stp>[GMIC Info Template.xlsm]ECO Calendar!R63C7</stp>
        <tr r="G63" s="2"/>
      </tp>
      <tp t="s">
        <v>Index NSA</v>
        <stp/>
        <stp>##V3_BDPV12</stp>
        <stp>SPCS20 Index</stp>
        <stp>SEASONALITY AND TRANSFORMATION</stp>
        <stp>[GMIC Info Template.xlsm]ECO Calendar!R38C11</stp>
        <tr r="K38" s="2"/>
      </tp>
      <tp>
        <v>59.2</v>
        <stp/>
        <stp>##V3_BDPV12</stp>
        <stp>MPMIUSCA Index</stp>
        <stp>PX LAST</stp>
        <stp>[GMIC Info Template.xlsm]ECO Calendar!R35C7</stp>
        <tr r="G35" s="2"/>
      </tp>
      <tp t="s">
        <v>#N/A N/A</v>
        <stp/>
        <stp>##V3_BDPV12</stp>
        <stp>CPUPXCHG Index</stp>
        <stp>BN SURVEY MEDIAN</stp>
        <stp>[GMIC Info Template.xlsm]ECO Calendar!R13C8</stp>
        <tr r="H13" s="2"/>
      </tp>
      <tp>
        <v>236.119</v>
        <stp/>
        <stp>##V3_BDPV12</stp>
        <stp>CPURNSA Index</stp>
        <stp>PX LAST</stp>
        <stp>[GMIC Info Template.xlsm]ECO Calendar!R17C7</stp>
        <tr r="G17" s="2"/>
      </tp>
      <tp>
        <v>-0.3</v>
        <stp/>
        <stp>##V3_BDPV12</stp>
        <stp>LMCILMCC Index</stp>
        <stp>PX LAST</stp>
        <stp>[GMIC Info Template.xlsm]ECO Calendar!R87C7</stp>
        <tr r="G87" s="2"/>
      </tp>
      <tp>
        <v>-0.2</v>
        <stp/>
        <stp>##V3_BDPV12</stp>
        <stp>MWSLCHNG Index</stp>
        <stp>PX LAST</stp>
        <stp>[GMIC Info Template.xlsm]ECO Calendar!R86C7</stp>
        <tr r="G86" s="2"/>
      </tp>
      <tp>
        <v>0.3</v>
        <stp/>
        <stp>##V3_BDPV12</stp>
        <stp>AHE MOM% Index</stp>
        <stp>PX LAST</stp>
        <stp>[GMIC Info Template.xlsm]ECO Calendar!R78C7</stp>
        <tr r="G78" s="2"/>
      </tp>
      <tp>
        <v>-3.6</v>
        <stp/>
        <stp>##V3_BDPV12</stp>
        <stp>MWSLCHNG Index</stp>
        <stp>QUOTE PRIOR MID</stp>
        <stp>[GMIC Info Template.xlsm]ECO Calendar!R86C9</stp>
        <tr r="I86" s="2"/>
      </tp>
      <tp>
        <v>0.1</v>
        <stp/>
        <stp>##V3_BDPV12</stp>
        <stp>AHE MOM% Index</stp>
        <stp>QUOTE PRIOR MID</stp>
        <stp>[GMIC Info Template.xlsm]ECO Calendar!R78C9</stp>
        <tr r="I78" s="2"/>
      </tp>
      <tp>
        <v>234.72200000000001</v>
        <stp/>
        <stp>##V3_BDPV12</stp>
        <stp>CPURNSA Index</stp>
        <stp>QUOTE PRIOR MID</stp>
        <stp>[GMIC Info Template.xlsm]ECO Calendar!R17C9</stp>
        <tr r="I17" s="2"/>
      </tp>
      <tp>
        <v>2</v>
        <stp/>
        <stp>##V3_BDPV12</stp>
        <stp>LMCILMCC Index</stp>
        <stp>QUOTE PRIOR MID</stp>
        <stp>[GMIC Info Template.xlsm]ECO Calendar!R87C9</stp>
        <tr r="I87" s="2"/>
      </tp>
      <tp>
        <v>35</v>
        <stp/>
        <stp>##V3_BDPV12</stp>
        <stp>NAPMPRIC Index</stp>
        <stp>QUOTE PRIOR MID</stp>
        <stp>[GMIC Info Template.xlsm]ECO Calendar!R63C9</stp>
        <tr r="I63" s="2"/>
      </tp>
      <tp>
        <v>90.476200000000006</v>
        <stp/>
        <stp>##V3_BDPV12</stp>
        <stp>NHSLTOT Index</stp>
        <stp>RELEVANCE VALUE</stp>
        <stp>[GMIC Info Template.xlsm]ECO Calendar!R29C5</stp>
        <tr r="E29" s="2"/>
      </tp>
      <tp>
        <v>23.015899999999998</v>
        <stp/>
        <stp>##V3_BDPV12</stp>
        <stp>JOLTTOTL Index</stp>
        <stp>RELEVANCE VALUE</stp>
        <stp>[GMIC Info Template.xlsm]ECO Calendar!R88C5</stp>
        <tr r="E88" s="2"/>
      </tp>
      <tp>
        <v>57.2</v>
        <stp/>
        <stp>##V3_BDPV12</stp>
        <stp>MPMIUSCA Index</stp>
        <stp>QUOTE PRIOR MID</stp>
        <stp>[GMIC Info Template.xlsm]ECO Calendar!R35C9</stp>
        <tr r="I35" s="2"/>
      </tp>
      <tp t="s">
        <v>3/31/2015</v>
        <stp/>
        <stp>##V3_BDPV12</stp>
        <stp>IP CHNG Index</stp>
        <stp>CR OBSERVATION DATE</stp>
        <stp>[GMIC Info Template.xlsm]ECO Calendar!R104C13</stp>
        <tr r="M104" s="2"/>
      </tp>
      <tp t="s">
        <v>Mar</v>
        <stp/>
        <stp>##V3_BDPV12</stp>
        <stp>PCE DEFY Index</stp>
        <stp>OBSERVATION PERIOD</stp>
        <stp>[GMIC Info Template.xlsm]ECO Calendar!R56C12</stp>
        <tr r="L56" s="2"/>
      </tp>
      <tp t="s">
        <v>#N/A Field Not Applicable</v>
        <stp/>
        <stp>##V3_BDPV12</stp>
        <stp>FDIDSGUM Index</stp>
        <stp>DES NOTES</stp>
        <stp>[GMIC Info Template.xlsm]ECO Calendar!R102C21</stp>
        <tr r="U102" s="2"/>
      </tp>
      <tp t="s">
        <v>Mar</v>
        <stp/>
        <stp>##V3_BDPV12</stp>
        <stp>PCE CYOY Index</stp>
        <stp>OBSERVATION PERIOD</stp>
        <stp>[GMIC Info Template.xlsm]ECO Calendar!R55C12</stp>
        <tr r="L55" s="2"/>
      </tp>
      <tp t="s">
        <v>Monthly</v>
        <stp/>
        <stp>##V3_BDPV12</stp>
        <stp>NFP TYCH Index</stp>
        <stp>INDX FREQ</stp>
        <stp>[GMIC Info Template.xlsm]ECO Calendar!R119C15</stp>
        <tr r="O119" s="2"/>
      </tp>
      <tp t="s">
        <v>Apr</v>
        <stp/>
        <stp>##V3_BDPV12</stp>
        <stp>CPI XYOY Index</stp>
        <stp>OBSERVATION PERIOD</stp>
        <stp>[GMIC Info Template.xlsm]ECO Calendar!R15C12</stp>
        <tr r="L15" s="2"/>
      </tp>
      <tp>
        <v>1.373272</v>
        <stp/>
        <stp>##V3_BDPV12</stp>
        <stp>AAPL US Equity</stp>
        <stp>SHORT INT RATIO</stp>
        <stp>[GMIC Info Template.xlsm]Security Analysis!R7C11</stp>
        <tr r="K7" s="13"/>
      </tp>
      <tp>
        <v>14.603554285763447</v>
        <stp/>
        <stp>##V3_BDPV12</stp>
        <stp>VZ US Equity</stp>
        <stp>PE RATIO</stp>
        <stp>[GMIC Info Template.xlsm]Security Analysis!R17C19</stp>
        <tr r="S17" s="13"/>
      </tp>
      <tp>
        <v>51.3</v>
        <stp/>
        <stp>##V3_BDPV12</stp>
        <stp>ECONUSIB Index</stp>
        <stp>PX LAST</stp>
        <stp>[GMIC Info Template.xlsm]ECO Calendar!R70C7</stp>
        <tr r="G70" s="2"/>
      </tp>
      <tp>
        <v>2.1</v>
        <stp/>
        <stp>##V3_BDPV12</stp>
        <stp>AHE YOY% Index</stp>
        <stp>PX LAST</stp>
        <stp>[GMIC Info Template.xlsm]ECO Calendar!R79C7</stp>
        <tr r="G79" s="2"/>
      </tp>
      <tp t="s">
        <v>#N/A N/A</v>
        <stp/>
        <stp>##V3_BDPV12</stp>
        <stp>USTBTOT Index</stp>
        <stp>BN SURVEY MEDIAN</stp>
        <stp>[GMIC Info Template.xlsm]ECO Calendar!R68C8</stp>
        <tr r="H68" s="2"/>
      </tp>
      <tp t="s">
        <v>US</v>
        <stp/>
        <stp>##V3_BDPV12</stp>
        <stp>UTX US Equity</stp>
        <stp>CNTRY OF RISK</stp>
        <stp>[GMIC Info Template.xlsm]Security Analysis!R28C8</stp>
        <tr r="H28" s="13"/>
      </tp>
      <tp>
        <v>0.3</v>
        <stp/>
        <stp>##V3_BDPV12</stp>
        <stp>MWINCHNG Index</stp>
        <stp>PX LAST</stp>
        <stp>[GMIC Info Template.xlsm]ECO Calendar!R85C7</stp>
        <tr r="G85" s="2"/>
      </tp>
      <tp>
        <v>84.126999999999995</v>
        <stp/>
        <stp>##V3_BDPV12</stp>
        <stp>LEI CHNG Index</stp>
        <stp>RELEVANCE VALUE</stp>
        <stp>[GMIC Info Template.xlsm]ECO Calendar!R18C5</stp>
        <tr r="E18" s="2"/>
      </tp>
      <tp t="s">
        <v>S&amp;P/Case-Shiller Composite-20 City Home Price Index YoY</v>
        <stp/>
        <stp>##V3_BDPV12</stp>
        <stp>SPCS20Y% Index</stp>
        <stp>Long Comp Name</stp>
        <stp>[GMIC Info Template.xlsm]ECO Calendar!R39C3</stp>
        <tr r="C39" s="2"/>
      </tp>
      <tp t="s">
        <v>Units/Persons SA</v>
        <stp/>
        <stp>##V3_BDPV12</stp>
        <stp>NFP T Index</stp>
        <stp>SEASONALITY AND TRANSFORMATION</stp>
        <stp>[GMIC Info Template.xlsm]ECO Calendar!R118C11</stp>
        <tr r="K118" s="2"/>
      </tp>
      <tp t="s">
        <v>KUTV</v>
        <stp/>
        <stp>##V3_BDPV12</stp>
        <stp>KUTV US EQUITY</stp>
        <stp>TICKER</stp>
        <stp>[GMIC Info Template.xlsm]Most Up &amp; Down!R15C10</stp>
        <tr r="J15" s="9"/>
      </tp>
      <tp t="s">
        <v>Apr</v>
        <stp/>
        <stp>##V3_BDPV12</stp>
        <stp>SAARDTOT Index</stp>
        <stp>OBSERVATION PERIOD</stp>
        <stp>[GMIC Info Template.xlsm]ECO Calendar!R65C12</stp>
        <tr r="L65" s="2"/>
      </tp>
      <tp>
        <v>3.1265999999999998</v>
        <stp/>
        <stp>##V3_BDPV12</stp>
        <stp>INTC US Equity</stp>
        <stp>SHORT INT RATIO</stp>
        <stp>[GMIC Info Template.xlsm]Security Analysis!R23C11</stp>
        <tr r="K23" s="13"/>
      </tp>
      <tp t="s">
        <v>Apr</v>
        <stp/>
        <stp>##V3_BDPV12</stp>
        <stp>NFP PCH Index</stp>
        <stp>OBSERVATION PERIOD</stp>
        <stp>[GMIC Info Template.xlsm]ECO Calendar!R77C12</stp>
        <tr r="L77" s="2"/>
      </tp>
      <tp t="s">
        <v>Apr</v>
        <stp/>
        <stp>##V3_BDPV12</stp>
        <stp>NFP TCH Index</stp>
        <stp>OBSERVATION PERIOD</stp>
        <stp>[GMIC Info Template.xlsm]ECO Calendar!R74C12</stp>
        <tr r="L74" s="2"/>
      </tp>
      <tp t="s">
        <v>US</v>
        <stp/>
        <stp>##V3_BDPV12</stp>
        <stp>NKE US Equity</stp>
        <stp>COUNTRY</stp>
        <stp>[GMIC Info Template.xlsm]Security Analysis!R32C7</stp>
        <tr r="G32" s="13"/>
      </tp>
      <tp>
        <v>4.0928640000000005</v>
        <stp/>
        <stp>##V3_BDPV12</stp>
        <stp>PG US Equity</stp>
        <stp>TRAIL 12M EPS</stp>
        <stp>[GMIC Info Template.xlsm]Security Analysis!R14C14</stp>
        <tr r="N14" s="13"/>
      </tp>
      <tp>
        <v>25.401104395843298</v>
        <stp/>
        <stp>##V3_BDPV12</stp>
        <stp>KO US Equity</stp>
        <stp>EBITDA MARGIN</stp>
        <stp>[GMIC Info Template.xlsm]Security Analysis!R19C22</stp>
        <tr r="V19" s="13"/>
      </tp>
      <tp t="s">
        <v>US</v>
        <stp/>
        <stp>##V3_BDPV12</stp>
        <stp>WMT US Equity</stp>
        <stp>COUNTRY</stp>
        <stp>[GMIC Info Template.xlsm]Security Analysis!R12C7</stp>
        <tr r="G12" s="13"/>
      </tp>
      <tp t="s">
        <v>Units/Persons SA</v>
        <stp/>
        <stp>##V3_BDPV12</stp>
        <stp>INJCSP Index</stp>
        <stp>SEASONALITY AND TRANSFORMATION</stp>
        <stp>[GMIC Info Template.xlsm]ECO Calendar!R26C11</stp>
        <tr r="K26" s="2"/>
      </tp>
      <tp t="s">
        <v>Weekly on Friday</v>
        <stp/>
        <stp>##V3_BDPV12</stp>
        <stp>INJCJC Index</stp>
        <stp>INDX FREQ</stp>
        <stp>[GMIC Info Template.xlsm]ECO Calendar!R25C15</stp>
        <tr r="O25" s="2"/>
      </tp>
      <tp>
        <v>1204.22</v>
        <stp/>
        <stp>##V3_BDPV12</stp>
        <stp>XAU CURNCY</stp>
        <stp>PX LAST</stp>
        <stp>[GMIC Info Template.xlsm]Currencies &amp; Commodities!R20C4</stp>
        <tr r="D20" s="3"/>
      </tp>
      <tp t="s">
        <v>ATHX</v>
        <stp/>
        <stp>##V3_BDPV12</stp>
        <stp>ATHX US EQUITY</stp>
        <stp>TICKER</stp>
        <stp>[GMIC Info Template.xlsm]Most Up &amp; Down!R22C10</stp>
        <tr r="J22" s="9"/>
      </tp>
      <tp>
        <v>46.497487437185931</v>
        <stp/>
        <stp>##V3_BDPV12</stp>
        <stp>MSFT US Equity</stp>
        <stp>INTEREST COVERAGE RATIO</stp>
        <stp>[GMIC Info Template.xlsm]Security Analysis!R9C27</stp>
        <tr r="AA9" s="13"/>
      </tp>
      <tp t="s">
        <v>Apr</v>
        <stp/>
        <stp>##V3_BDPV12</stp>
        <stp>RSTAMOM Index</stp>
        <stp>OBSERVATION PERIOD</stp>
        <stp>[GMIC Info Template.xlsm]ECO Calendar!R93C12</stp>
        <tr r="L93" s="2"/>
      </tp>
      <tp t="s">
        <v>Apr</v>
        <stp/>
        <stp>##V3_BDPV12</stp>
        <stp>NAPMNMI Index</stp>
        <stp>OBSERVATION PERIOD</stp>
        <stp>[GMIC Info Template.xlsm]ECO Calendar!R69C12</stp>
        <tr r="L69" s="2"/>
      </tp>
      <tp t="s">
        <v>Apr</v>
        <stp/>
        <stp>##V3_BDPV12</stp>
        <stp>NAPMPMI Index</stp>
        <stp>OBSERVATION PERIOD</stp>
        <stp>[GMIC Info Template.xlsm]ECO Calendar!R61C12</stp>
        <tr r="L61" s="2"/>
      </tp>
      <tp t="s">
        <v>Mar</v>
        <stp/>
        <stp>##V3_BDPV12</stp>
        <stp>DGNOXTCH Index</stp>
        <stp>OBSERVATION PERIOD</stp>
        <stp>[GMIC Info Template.xlsm]ECO Calendar!R32C12</stp>
        <tr r="L32" s="2"/>
      </tp>
      <tp t="s">
        <v>US</v>
        <stp/>
        <stp>##V3_BDPV12</stp>
        <stp>JPM US Equity</stp>
        <stp>COUNTRY</stp>
        <stp>[GMIC Info Template.xlsm]Security Analysis!R13C7</stp>
        <tr r="G13" s="13"/>
      </tp>
      <tp t="s">
        <v>United States</v>
        <stp/>
        <stp>##V3_BDPV12</stp>
        <stp>NFP TMOM Index</stp>
        <stp>REGION OR COUNTRY</stp>
        <stp>[GMIC Info Template.xlsm]ECO Calendar!R120C20</stp>
        <tr r="T120" s="2"/>
      </tp>
      <tp t="s">
        <v>USD</v>
        <stp/>
        <stp>##V3_BDPV12</stp>
        <stp>VZ US Equity</stp>
        <stp>CRNCY</stp>
        <stp>[GMIC Info Template.xlsm]Security Analysis!R17C12</stp>
        <tr r="L17" s="13"/>
      </tp>
      <tp t="s">
        <v>US</v>
        <stp/>
        <stp>##V3_BDPV12</stp>
        <stp>AXP US Equity</stp>
        <stp>COUNTRY</stp>
        <stp>[GMIC Info Template.xlsm]Security Analysis!R33C7</stp>
        <tr r="G33" s="13"/>
      </tp>
      <tp>
        <v>4.0370368957519531</v>
        <stp/>
        <stp>##V3_BDPV12</stp>
        <stp>BA US Equity</stp>
        <stp>EQY REC CONS</stp>
        <stp>[GMIC Info Template.xlsm]Security Analysis!R27C9</stp>
        <tr r="I27" s="13"/>
      </tp>
      <tp t="s">
        <v>S&amp;P/Case-Shiller Composite-20 City Home Price Index SA MOM % Change</v>
        <stp/>
        <stp>##V3_BDPV12</stp>
        <stp>SPCS20SM Index</stp>
        <stp>Long Comp Name</stp>
        <stp>[GMIC Info Template.xlsm]ECO Calendar!R42C3</stp>
        <tr r="C42" s="2"/>
      </tp>
      <tp>
        <v>21.562764456981665</v>
        <stp/>
        <stp>##V3_BDPV12</stp>
        <stp>PG US Equity</stp>
        <stp>INTEREST COVERAGE RATIO</stp>
        <stp>[GMIC Info Template.xlsm]Security Analysis!R14C27</stp>
        <tr r="AA14" s="13"/>
      </tp>
      <tp t="s">
        <v>U-6 Unemployment Rate Unemployed &amp; Margin &amp; Part Time as % Labor Force &amp; Margin</v>
        <stp/>
        <stp>##V3_BDPV12</stp>
        <stp>USUDMAER Index</stp>
        <stp>Long Comp Name</stp>
        <stp>[GMIC Info Template.xlsm]ECO Calendar!R82C3</stp>
        <tr r="C82" s="2"/>
      </tp>
      <tp>
        <v>3.7042147042147042</v>
        <stp/>
        <stp>##V3_BDPV12</stp>
        <stp>VZ US Equity</stp>
        <stp>INTEREST COVERAGE RATIO</stp>
        <stp>[GMIC Info Template.xlsm]Security Analysis!R17C27</stp>
        <tr r="AA17" s="13"/>
      </tp>
      <tp>
        <v>12.582932692307692</v>
        <stp/>
        <stp>##V3_BDPV12</stp>
        <stp>HD US Equity</stp>
        <stp>INTEREST COVERAGE RATIO</stp>
        <stp>[GMIC Info Template.xlsm]Security Analysis!R24C27</stp>
        <tr r="AA24" s="13"/>
      </tp>
      <tp>
        <v>20.099378881987576</v>
        <stp/>
        <stp>##V3_BDPV12</stp>
        <stp>KO US Equity</stp>
        <stp>INTEREST COVERAGE RATIO</stp>
        <stp>[GMIC Info Template.xlsm]Security Analysis!R19C27</stp>
        <tr r="AA19" s="13"/>
      </tp>
      <tp>
        <v>4.0256409645080566</v>
        <stp/>
        <stp>##V3_BDPV12</stp>
        <stp>VZ US Equity</stp>
        <stp>EQY REC CONS</stp>
        <stp>[GMIC Info Template.xlsm]Security Analysis!R17C9</stp>
        <tr r="I17" s="13"/>
      </tp>
      <tp>
        <v>4.1599998474121094</v>
        <stp/>
        <stp>##V3_BDPV12</stp>
        <stp>PFE US Equity</stp>
        <stp>EQY REC CONS</stp>
        <stp>[GMIC Info Template.xlsm]Security Analysis!R15C9</stp>
        <tr r="I15" s="13"/>
      </tp>
      <tp>
        <v>17.179310344827588</v>
        <stp/>
        <stp>##V3_BDPV12</stp>
        <stp>BA US Equity</stp>
        <stp>INTEREST COVERAGE RATIO</stp>
        <stp>[GMIC Info Template.xlsm]Security Analysis!R27C27</stp>
        <tr r="AA27" s="13"/>
      </tp>
      <tp>
        <v>3.2857143878936768</v>
        <stp/>
        <stp>##V3_BDPV12</stp>
        <stp>WMT US Equity</stp>
        <stp>EQY REC CONS</stp>
        <stp>[GMIC Info Template.xlsm]Security Analysis!R12C9</stp>
        <tr r="I12" s="13"/>
      </tp>
      <tp>
        <v>9.3418013856812934</v>
        <stp/>
        <stp>##V3_BDPV12</stp>
        <stp>DD US Equity</stp>
        <stp>INTEREST COVERAGE RATIO</stp>
        <stp>[GMIC Info Template.xlsm]Security Analysis!R34C27</stp>
        <tr r="AA34" s="13"/>
      </tp>
      <tp>
        <v>1.7304091721889134</v>
        <stp/>
        <stp>##V3_BDPV12</stp>
        <stp>GE US Equity</stp>
        <stp>INTEREST COVERAGE RATIO</stp>
        <stp>[GMIC Info Template.xlsm]Security Analysis!R11C27</stp>
        <tr r="AA11" s="13"/>
      </tp>
      <tp t="s">
        <v>#N/A N/A</v>
        <stp/>
        <stp>##V3_BDPV12</stp>
        <stp>GS US Equity</stp>
        <stp>INTEREST COVERAGE RATIO</stp>
        <stp>[GMIC Info Template.xlsm]Security Analysis!R31C27</stp>
        <tr r="AA31" s="13"/>
      </tp>
      <tp>
        <v>1.1964707020699317</v>
        <stp/>
        <stp>##V3_BDPV12</stp>
        <stp>MSFT US Equity</stp>
        <stp>BETA RAW OVERRIDABLE</stp>
        <stp>[GMIC Info Template.xlsm]Security Analysis!R9C10</stp>
        <stp>BETA_OVERRIDE_REL_INDEX=SPX INDEX</stp>
        <tr r="J9" s="13"/>
      </tp>
      <tp t="s">
        <v>US</v>
        <stp/>
        <stp>##V3_BDPV12</stp>
        <stp>JNJ US Equity</stp>
        <stp>COUNTRY</stp>
        <stp>[GMIC Info Template.xlsm]Security Analysis!R10C7</stp>
        <tr r="G10" s="13"/>
      </tp>
      <tp t="s">
        <v>US</v>
        <stp/>
        <stp>##V3_BDPV12</stp>
        <stp>MRK US Equity</stp>
        <stp>COUNTRY</stp>
        <stp>[GMIC Info Template.xlsm]Security Analysis!R20C7</stp>
        <tr r="G20" s="13"/>
      </tp>
      <tp t="s">
        <v>US</v>
        <stp/>
        <stp>##V3_BDPV12</stp>
        <stp>MCD US Equity</stp>
        <stp>COUNTRY</stp>
        <stp>[GMIC Info Template.xlsm]Security Analysis!R30C7</stp>
        <tr r="G30" s="13"/>
      </tp>
      <tp>
        <v>2.97749</v>
        <stp/>
        <stp>##V3_BDPV12</stp>
        <stp>GE US Equity</stp>
        <stp>TRAIL 12M EPS</stp>
        <stp>[GMIC Info Template.xlsm]Security Analysis!R11C14</stp>
        <tr r="N11" s="13"/>
      </tp>
      <tp t="s">
        <v>US Auto Sales Total Annualized SA</v>
        <stp/>
        <stp>##V3_BDPV12</stp>
        <stp>SAARTOTL Index</stp>
        <stp>Long Comp Name</stp>
        <stp>[GMIC Info Template.xlsm]ECO Calendar!R64C3</stp>
        <tr r="C64" s="2"/>
      </tp>
      <tp>
        <v>3.2592592239379883</v>
        <stp/>
        <stp>##V3_BDPV12</stp>
        <stp>DD US Equity</stp>
        <stp>EQY REC CONS</stp>
        <stp>[GMIC Info Template.xlsm]Security Analysis!R34C9</stp>
        <tr r="I34" s="13"/>
      </tp>
      <tp>
        <v>4.1176471710205078</v>
        <stp/>
        <stp>##V3_BDPV12</stp>
        <stp>HD US Equity</stp>
        <stp>EQY REC CONS</stp>
        <stp>[GMIC Info Template.xlsm]Security Analysis!R24C9</stp>
        <tr r="I24" s="13"/>
      </tp>
      <tp>
        <v>118.9</v>
        <stp/>
        <stp>##V3_BDPV12</stp>
        <stp>USDJPY CURNCY</stp>
        <stp>PX LAST</stp>
        <stp>[GMIC Info Template.xlsm]Currencies &amp; Commodities!R8C4</stp>
        <tr r="D8" s="3"/>
      </tp>
      <tp>
        <v>3.625</v>
        <stp/>
        <stp>##V3_BDPV12</stp>
        <stp>PG US Equity</stp>
        <stp>EQY REC CONS</stp>
        <stp>[GMIC Info Template.xlsm]Security Analysis!R14C9</stp>
        <tr r="I14" s="13"/>
      </tp>
      <tp>
        <v>55.74</v>
        <stp/>
        <stp>##V3_BDPV12</stp>
        <stp>CLA COMDTY</stp>
        <stp>PX LAST</stp>
        <stp>[GMIC Info Template.xlsm]Currencies &amp; Commodities!R18C4</stp>
        <tr r="D18" s="3"/>
      </tp>
      <tp t="s">
        <v>Common Stock</v>
        <stp/>
        <stp>##V3_BDPV12</stp>
        <stp>NKE US Equity</stp>
        <stp>SECURITY TYP</stp>
        <stp>[GMIC Info Template.xlsm]Security Analysis!R32C5</stp>
        <tr r="E32" s="13"/>
      </tp>
      <tp t="s">
        <v>Common Stock</v>
        <stp/>
        <stp>##V3_BDPV12</stp>
        <stp>DIS US Equity</stp>
        <stp>SECURITY TYP</stp>
        <stp>[GMIC Info Template.xlsm]Security Analysis!R18C5</stp>
        <tr r="E18" s="13"/>
      </tp>
      <tp t="s">
        <v>Common Stock</v>
        <stp/>
        <stp>##V3_BDPV12</stp>
        <stp>V US Equity</stp>
        <stp>SECURITY TYP</stp>
        <stp>[GMIC Info Template.xlsm]Security Analysis!R22C5</stp>
        <tr r="E22" s="13"/>
      </tp>
      <tp t="s">
        <v>S&amp;P/Case-Shiller United States Home Price Index Monthly Data MoM % Change SA</v>
        <stp/>
        <stp>##V3_BDPV12</stp>
        <stp>SPCSUSQS Index</stp>
        <stp>Long Comp Name</stp>
        <stp>[GMIC Info Template.xlsm]ECO Calendar!R43C3</stp>
        <tr r="C43" s="2"/>
      </tp>
      <tp t="s">
        <v>NVDQ</v>
        <stp/>
        <stp>##V3_BDPV12</stp>
        <stp>NVDQ US EQUITY</stp>
        <stp>TICKER</stp>
        <stp>[GMIC Info Template.xlsm]Most Up &amp; Down!R27C10</stp>
        <tr r="J27" s="9"/>
      </tp>
      <tp>
        <v>25.396799999999999</v>
        <stp/>
        <stp>##V3_BDPV12</stp>
        <stp>AWH TOTL Index</stp>
        <stp>RELEVANCE VALUE</stp>
        <stp>[GMIC Info Template.xlsm]ECO Calendar!R80C5</stp>
        <tr r="E80" s="2"/>
      </tp>
      <tp>
        <v>1.9473612500000002</v>
        <stp/>
        <stp>##V3_BDPV12</stp>
        <stp>V US Equity</stp>
        <stp>TRAIL 12M EPS</stp>
        <stp>[GMIC Info Template.xlsm]Security Analysis!R22C14</stp>
        <tr r="N22" s="13"/>
      </tp>
      <tp t="s">
        <v>Apr</v>
        <stp/>
        <stp>##V3_BDPV12</stp>
        <stp>USMMMNCH Index</stp>
        <stp>OBSERVATION PERIOD</stp>
        <stp>[GMIC Info Template.xlsm]ECO Calendar!R76C12</stp>
        <tr r="L76" s="2"/>
      </tp>
      <tp t="s">
        <v>Apr</v>
        <stp/>
        <stp>##V3_BDPV12</stp>
        <stp>AHE YOY% Index</stp>
        <stp>OBSERVATION PERIOD</stp>
        <stp>[GMIC Info Template.xlsm]ECO Calendar!R79C12</stp>
        <tr r="L79" s="2"/>
      </tp>
      <tp t="s">
        <v>Monthly</v>
        <stp/>
        <stp>##V3_BDPV12</stp>
        <stp>COMFBTWR Index</stp>
        <stp>INDX FREQ</stp>
        <stp>[GMIC Info Template.xlsm]ECO Calendar!R115C15</stp>
        <tr r="O115" s="2"/>
      </tp>
      <tp t="s">
        <v>Apr</v>
        <stp/>
        <stp>##V3_BDPV12</stp>
        <stp>SBOITOTL Index</stp>
        <stp>OBSERVATION PERIOD</stp>
        <stp>[GMIC Info Template.xlsm]ECO Calendar!R90C12</stp>
        <tr r="L90" s="2"/>
      </tp>
      <tp t="s">
        <v>Apr</v>
        <stp/>
        <stp>##V3_BDPV12</stp>
        <stp>CONCCONF Index</stp>
        <stp>OBSERVATION PERIOD</stp>
        <stp>[GMIC Info Template.xlsm]ECO Calendar!R44C12</stp>
        <tr r="L44" s="2"/>
      </tp>
      <tp t="s">
        <v>Apr</v>
        <stp/>
        <stp>##V3_BDPV12</stp>
        <stp>CONCCONF Index</stp>
        <stp>OBSERVATION PERIOD</stp>
        <stp>[GMIC Info Template.xlsm]ECO Calendar!R45C12</stp>
        <tr r="L45" s="2"/>
      </tp>
      <tp t="s">
        <v>Mar</v>
        <stp/>
        <stp>##V3_BDPV12</stp>
        <stp>USPHTMOM Index</stp>
        <stp>OBSERVATION PERIOD</stp>
        <stp>[GMIC Info Template.xlsm]ECO Calendar!R46C12</stp>
        <tr r="L46" s="2"/>
      </tp>
      <tp t="s">
        <v>Mar</v>
        <stp/>
        <stp>##V3_BDPV12</stp>
        <stp>MTIBCHNG Index</stp>
        <stp>OBSERVATION PERIOD</stp>
        <stp>[GMIC Info Template.xlsm]ECO Calendar!R97C12</stp>
        <tr r="L97" s="2"/>
      </tp>
      <tp t="s">
        <v>Apr</v>
        <stp/>
        <stp>##V3_BDPV12</stp>
        <stp>AHE MOM% Index</stp>
        <stp>OBSERVATION PERIOD</stp>
        <stp>[GMIC Info Template.xlsm]ECO Calendar!R78C12</stp>
        <tr r="L78" s="2"/>
      </tp>
      <tp t="s">
        <v>US</v>
        <stp/>
        <stp>##V3_BDPV12</stp>
        <stp>IBM US Equity</stp>
        <stp>COUNTRY</stp>
        <stp>[GMIC Info Template.xlsm]Security Analysis!R21C7</stp>
        <tr r="G21" s="13"/>
      </tp>
      <tp>
        <v>4.261431</v>
        <stp/>
        <stp>##V3_BDPV12</stp>
        <stp>DD US Equity</stp>
        <stp>TRAIL 12M EPS</stp>
        <stp>[GMIC Info Template.xlsm]Security Analysis!R34C14</stp>
        <tr r="N34" s="13"/>
      </tp>
      <tp>
        <v>4.6830600000000002</v>
        <stp/>
        <stp>##V3_BDPV12</stp>
        <stp>HD US Equity</stp>
        <stp>TRAIL 12M EPS</stp>
        <stp>[GMIC Info Template.xlsm]Security Analysis!R24C14</stp>
        <tr r="N24" s="13"/>
      </tp>
      <tp>
        <v>1.896225</v>
        <stp/>
        <stp>##V3_BDPV12</stp>
        <stp>VZ US Equity</stp>
        <stp>CHG PCT 3M</stp>
        <stp>[GMIC Info Template.xlsm]Security Analysis!R17C16</stp>
        <tr r="P17" s="13"/>
      </tp>
      <tp>
        <v>1.7266490000000001</v>
        <stp/>
        <stp>##V3_BDPV12</stp>
        <stp>VZ US Equity</stp>
        <stp>CHG PCT 6M</stp>
        <stp>[GMIC Info Template.xlsm]Security Analysis!R17C17</stp>
        <tr r="Q17" s="13"/>
      </tp>
      <tp>
        <v>-0.81135749999999995</v>
        <stp/>
        <stp>##V3_BDPV12</stp>
        <stp>VZ US Equity</stp>
        <stp>CHG PCT 1M</stp>
        <stp>[GMIC Info Template.xlsm]Security Analysis!R17C15</stp>
        <tr r="O17" s="13"/>
      </tp>
      <tp>
        <v>-1.0194259999999999</v>
        <stp/>
        <stp>##V3_BDPV12</stp>
        <stp>PG US Equity</stp>
        <stp>CHG PCT 1M</stp>
        <stp>[GMIC Info Template.xlsm]Security Analysis!R14C15</stp>
        <tr r="O14" s="13"/>
      </tp>
      <tp>
        <v>-9.5561640000000008</v>
        <stp/>
        <stp>##V3_BDPV12</stp>
        <stp>PG US Equity</stp>
        <stp>CHG PCT 3M</stp>
        <stp>[GMIC Info Template.xlsm]Security Analysis!R14C16</stp>
        <tr r="P14" s="13"/>
      </tp>
      <tp>
        <v>-0.8886714</v>
        <stp/>
        <stp>##V3_BDPV12</stp>
        <stp>PG US Equity</stp>
        <stp>CHG PCT 6M</stp>
        <stp>[GMIC Info Template.xlsm]Security Analysis!R14C17</stp>
        <tr r="Q14" s="13"/>
      </tp>
      <tp>
        <v>24.22429</v>
        <stp/>
        <stp>##V3_BDPV12</stp>
        <stp>HD US Equity</stp>
        <stp>CHG PCT 6M</stp>
        <stp>[GMIC Info Template.xlsm]Security Analysis!R24C17</stp>
        <tr r="Q24" s="13"/>
      </tp>
      <tp>
        <v>-6.0167929999999998</v>
        <stp/>
        <stp>##V3_BDPV12</stp>
        <stp>KO US Equity</stp>
        <stp>CHG PCT 6M</stp>
        <stp>[GMIC Info Template.xlsm]Security Analysis!R19C17</stp>
        <tr r="Q19" s="13"/>
      </tp>
      <tp>
        <v>-5.2433550000000002</v>
        <stp/>
        <stp>##V3_BDPV12</stp>
        <stp>KO US Equity</stp>
        <stp>CHG PCT 3M</stp>
        <stp>[GMIC Info Template.xlsm]Security Analysis!R19C16</stp>
        <tr r="P19" s="13"/>
      </tp>
      <tp>
        <v>7.664231</v>
        <stp/>
        <stp>##V3_BDPV12</stp>
        <stp>HD US Equity</stp>
        <stp>CHG PCT 3M</stp>
        <stp>[GMIC Info Template.xlsm]Security Analysis!R24C16</stp>
        <tr r="P24" s="13"/>
      </tp>
      <tp>
        <v>0.69964899999999997</v>
        <stp/>
        <stp>##V3_BDPV12</stp>
        <stp>KO US Equity</stp>
        <stp>CHG PCT 1M</stp>
        <stp>[GMIC Info Template.xlsm]Security Analysis!R19C15</stp>
        <tr r="O19" s="13"/>
      </tp>
      <tp>
        <v>-2.6571760000000002</v>
        <stp/>
        <stp>##V3_BDPV12</stp>
        <stp>HD US Equity</stp>
        <stp>CHG PCT 1M</stp>
        <stp>[GMIC Info Template.xlsm]Security Analysis!R24C15</stp>
        <tr r="O24" s="13"/>
      </tp>
      <tp>
        <v>-3.6363639999999999</v>
        <stp/>
        <stp>##V3_BDPV12</stp>
        <stp>DD US Equity</stp>
        <stp>CHG PCT 3M</stp>
        <stp>[GMIC Info Template.xlsm]Security Analysis!R34C16</stp>
        <tr r="P34" s="13"/>
      </tp>
      <tp>
        <v>9.7904929999999997</v>
        <stp/>
        <stp>##V3_BDPV12</stp>
        <stp>GE US Equity</stp>
        <stp>CHG PCT 6M</stp>
        <stp>[GMIC Info Template.xlsm]Security Analysis!R11C17</stp>
        <tr r="Q11" s="13"/>
      </tp>
      <tp>
        <v>3.8848229999999999</v>
        <stp/>
        <stp>##V3_BDPV12</stp>
        <stp>GS US Equity</stp>
        <stp>CHG PCT 1M</stp>
        <stp>[GMIC Info Template.xlsm]Security Analysis!R31C15</stp>
        <tr r="O31" s="13"/>
      </tp>
      <tp>
        <v>15.51505</v>
        <stp/>
        <stp>##V3_BDPV12</stp>
        <stp>GE US Equity</stp>
        <stp>CHG PCT 3M</stp>
        <stp>[GMIC Info Template.xlsm]Security Analysis!R11C16</stp>
        <tr r="P11" s="13"/>
      </tp>
      <tp>
        <v>6.822927</v>
        <stp/>
        <stp>##V3_BDPV12</stp>
        <stp>DD US Equity</stp>
        <stp>CHG PCT 6M</stp>
        <stp>[GMIC Info Template.xlsm]Security Analysis!R34C17</stp>
        <tr r="Q34" s="13"/>
      </tp>
      <tp>
        <v>7.5799450000000004</v>
        <stp/>
        <stp>##V3_BDPV12</stp>
        <stp>GE US Equity</stp>
        <stp>CHG PCT 1M</stp>
        <stp>[GMIC Info Template.xlsm]Security Analysis!R11C15</stp>
        <tr r="O11" s="13"/>
      </tp>
      <tp>
        <v>11.553900000000001</v>
        <stp/>
        <stp>##V3_BDPV12</stp>
        <stp>GS US Equity</stp>
        <stp>CHG PCT 6M</stp>
        <stp>[GMIC Info Template.xlsm]Security Analysis!R31C17</stp>
        <tr r="Q31" s="13"/>
      </tp>
      <tp>
        <v>-3.9726240000000002</v>
        <stp/>
        <stp>##V3_BDPV12</stp>
        <stp>DD US Equity</stp>
        <stp>CHG PCT 1M</stp>
        <stp>[GMIC Info Template.xlsm]Security Analysis!R34C15</stp>
        <tr r="O34" s="13"/>
      </tp>
      <tp>
        <v>11.35248</v>
        <stp/>
        <stp>##V3_BDPV12</stp>
        <stp>GS US Equity</stp>
        <stp>CHG PCT 3M</stp>
        <stp>[GMIC Info Template.xlsm]Security Analysis!R31C16</stp>
        <tr r="P31" s="13"/>
      </tp>
      <tp>
        <v>-2.9264809999999999</v>
        <stp/>
        <stp>##V3_BDPV12</stp>
        <stp>BA US Equity</stp>
        <stp>CHG PCT 1M</stp>
        <stp>[GMIC Info Template.xlsm]Security Analysis!R27C15</stp>
        <tr r="O27" s="13"/>
      </tp>
      <tp>
        <v>21.38916</v>
        <stp/>
        <stp>##V3_BDPV12</stp>
        <stp>BA US Equity</stp>
        <stp>CHG PCT 6M</stp>
        <stp>[GMIC Info Template.xlsm]Security Analysis!R27C17</stp>
        <tr r="Q27" s="13"/>
      </tp>
      <tp>
        <v>14.39058</v>
        <stp/>
        <stp>##V3_BDPV12</stp>
        <stp>BA US Equity</stp>
        <stp>CHG PCT 3M</stp>
        <stp>[GMIC Info Template.xlsm]Security Analysis!R27C16</stp>
        <tr r="P27" s="13"/>
      </tp>
      <tp t="s">
        <v>United States</v>
        <stp/>
        <stp>##V3_BDPV12</stp>
        <stp>NAPMPMI Index</stp>
        <stp>REGION OR COUNTRY</stp>
        <stp>[GMIC Info Template.xlsm]ECO Calendar!R61C20</stp>
        <tr r="T61" s="2"/>
      </tp>
      <tp t="s">
        <v>United States</v>
        <stp/>
        <stp>##V3_BDPV12</stp>
        <stp>NAPMNMI Index</stp>
        <stp>REGION OR COUNTRY</stp>
        <stp>[GMIC Info Template.xlsm]ECO Calendar!R69C20</stp>
        <tr r="T69" s="2"/>
      </tp>
      <tp t="s">
        <v>US Job Openings By Industry Total SA</v>
        <stp/>
        <stp>##V3_BDPV12</stp>
        <stp>JOLTTOTL Index</stp>
        <stp>Long Comp Name</stp>
        <stp>[GMIC Info Template.xlsm]ECO Calendar!R88C3</stp>
        <tr r="C88" s="2"/>
      </tp>
      <tp t="s">
        <v>4/23/2015</v>
        <stp/>
        <stp>##V3_BDPV12</stp>
        <stp>INJCSP Index</stp>
        <stp>ECO RELEASE DT</stp>
        <stp>[GMIC Info Template.xlsm]ECO Calendar!R26C16</stp>
        <tr r="P26" s="2"/>
      </tp>
      <tp t="s">
        <v>Common Stock</v>
        <stp/>
        <stp>##V3_BDPV12</stp>
        <stp>MRK US Equity</stp>
        <stp>SECURITY TYP</stp>
        <stp>[GMIC Info Template.xlsm]Security Analysis!R20C5</stp>
        <tr r="E20" s="13"/>
      </tp>
      <tp>
        <v>9.456816559600286</v>
        <stp/>
        <stp>##V3_BDPV12</stp>
        <stp>PFE US Equity</stp>
        <stp>INTEREST COVERAGE RATIO</stp>
        <stp>[GMIC Info Template.xlsm]Security Analysis!R15C27</stp>
        <tr r="AA15" s="13"/>
      </tp>
      <tp>
        <v>6.1978999999999997</v>
        <stp/>
        <stp>##V3_BDPV12</stp>
        <stp>USDCNY CURNCY</stp>
        <stp>PX LAST</stp>
        <stp>[GMIC Info Template.xlsm]Currencies &amp; Commodities!R9C4</stp>
        <tr r="D9" s="3"/>
      </tp>
      <tp>
        <v>63.45</v>
        <stp/>
        <stp>##V3_BDPV12</stp>
        <stp>COA COMDTY</stp>
        <stp>PX LAST</stp>
        <stp>[GMIC Info Template.xlsm]Currencies &amp; Commodities!R19C4</stp>
        <tr r="D19" s="3"/>
      </tp>
      <tp t="s">
        <v>Common Stock</v>
        <stp/>
        <stp>##V3_BDPV12</stp>
        <stp>MCD US Equity</stp>
        <stp>SECURITY TYP</stp>
        <stp>[GMIC Info Template.xlsm]Security Analysis!R30C5</stp>
        <tr r="E30" s="13"/>
      </tp>
      <tp t="s">
        <v>GDP US Chained 2009 Dollars QoQ SAAR</v>
        <stp/>
        <stp>##V3_BDPV12</stp>
        <stp>GDP CQOQ Index</stp>
        <stp>Long Comp Name</stp>
        <stp>[GMIC Info Template.xlsm]ECO Calendar!R48C3</stp>
        <tr r="C48" s="2"/>
      </tp>
      <tp>
        <v>37.301600000000001</v>
        <stp/>
        <stp>##V3_BDPV12</stp>
        <stp>CHALYOY% Index</stp>
        <stp>RELEVANCE VALUE</stp>
        <stp>[GMIC Info Template.xlsm]ECO Calendar!R72C5</stp>
        <tr r="E72" s="2"/>
      </tp>
      <tp>
        <v>85.714299999999994</v>
        <stp/>
        <stp>##V3_BDPV12</stp>
        <stp>PCE CRCH Index</stp>
        <stp>RELEVANCE VALUE</stp>
        <stp>[GMIC Info Template.xlsm]ECO Calendar!R53C5</stp>
        <tr r="E53" s="2"/>
      </tp>
      <tp>
        <v>6.3492100000000002</v>
        <stp/>
        <stp>##V3_BDPV12</stp>
        <stp>PCE CHNC Index</stp>
        <stp>RELEVANCE VALUE</stp>
        <stp>[GMIC Info Template.xlsm]ECO Calendar!R58C5</stp>
        <tr r="E58" s="2"/>
      </tp>
      <tp t="s">
        <v>United States</v>
        <stp/>
        <stp>##V3_BDPV12</stp>
        <stp>NFP TYCH Index</stp>
        <stp>REGION OR COUNTRY</stp>
        <stp>[GMIC Info Template.xlsm]ECO Calendar!R119C20</stp>
        <tr r="T119" s="2"/>
      </tp>
      <tp>
        <v>93</v>
        <stp/>
        <stp>##V3_BDPV12</stp>
        <stp>CONSSENT Index</stp>
        <stp>QUOTE PRIOR MID</stp>
        <stp>[GMIC Info Template.xlsm]ECO Calendar!R7C9</stp>
        <tr r="I7" s="2"/>
      </tp>
      <tp t="s">
        <v>#N/A Field Not Applicable</v>
        <stp/>
        <stp>##V3_BDPV12</stp>
        <stp>CONCCYOY Index</stp>
        <stp>OBSERVATION PERIOD</stp>
        <stp>[GMIC Info Template.xlsm]ECO Calendar!R122C12</stp>
        <tr r="L122" s="2"/>
      </tp>
      <tp t="s">
        <v>US</v>
        <stp/>
        <stp>##V3_BDPV12</stp>
        <stp>CVX US Equity</stp>
        <stp>COUNTRY</stp>
        <stp>[GMIC Info Template.xlsm]Security Analysis!R16C7</stp>
        <tr r="G16" s="13"/>
      </tp>
      <tp t="s">
        <v>Apr</v>
        <stp/>
        <stp>##V3_BDPV12</stp>
        <stp>CPTICHNG Index</stp>
        <stp>OBSERVATION PERIOD</stp>
        <stp>[GMIC Info Template.xlsm]ECO Calendar!R105C12</stp>
        <tr r="L105" s="2"/>
      </tp>
      <tp>
        <v>5.627847</v>
        <stp/>
        <stp>##V3_BDPV12</stp>
        <stp>INTC US Equity</stp>
        <stp>CHG PCT 1M</stp>
        <stp>[GMIC Info Template.xlsm]Security Analysis!R23C15</stp>
        <tr r="O23" s="13"/>
      </tp>
      <tp>
        <v>3.4735529999999999</v>
        <stp/>
        <stp>##V3_BDPV12</stp>
        <stp>INTC US Equity</stp>
        <stp>CHG PCT 6M</stp>
        <stp>[GMIC Info Template.xlsm]Security Analysis!R23C17</stp>
        <tr r="Q23" s="13"/>
      </tp>
      <tp>
        <v>-10.91907</v>
        <stp/>
        <stp>##V3_BDPV12</stp>
        <stp>INTC US Equity</stp>
        <stp>CHG PCT 3M</stp>
        <stp>[GMIC Info Template.xlsm]Security Analysis!R23C16</stp>
        <tr r="P23" s="13"/>
      </tp>
      <tp t="s">
        <v>US</v>
        <stp/>
        <stp>##V3_BDPV12</stp>
        <stp>UNH US Equity</stp>
        <stp>COUNTRY</stp>
        <stp>[GMIC Info Template.xlsm]Security Analysis!R26C7</stp>
        <tr r="G26" s="13"/>
      </tp>
      <tp t="s">
        <v>US</v>
        <stp/>
        <stp>##V3_BDPV12</stp>
        <stp>TRV US Equity</stp>
        <stp>COUNTRY</stp>
        <stp>[GMIC Info Template.xlsm]Security Analysis!R36C7</stp>
        <tr r="G36" s="13"/>
      </tp>
      <tp>
        <v>10.772619047619047</v>
        <stp/>
        <stp>##V3_BDPV12</stp>
        <stp>WMT US Equity</stp>
        <stp>INTEREST COVERAGE RATIO</stp>
        <stp>[GMIC Info Template.xlsm]Security Analysis!R12C27</stp>
        <tr r="AA12" s="13"/>
      </tp>
      <tp t="s">
        <v>Common Stock</v>
        <stp/>
        <stp>##V3_BDPV12</stp>
        <stp>JNJ US Equity</stp>
        <stp>SECURITY TYP</stp>
        <stp>[GMIC Info Template.xlsm]Security Analysis!R10C5</stp>
        <tr r="E10" s="13"/>
      </tp>
      <tp>
        <v>158.43552646448001</v>
        <stp/>
        <stp>##V3_BDPV12</stp>
        <stp>V US Equity</stp>
        <stp>CRNCY ADJ MKT CAP</stp>
        <stp>[GMIC Info Template.xlsm]Security Analysis!R22C6</stp>
        <stp>EQY_FUND_CRNCY=USD</stp>
        <stp>SCALING_FORMAT=MMM</stp>
        <tr r="F22" s="13"/>
      </tp>
      <tp>
        <v>-0.3</v>
        <stp/>
        <stp>##V3_BDPV12</stp>
        <stp>IMP1CHNG Index</stp>
        <stp>PX LAST</stp>
        <stp>[GMIC Info Template.xlsm]ECO Calendar!R91C7</stp>
        <tr r="G91" s="2"/>
      </tp>
      <tp>
        <v>0.8</v>
        <stp/>
        <stp>##V3_BDPV12</stp>
        <stp>SPCS20SM Index</stp>
        <stp>BN SURVEY MEDIAN</stp>
        <stp>[GMIC Info Template.xlsm]ECO Calendar!R42C8</stp>
        <tr r="H42" s="2"/>
      </tp>
      <tp t="s">
        <v>XPLR</v>
        <stp/>
        <stp>##V3_BDPV12</stp>
        <stp>XPLR US EQUITY</stp>
        <stp>TICKER</stp>
        <stp>[GMIC Info Template.xlsm]Most Up &amp; Down!R29C10</stp>
        <tr r="J29" s="9"/>
      </tp>
      <tp>
        <v>0.2</v>
        <stp/>
        <stp>##V3_BDPV12</stp>
        <stp>IMP1CHNG Index</stp>
        <stp>QUOTE PRIOR MID</stp>
        <stp>[GMIC Info Template.xlsm]ECO Calendar!R91C9</stp>
        <tr r="I91" s="2"/>
      </tp>
      <tp t="s">
        <v>IPDN</v>
        <stp/>
        <stp>##V3_BDPV12</stp>
        <stp>IPDN US EQUITY</stp>
        <stp>TICKER</stp>
        <stp>[GMIC Info Template.xlsm]Most Up &amp; Down!R23C10</stp>
        <tr r="J23" s="9"/>
      </tp>
      <tp t="s">
        <v>VPCO</v>
        <stp/>
        <stp>##V3_BDPV12</stp>
        <stp>VPCO US EQUITY</stp>
        <stp>TICKER</stp>
        <stp>[GMIC Info Template.xlsm]Most Up &amp; Down!R12C10</stp>
        <tr r="J12" s="9"/>
      </tp>
      <tp>
        <v>1.0374485378953182</v>
        <stp/>
        <stp>##V3_BDPV12</stp>
        <stp>XOM US Equity</stp>
        <stp>BETA RAW OVERRIDABLE</stp>
        <stp>[GMIC Info Template.xlsm]Security Analysis!R8C10</stp>
        <stp>BETA_OVERRIDE_REL_INDEX=SPX INDEX</stp>
        <tr r="J8" s="13"/>
      </tp>
      <tp t="s">
        <v>Adjusted Retail Sales Less Autos and Gas Stations SA MoM Percent Change</v>
        <stp/>
        <stp>##V3_BDPV12</stp>
        <stp>RSTAXAG% Index</stp>
        <stp>Long Comp Name</stp>
        <stp>[GMIC Info Template.xlsm]ECO Calendar!R95C3</stp>
        <tr r="C95" s="2"/>
      </tp>
      <tp>
        <v>13.492100000000001</v>
        <stp/>
        <stp>##V3_BDPV12</stp>
        <stp>PCE DEFM Index</stp>
        <stp>RELEVANCE VALUE</stp>
        <stp>[GMIC Info Template.xlsm]ECO Calendar!R57C5</stp>
        <tr r="E57" s="2"/>
      </tp>
      <tp t="s">
        <v>SPPR</v>
        <stp/>
        <stp>##V3_BDPV12</stp>
        <stp>SPPR US EQUITY</stp>
        <stp>TICKER</stp>
        <stp>[GMIC Info Template.xlsm]Most Up &amp; Down!R10C10</stp>
        <tr r="J10" s="9"/>
      </tp>
      <tp>
        <v>70.583865153212841</v>
        <stp/>
        <stp>##V3_BDPV12</stp>
        <stp>AXP US Equity</stp>
        <stp>LT DEBT TO TOT CAP</stp>
        <stp>[GMIC Info Template.xlsm]Security Analysis!R33C26</stp>
        <tr r="Z33" s="13"/>
      </tp>
      <tp>
        <v>49.516137655718126</v>
        <stp/>
        <stp>##V3_BDPV12</stp>
        <stp>CAT US Equity</stp>
        <stp>LT DEBT TO TOT CAP</stp>
        <stp>[GMIC Info Template.xlsm]Security Analysis!R35C26</stp>
        <tr r="Z35" s="13"/>
      </tp>
      <tp>
        <v>13.058056942866925</v>
        <stp/>
        <stp>##V3_BDPV12</stp>
        <stp>CVX US Equity</stp>
        <stp>LT DEBT TO TOT CAP</stp>
        <stp>[GMIC Info Template.xlsm]Security Analysis!R16C26</stp>
        <tr r="Z16" s="13"/>
      </tp>
      <tp>
        <v>20.114887809832112</v>
        <stp/>
        <stp>##V3_BDPV12</stp>
        <stp>DIS US Equity</stp>
        <stp>LT DEBT TO TOT CAP</stp>
        <stp>[GMIC Info Template.xlsm]Security Analysis!R18C26</stp>
        <tr r="Z18" s="13"/>
      </tp>
      <tp>
        <v>66.402241617599728</v>
        <stp/>
        <stp>##V3_BDPV12</stp>
        <stp>IBM US Equity</stp>
        <stp>LT DEBT TO TOT CAP</stp>
        <stp>[GMIC Info Template.xlsm]Security Analysis!R21C26</stp>
        <tr r="Z21" s="13"/>
      </tp>
      <tp>
        <v>17.084689081706436</v>
        <stp/>
        <stp>##V3_BDPV12</stp>
        <stp>JNJ US Equity</stp>
        <stp>LT DEBT TO TOT CAP</stp>
        <stp>[GMIC Info Template.xlsm]Security Analysis!R10C26</stp>
        <tr r="Z10" s="13"/>
      </tp>
      <tp>
        <v>31.215859532066947</v>
        <stp/>
        <stp>##V3_BDPV12</stp>
        <stp>JPM US Equity</stp>
        <stp>LT DEBT TO TOT CAP</stp>
        <stp>[GMIC Info Template.xlsm]Security Analysis!R13C26</stp>
        <tr r="Z13" s="13"/>
      </tp>
      <tp>
        <v>53.836318513383929</v>
        <stp/>
        <stp>##V3_BDPV12</stp>
        <stp>MCD US Equity</stp>
        <stp>LT DEBT TO TOT CAP</stp>
        <stp>[GMIC Info Template.xlsm]Security Analysis!R30C26</stp>
        <tr r="Z30" s="13"/>
      </tp>
      <tp>
        <v>33.690374893638321</v>
        <stp/>
        <stp>##V3_BDPV12</stp>
        <stp>MMM US Equity</stp>
        <stp>LT DEBT TO TOT CAP</stp>
        <stp>[GMIC Info Template.xlsm]Security Analysis!R29C26</stp>
        <tr r="Z29" s="13"/>
      </tp>
      <tp>
        <v>26.639028976835625</v>
        <stp/>
        <stp>##V3_BDPV12</stp>
        <stp>MRK US Equity</stp>
        <stp>LT DEBT TO TOT CAP</stp>
        <stp>[GMIC Info Template.xlsm]Security Analysis!R20C26</stp>
        <tr r="Z20" s="13"/>
      </tp>
      <tp>
        <v>9.8302861359350668</v>
        <stp/>
        <stp>##V3_BDPV12</stp>
        <stp>NKE US Equity</stp>
        <stp>LT DEBT TO TOT CAP</stp>
        <stp>[GMIC Info Template.xlsm]Security Analysis!R32C26</stp>
        <tr r="Z32" s="13"/>
      </tp>
      <tp>
        <v>29.122923649391058</v>
        <stp/>
        <stp>##V3_BDPV12</stp>
        <stp>PFE US Equity</stp>
        <stp>LT DEBT TO TOT CAP</stp>
        <stp>[GMIC Info Template.xlsm]Security Analysis!R15C26</stp>
        <tr r="Z15" s="13"/>
      </tp>
      <tp>
        <v>18.755812089145422</v>
        <stp/>
        <stp>##V3_BDPV12</stp>
        <stp>TRV US Equity</stp>
        <stp>LT DEBT TO TOT CAP</stp>
        <stp>[GMIC Info Template.xlsm]Security Analysis!R36C26</stp>
        <tr r="Z36" s="13"/>
      </tp>
      <tp>
        <v>31.234389634717452</v>
        <stp/>
        <stp>##V3_BDPV12</stp>
        <stp>UNH US Equity</stp>
        <stp>LT DEBT TO TOT CAP</stp>
        <stp>[GMIC Info Template.xlsm]Security Analysis!R26C26</stp>
        <tr r="Z26" s="13"/>
      </tp>
      <tp>
        <v>34.043201645776982</v>
        <stp/>
        <stp>##V3_BDPV12</stp>
        <stp>UTX US Equity</stp>
        <stp>LT DEBT TO TOT CAP</stp>
        <stp>[GMIC Info Template.xlsm]Security Analysis!R28C26</stp>
        <tr r="Z28" s="13"/>
      </tp>
      <tp>
        <v>32.05152657756129</v>
        <stp/>
        <stp>##V3_BDPV12</stp>
        <stp>WMT US Equity</stp>
        <stp>LT DEBT TO TOT CAP</stp>
        <stp>[GMIC Info Template.xlsm]Security Analysis!R12C26</stp>
        <tr r="Z12" s="13"/>
      </tp>
      <tp t="s">
        <v>4/20/2015</v>
        <stp/>
        <stp>##V3_BDPV12</stp>
        <stp>CFNAI Index</stp>
        <stp>ECO RELEASE DT</stp>
        <stp>[GMIC Info Template.xlsm]ECO Calendar!R19C16</stp>
        <tr r="P19" s="2"/>
      </tp>
      <tp t="s">
        <v>May</v>
        <stp/>
        <stp>##V3_BDPV12</stp>
        <stp>COMFBTWR Index</stp>
        <stp>OBSERVATION PERIOD</stp>
        <stp>[GMIC Info Template.xlsm]ECO Calendar!R115C12</stp>
        <tr r="L115" s="2"/>
      </tp>
      <tp t="s">
        <v>2/28/2015</v>
        <stp/>
        <stp>##V3_BDPV12</stp>
        <stp>FDDSSD Index</stp>
        <stp>PRIOR OBSERVATION DATE</stp>
        <stp>[GMIC Info Template.xlsm]ECO Calendar!R89C14</stp>
        <tr r="N89" s="2"/>
      </tp>
      <tp>
        <v>71.428600000000003</v>
        <stp/>
        <stp>##V3_BDPV12</stp>
        <stp>HPIMMOM% Index</stp>
        <stp>RELEVANCE VALUE</stp>
        <stp>[GMIC Info Template.xlsm]ECO Calendar!R21C5</stp>
        <tr r="E21" s="2"/>
      </tp>
      <tp t="s">
        <v>DSCO</v>
        <stp/>
        <stp>##V3_BDPV12</stp>
        <stp>DSCO US EQUITY</stp>
        <stp>TICKER</stp>
        <stp>[GMIC Info Template.xlsm]Most Up &amp; Down!R24C10</stp>
        <tr r="J24" s="9"/>
      </tp>
      <tp t="s">
        <v>ESCR</v>
        <stp/>
        <stp>##V3_BDPV12</stp>
        <stp>ESCR US EQUITY</stp>
        <stp>TICKER</stp>
        <stp>[GMIC Info Template.xlsm]Most Up &amp; Down!R31C10</stp>
        <tr r="J31" s="9"/>
      </tp>
      <tp>
        <v>60.317500000000003</v>
        <stp/>
        <stp>##V3_BDPV12</stp>
        <stp>CGNOXAI% Index</stp>
        <stp>RELEVANCE VALUE</stp>
        <stp>[GMIC Info Template.xlsm]ECO Calendar!R33C5</stp>
        <tr r="E33" s="2"/>
      </tp>
      <tp>
        <v>59.523800000000001</v>
        <stp/>
        <stp>##V3_BDPV12</stp>
        <stp>CGSHXAI% Index</stp>
        <stp>RELEVANCE VALUE</stp>
        <stp>[GMIC Info Template.xlsm]ECO Calendar!R34C5</stp>
        <tr r="E34" s="2"/>
      </tp>
      <tp>
        <v>60</v>
        <stp/>
        <stp>##V3_BDPV12</stp>
        <stp>PCE CMOM Index</stp>
        <stp>RELEVANCE VALUE</stp>
        <stp>[GMIC Info Template.xlsm]ECO Calendar!R54C5</stp>
        <tr r="E54" s="2"/>
      </tp>
      <tp t="s">
        <v>1Q A</v>
        <stp/>
        <stp>##V3_BDPV12</stp>
        <stp>GDPCPCEC Index</stp>
        <stp>OBSERVATION PERIOD</stp>
        <stp>[GMIC Info Template.xlsm]ECO Calendar!R51C12</stp>
        <tr r="L51" s="2"/>
      </tp>
      <tp t="s">
        <v>Monthly</v>
        <stp/>
        <stp>##V3_BDPV12</stp>
        <stp>CONSEXP Index</stp>
        <stp>INDX FREQ</stp>
        <stp>[GMIC Info Template.xlsm]ECO Calendar!R10C15</stp>
        <tr r="O10" s="2"/>
      </tp>
      <tp t="s">
        <v>Mar</v>
        <stp/>
        <stp>##V3_BDPV12</stp>
        <stp>ETSLTOTL Index</stp>
        <stp>OBSERVATION PERIOD</stp>
        <stp>[GMIC Info Template.xlsm]ECO Calendar!R22C12</stp>
        <tr r="L22" s="2"/>
      </tp>
      <tp t="s">
        <v>Mar</v>
        <stp/>
        <stp>##V3_BDPV12</stp>
        <stp>ETSLMOM Index</stp>
        <stp>OBSERVATION PERIOD</stp>
        <stp>[GMIC Info Template.xlsm]ECO Calendar!R23C12</stp>
        <tr r="L23" s="2"/>
      </tp>
      <tp t="s">
        <v>Feb</v>
        <stp/>
        <stp>##V3_BDPV12</stp>
        <stp>SPCSUSQS Index</stp>
        <stp>OBSERVATION PERIOD</stp>
        <stp>[GMIC Info Template.xlsm]ECO Calendar!R43C12</stp>
        <tr r="L43" s="2"/>
      </tp>
      <tp t="s">
        <v>Index NSA</v>
        <stp/>
        <stp>##V3_BDPV12</stp>
        <stp>CFNAI Index</stp>
        <stp>SEASONALITY AND TRANSFORMATION</stp>
        <stp>[GMIC Info Template.xlsm]ECO Calendar!R19C11</stp>
        <tr r="K19" s="2"/>
      </tp>
      <tp t="s">
        <v>Apr F</v>
        <stp/>
        <stp>##V3_BDPV12</stp>
        <stp>CONSEXP Index</stp>
        <stp>OBSERVATION PERIOD</stp>
        <stp>[GMIC Info Template.xlsm]ECO Calendar!R10C12</stp>
        <tr r="L10" s="2"/>
      </tp>
      <tp t="s">
        <v>Apr 19</v>
        <stp/>
        <stp>##V3_BDPV12</stp>
        <stp>COMFCOMF Index</stp>
        <stp>OBSERVATION PERIOD</stp>
        <stp>[GMIC Info Template.xlsm]ECO Calendar!R24C12</stp>
        <tr r="L24" s="2"/>
      </tp>
      <tp t="s">
        <v>US1912161007</v>
        <stp/>
        <stp>##V3_BDPV12</stp>
        <stp>KO US Equity</stp>
        <stp>ID ISIN</stp>
        <stp>[GMIC Info Template.xlsm]Security Analysis!R19C3</stp>
        <tr r="C19" s="13"/>
      </tp>
      <tp>
        <v>7.4090050000000005</v>
        <stp/>
        <stp>##V3_BDPV12</stp>
        <stp>BA US Equity</stp>
        <stp>TRAIL 12M EPS</stp>
        <stp>[GMIC Info Template.xlsm]Security Analysis!R27C14</stp>
        <tr r="N27" s="13"/>
      </tp>
      <tp>
        <v>1E-3</v>
        <stp/>
        <stp>##V3_BDPV12</stp>
        <stp>USDCNY CURNCY</stp>
        <stp>CHG NET 1D</stp>
        <stp>[GMIC Info Template.xlsm]Currencies &amp; Commodities!R9C6</stp>
        <tr r="F9" s="3"/>
      </tp>
      <tp>
        <v>-1.61E-2</v>
        <stp/>
        <stp>##V3_BDPV12</stp>
        <stp>USDCNY CURNCY</stp>
        <stp>CHG PCT 1D</stp>
        <stp>[GMIC Info Template.xlsm]Currencies &amp; Commodities!R9C7</stp>
        <tr r="G9" s="3"/>
      </tp>
      <tp>
        <v>2.9574860706787671</v>
        <stp/>
        <stp>##V3_BDPV12</stp>
        <stp>INTC US Equity</stp>
        <stp>EQY DVD YLD IND</stp>
        <stp>[GMIC Info Template.xlsm]Security Analysis!R23C20</stp>
        <tr r="T23" s="13"/>
      </tp>
      <tp t="s">
        <v>May</v>
        <stp/>
        <stp>##V3_BDPV12</stp>
        <stp>EMPRGBCI Index</stp>
        <stp>OBSERVATION PERIOD</stp>
        <stp>[GMIC Info Template.xlsm]ECO Calendar!R107C12</stp>
        <tr r="L107" s="2"/>
      </tp>
      <tp>
        <v>3.2857143878936768</v>
        <stp/>
        <stp>##V3_BDPV12</stp>
        <stp>TRV US Equity</stp>
        <stp>EQY REC CONS</stp>
        <stp>[GMIC Info Template.xlsm]Security Analysis!R36C9</stp>
        <tr r="I36" s="13"/>
      </tp>
      <tp>
        <v>16.624595469255663</v>
        <stp/>
        <stp>##V3_BDPV12</stp>
        <stp>UNH US Equity</stp>
        <stp>INTEREST COVERAGE RATIO</stp>
        <stp>[GMIC Info Template.xlsm]Security Analysis!R26C27</stp>
        <tr r="AA26" s="13"/>
      </tp>
      <tp t="s">
        <v>US CPI Urban Consumers Less Food &amp; Energy SA</v>
        <stp/>
        <stp>##V3_BDPV12</stp>
        <stp>CPUPAXFE Index</stp>
        <stp>Long Comp Name</stp>
        <stp>[GMIC Info Template.xlsm]ECO Calendar!R16C3</stp>
        <tr r="C16" s="2"/>
      </tp>
      <tp t="s">
        <v>Adj Retail Sales Less Food Auto Dealers &amp; Build Materials &amp; Gas Stations MoM%</v>
        <stp/>
        <stp>##V3_BDPV12</stp>
        <stp>RSTAXAGM Index</stp>
        <stp>Long Comp Name</stp>
        <stp>[GMIC Info Template.xlsm]ECO Calendar!R96C3</stp>
        <tr r="C96" s="2"/>
      </tp>
      <tp t="s">
        <v>US Average Hourly Earnings All Employees Total Private Yearly Percent Change SA</v>
        <stp/>
        <stp>##V3_BDPV12</stp>
        <stp>AHE YOY% Index</stp>
        <stp>Long Comp Name</stp>
        <stp>[GMIC Info Template.xlsm]ECO Calendar!R79C3</stp>
        <tr r="C79" s="2"/>
      </tp>
      <tp t="s">
        <v>Common Stock</v>
        <stp/>
        <stp>##V3_BDPV12</stp>
        <stp>IBM US Equity</stp>
        <stp>SECURITY TYP</stp>
        <stp>[GMIC Info Template.xlsm]Security Analysis!R21C5</stp>
        <tr r="E21" s="13"/>
      </tp>
      <tp>
        <v>8.6835555555555555</v>
        <stp/>
        <stp>##V3_BDPV12</stp>
        <stp>UTX US Equity</stp>
        <stp>INTEREST COVERAGE RATIO</stp>
        <stp>[GMIC Info Template.xlsm]Security Analysis!R28C27</stp>
        <tr r="AA28" s="13"/>
      </tp>
      <tp t="s">
        <v>United States</v>
        <stp/>
        <stp>##V3_BDPV12</stp>
        <stp>INJCSP Index</stp>
        <stp>REGION OR COUNTRY</stp>
        <stp>[GMIC Info Template.xlsm]ECO Calendar!R26C20</stp>
        <tr r="T26" s="2"/>
      </tp>
      <tp t="s">
        <v>TROV</v>
        <stp/>
        <stp>##V3_BDPV12</stp>
        <stp>TROV US EQUITY</stp>
        <stp>TICKER</stp>
        <stp>[GMIC Info Template.xlsm]Most Up &amp; Down!R14C10</stp>
        <tr r="J14" s="9"/>
      </tp>
      <tp t="s">
        <v>US17275R1023</v>
        <stp/>
        <stp>##V3_BDPV12</stp>
        <stp>CSCO US Equity</stp>
        <stp>ID ISIN</stp>
        <stp>[GMIC Info Template.xlsm]Security Analysis!R25C3</stp>
        <tr r="C25" s="13"/>
      </tp>
      <tp t="s">
        <v>Weekly on Friday</v>
        <stp/>
        <stp>##V3_BDPV12</stp>
        <stp>INJCJCNS Index</stp>
        <stp>INDX FREQ</stp>
        <stp>[GMIC Info Template.xlsm]ECO Calendar!R117C15</stp>
        <tr r="O117" s="2"/>
      </tp>
      <tp t="s">
        <v>Apr F</v>
        <stp/>
        <stp>##V3_BDPV12</stp>
        <stp>CONSCURR Index</stp>
        <stp>OBSERVATION PERIOD</stp>
        <stp>[GMIC Info Template.xlsm]ECO Calendar!R11C12</stp>
        <tr r="L11" s="2"/>
      </tp>
      <tp t="s">
        <v>1/31/2015</v>
        <stp/>
        <stp>##V3_BDPV12</stp>
        <stp>SPCS20Y% Index</stp>
        <stp>CR OBSERVATION DATE</stp>
        <stp>[GMIC Info Template.xlsm]ECO Calendar!R39C13</stp>
        <tr r="M39" s="2"/>
      </tp>
      <tp t="s">
        <v>1/31/2015</v>
        <stp/>
        <stp>##V3_BDPV12</stp>
        <stp>SPCS20SM Index</stp>
        <stp>CR OBSERVATION DATE</stp>
        <stp>[GMIC Info Template.xlsm]ECO Calendar!R42C13</stp>
        <tr r="M42" s="2"/>
      </tp>
      <tp t="s">
        <v>US</v>
        <stp/>
        <stp>##V3_BDPV12</stp>
        <stp>CAT US Equity</stp>
        <stp>COUNTRY</stp>
        <stp>[GMIC Info Template.xlsm]Security Analysis!R35C7</stp>
        <tr r="G35" s="13"/>
      </tp>
      <tp t="s">
        <v>US</v>
        <stp/>
        <stp>##V3_BDPV12</stp>
        <stp>PFE US Equity</stp>
        <stp>COUNTRY</stp>
        <stp>[GMIC Info Template.xlsm]Security Analysis!R15C7</stp>
        <tr r="G15" s="13"/>
      </tp>
      <tp t="s">
        <v>#N/A Field Not Applicable</v>
        <stp/>
        <stp>##V3_BDPV12</stp>
        <stp>INJCJCNS Index</stp>
        <stp>OBSERVATION PERIOD</stp>
        <stp>[GMIC Info Template.xlsm]ECO Calendar!R117C12</stp>
        <tr r="L117" s="2"/>
      </tp>
      <tp>
        <v>3.95652174949646</v>
        <stp/>
        <stp>##V3_BDPV12</stp>
        <stp>GE US Equity</stp>
        <stp>EQY REC CONS</stp>
        <stp>[GMIC Info Template.xlsm]Security Analysis!R11C9</stp>
        <tr r="I11" s="13"/>
      </tp>
      <tp>
        <v>3.34375</v>
        <stp/>
        <stp>##V3_BDPV12</stp>
        <stp>GS US Equity</stp>
        <stp>EQY REC CONS</stp>
        <stp>[GMIC Info Template.xlsm]Security Analysis!R31C9</stp>
        <tr r="I31" s="13"/>
      </tp>
      <tp t="s">
        <v>ISM Milwaukee Purchasers Manufacturing Index</v>
        <stp/>
        <stp>##V3_BDPV12</stp>
        <stp>MAPMINDX Index</stp>
        <stp>Long Comp Name</stp>
        <stp>[GMIC Info Template.xlsm]ECO Calendar!R60C3</stp>
        <tr r="C60" s="2"/>
      </tp>
      <tp t="s">
        <v>Common Stock</v>
        <stp/>
        <stp>##V3_BDPV12</stp>
        <stp>JPM US Equity</stp>
        <stp>SECURITY TYP</stp>
        <stp>[GMIC Info Template.xlsm]Security Analysis!R13C5</stp>
        <tr r="E13" s="13"/>
      </tp>
      <tp t="s">
        <v>#N/A N/A</v>
        <stp/>
        <stp>##V3_BDPV12</stp>
        <stp>TRV US Equity</stp>
        <stp>INTEREST COVERAGE RATIO</stp>
        <stp>[GMIC Info Template.xlsm]Security Analysis!R36C27</stp>
        <tr r="AA36" s="13"/>
      </tp>
      <tp t="s">
        <v>US GDP Personal Consumption Core Price Index QoQ % SAAR</v>
        <stp/>
        <stp>##V3_BDPV12</stp>
        <stp>GDPCPCEC Index</stp>
        <stp>Long Comp Name</stp>
        <stp>[GMIC Info Template.xlsm]ECO Calendar!R51C3</stp>
        <tr r="C51" s="2"/>
      </tp>
      <tp t="s">
        <v>Monthly</v>
        <stp/>
        <stp>##V3_BDPV12</stp>
        <stp>CONSPXMD Index</stp>
        <stp>INDX FREQ</stp>
        <stp>[GMIC Info Template.xlsm]ECO Calendar!R9C15</stp>
        <tr r="O9" s="2"/>
      </tp>
      <tp>
        <v>4.4000000953674316</v>
        <stp/>
        <stp>##V3_BDPV12</stp>
        <stp>UNH US Equity</stp>
        <stp>EQY REC CONS</stp>
        <stp>[GMIC Info Template.xlsm]Security Analysis!R26C9</stp>
        <tr r="I26" s="13"/>
      </tp>
      <tp>
        <v>2.4331551503370155</v>
        <stp/>
        <stp>##V3_BDPV12</stp>
        <stp>BA US Equity</stp>
        <stp>EQY DVD YLD IND</stp>
        <stp>[GMIC Info Template.xlsm]Security Analysis!R27C20</stp>
        <tr r="T27" s="13"/>
      </tp>
      <tp>
        <v>2.6275331869065388</v>
        <stp/>
        <stp>##V3_BDPV12</stp>
        <stp>DD US Equity</stp>
        <stp>EQY DVD YLD IND</stp>
        <stp>[GMIC Info Template.xlsm]Security Analysis!R34C20</stp>
        <tr r="T34" s="13"/>
      </tp>
      <tp>
        <v>1.3173894936322297</v>
        <stp/>
        <stp>##V3_BDPV12</stp>
        <stp>GS US Equity</stp>
        <stp>EQY DVD YLD IND</stp>
        <stp>[GMIC Info Template.xlsm]Security Analysis!R31C20</stp>
        <tr r="T31" s="13"/>
      </tp>
      <tp>
        <v>3.3773862580370801</v>
        <stp/>
        <stp>##V3_BDPV12</stp>
        <stp>GE US Equity</stp>
        <stp>EQY DVD YLD IND</stp>
        <stp>[GMIC Info Template.xlsm]Security Analysis!R11C20</stp>
        <tr r="T11" s="13"/>
      </tp>
      <tp>
        <v>2.1020752606179971</v>
        <stp/>
        <stp>##V3_BDPV12</stp>
        <stp>HD US Equity</stp>
        <stp>EQY DVD YLD IND</stp>
        <stp>[GMIC Info Template.xlsm]Security Analysis!R24C20</stp>
        <tr r="T24" s="13"/>
      </tp>
      <tp>
        <v>3.2754343733302416</v>
        <stp/>
        <stp>##V3_BDPV12</stp>
        <stp>KO US Equity</stp>
        <stp>EQY DVD YLD IND</stp>
        <stp>[GMIC Info Template.xlsm]Security Analysis!R19C20</stp>
        <tr r="T19" s="13"/>
      </tp>
      <tp>
        <v>3.2121137299009126</v>
        <stp/>
        <stp>##V3_BDPV12</stp>
        <stp>PG US Equity</stp>
        <stp>EQY DVD YLD IND</stp>
        <stp>[GMIC Info Template.xlsm]Security Analysis!R14C20</stp>
        <tr r="T14" s="13"/>
      </tp>
      <tp>
        <v>4.4980577544136491</v>
        <stp/>
        <stp>##V3_BDPV12</stp>
        <stp>VZ US Equity</stp>
        <stp>EQY DVD YLD IND</stp>
        <stp>[GMIC Info Template.xlsm]Security Analysis!R17C20</stp>
        <tr r="T17" s="13"/>
      </tp>
      <tp>
        <v>364.19237369756007</v>
        <stp/>
        <stp>##V3_BDPV12</stp>
        <stp>XOM US Equity</stp>
        <stp>CRNCY ADJ MKT CAP</stp>
        <stp>[GMIC Info Template.xlsm]Security Analysis!R8C6</stp>
        <stp>EQY_FUND_CRNCY=USD</stp>
        <stp>SCALING_FORMAT=MMM</stp>
        <tr r="F8" s="13"/>
      </tp>
      <tp t="s">
        <v>United States</v>
        <stp/>
        <stp>##V3_BDPV12</stp>
        <stp>FDDSSD Index</stp>
        <stp>REGION OR COUNTRY</stp>
        <stp>[GMIC Info Template.xlsm]ECO Calendar!R89C20</stp>
        <tr r="T89" s="2"/>
      </tp>
      <tp t="s">
        <v>Apr</v>
        <stp/>
        <stp>##V3_BDPV12</stp>
        <stp>NAPMPRIC Index</stp>
        <stp>OBSERVATION PERIOD</stp>
        <stp>[GMIC Info Template.xlsm]ECO Calendar!R63C12</stp>
        <tr r="L63" s="2"/>
      </tp>
      <tp t="s">
        <v>GENERAL ELECTRIC</v>
        <stp/>
        <stp>##V3_BDPV12</stp>
        <stp>GE US Equity</stp>
        <stp>SHORT NAME</stp>
        <stp>[GMIC Info Template.xlsm]Security Analysis!R11C2</stp>
        <tr r="B11" s="13"/>
      </tp>
      <tp t="s">
        <v>US0970231058</v>
        <stp/>
        <stp>##V3_BDPV12</stp>
        <stp>BA US Equity</stp>
        <stp>ID ISIN</stp>
        <stp>[GMIC Info Template.xlsm]Security Analysis!R27C3</stp>
        <tr r="C27" s="13"/>
      </tp>
      <tp t="s">
        <v>US92343V1044</v>
        <stp/>
        <stp>##V3_BDPV12</stp>
        <stp>VZ US Equity</stp>
        <stp>ID ISIN</stp>
        <stp>[GMIC Info Template.xlsm]Security Analysis!R17C3</stp>
        <tr r="C17" s="13"/>
      </tp>
      <tp t="s">
        <v>OSSEN INNOVATION CO-SPON ADR</v>
        <stp/>
        <stp>##V3_BDPV12</stp>
        <stp>OSN US EQUITY</stp>
        <stp>NAME</stp>
        <stp>[GMIC Info Template.xlsm]Most Up &amp; Down!R16C9</stp>
        <tr r="I16" s="9"/>
      </tp>
      <tp t="s">
        <v>OSN</v>
        <stp/>
        <stp>##V3_BDPV12</stp>
        <stp>OSN US EQUITY</stp>
        <stp>TICKER</stp>
        <stp>[GMIC Info Template.xlsm]Most Up &amp; Down!R16C10</stp>
        <tr r="J16" s="9"/>
      </tp>
      <tp t="s">
        <v>United States</v>
        <stp/>
        <stp>##V3_BDPV12</stp>
        <stp>NHSLTOT Index</stp>
        <stp>REGION OR COUNTRY</stp>
        <stp>[GMIC Info Template.xlsm]ECO Calendar!R29C20</stp>
        <tr r="T29" s="2"/>
      </tp>
      <tp t="s">
        <v>Apr</v>
        <stp/>
        <stp>##V3_BDPV12</stp>
        <stp>CPI YOY Index</stp>
        <stp>OBSERVATION PERIOD</stp>
        <stp>[GMIC Info Template.xlsm]ECO Calendar!R14C12</stp>
        <tr r="L14" s="2"/>
      </tp>
      <tp>
        <v>1.9955049999999999</v>
        <stp/>
        <stp>##V3_BDPV12</stp>
        <stp>KO US Equity</stp>
        <stp>TRAIL 12M EPS</stp>
        <stp>[GMIC Info Template.xlsm]Security Analysis!R19C14</stp>
        <tr r="N19" s="13"/>
      </tp>
      <tp>
        <v>20.497373544429344</v>
        <stp/>
        <stp>##V3_BDPV12</stp>
        <stp>PG US Equity</stp>
        <stp>EBITDA MARGIN</stp>
        <stp>[GMIC Info Template.xlsm]Security Analysis!R14C22</stp>
        <tr r="V14" s="13"/>
      </tp>
      <tp t="s">
        <v>USD</v>
        <stp/>
        <stp>##V3_BDPV12</stp>
        <stp>GS US Equity</stp>
        <stp>CRNCY</stp>
        <stp>[GMIC Info Template.xlsm]Security Analysis!R31C12</stp>
        <tr r="L31" s="13"/>
      </tp>
      <tp>
        <v>2.8</v>
        <stp/>
        <stp>##V3_BDPV12</stp>
        <stp>CONSP5MD Index</stp>
        <stp>QUOTE PRIOR MID</stp>
        <stp>[GMIC Info Template.xlsm]ECO Calendar!R8C9</stp>
        <tr r="I8" s="2"/>
      </tp>
      <tp t="s">
        <v>4/4/2015</v>
        <stp/>
        <stp>##V3_BDPV12</stp>
        <stp>INJCJC Index</stp>
        <stp>PRIOR OBSERVATION DATE</stp>
        <stp>[GMIC Info Template.xlsm]ECO Calendar!R25C14</stp>
        <tr r="N25" s="2"/>
      </tp>
      <tp>
        <v>14.085584338323789</v>
        <stp/>
        <stp>##V3_BDPV12</stp>
        <stp>XOM US Equity</stp>
        <stp>EBITDA MARGIN</stp>
        <stp>[GMIC Info Template.xlsm]Security Analysis!R8C22</stp>
        <tr r="V8" s="13"/>
      </tp>
      <tp t="s">
        <v>Merchant Wholesalers Sales Total Monthly % Change SA</v>
        <stp/>
        <stp>##V3_BDPV12</stp>
        <stp>MWSLCHNG Index</stp>
        <stp>Long Comp Name</stp>
        <stp>[GMIC Info Template.xlsm]ECO Calendar!R86C3</stp>
        <tr r="C86" s="2"/>
      </tp>
      <tp>
        <v>1.2173497970953417</v>
        <stp/>
        <stp>##V3_BDPV12</stp>
        <stp>V US Equity</stp>
        <stp>BETA RAW OVERRIDABLE</stp>
        <stp>[GMIC Info Template.xlsm]Security Analysis!R22C10</stp>
        <stp>BETA_OVERRIDE_REL_INDEX=SPX INDEX</stp>
        <tr r="J22" s="13"/>
      </tp>
      <tp t="s">
        <v>NFIB Small Business Optimism Index</v>
        <stp/>
        <stp>##V3_BDPV12</stp>
        <stp>SBOITOTL Index</stp>
        <stp>Long Comp Name</stp>
        <stp>[GMIC Info Template.xlsm]ECO Calendar!R90C3</stp>
        <tr r="C90" s="2"/>
      </tp>
      <tp>
        <v>5.083691</v>
        <stp/>
        <stp>##V3_BDPV12</stp>
        <stp>TRV US Equity</stp>
        <stp>SHORT INT RATIO</stp>
        <stp>[GMIC Info Template.xlsm]Security Analysis!R36C11</stp>
        <tr r="K36" s="13"/>
      </tp>
      <tp t="s">
        <v>Common Stock</v>
        <stp/>
        <stp>##V3_BDPV12</stp>
        <stp>CAT US Equity</stp>
        <stp>SECURITY TYP</stp>
        <stp>[GMIC Info Template.xlsm]Security Analysis!R35C5</stp>
        <tr r="E35" s="13"/>
      </tp>
      <tp t="s">
        <v>United States</v>
        <stp/>
        <stp>##V3_BDPV12</stp>
        <stp>CFNAI Index</stp>
        <stp>REGION OR COUNTRY</stp>
        <stp>[GMIC Info Template.xlsm]ECO Calendar!R19C20</stp>
        <tr r="T19" s="2"/>
      </tp>
      <tp>
        <v>83.333299999999994</v>
        <stp/>
        <stp>##V3_BDPV12</stp>
        <stp>ADP CHNG Index</stp>
        <stp>RELEVANCE VALUE</stp>
        <stp>[GMIC Info Template.xlsm]ECO Calendar!R71C5</stp>
        <tr r="E71" s="2"/>
      </tp>
      <tp t="s">
        <v>Challenger US Job Cut Announcements Year Over Year Percent Change</v>
        <stp/>
        <stp>##V3_BDPV12</stp>
        <stp>CHALYOY% Index</stp>
        <stp>Long Comp Name</stp>
        <stp>[GMIC Info Template.xlsm]ECO Calendar!R72C3</stp>
        <tr r="C72" s="2"/>
      </tp>
      <tp>
        <v>67.777799999999999</v>
        <stp/>
        <stp>##V3_BDPV12</stp>
        <stp>GDPCTOT% Index</stp>
        <stp>RELEVANCE VALUE</stp>
        <stp>[GMIC Info Template.xlsm]ECO Calendar!R50C5</stp>
        <tr r="E50" s="2"/>
      </tp>
      <tp t="s">
        <v>BBG000GZQ728</v>
        <stp/>
        <stp>##V3_BDPV12</stp>
        <stp>XOM US Equity</stp>
        <stp>ID BB GLOBAL</stp>
        <stp>[GMIC Info Template.xlsm]Security Analysis!R8C4</stp>
        <tr r="D8" s="13"/>
      </tp>
      <tp t="s">
        <v>United States</v>
        <stp/>
        <stp>##V3_BDPV12</stp>
        <stp>CICRTOT Index</stp>
        <stp>REGION OR COUNTRY</stp>
        <stp>[GMIC Info Template.xlsm]ECO Calendar!R73C20</stp>
        <tr r="T73" s="2"/>
      </tp>
      <tp>
        <v>3</v>
        <stp/>
        <stp>##V3_BDPV12</stp>
        <stp>CONSPXMD Index</stp>
        <stp>QUOTE PRIOR MID</stp>
        <stp>[GMIC Info Template.xlsm]ECO Calendar!R9C9</stp>
        <tr r="I9" s="2"/>
      </tp>
      <tp>
        <v>2.1835070000000001</v>
        <stp/>
        <stp>##V3_BDPV12</stp>
        <stp>UNH US Equity</stp>
        <stp>SHORT INT RATIO</stp>
        <stp>[GMIC Info Template.xlsm]Security Analysis!R26C11</stp>
        <tr r="K26" s="13"/>
      </tp>
      <tp>
        <v>4.5652174949645996</v>
        <stp/>
        <stp>##V3_BDPV12</stp>
        <stp>UTX US Equity</stp>
        <stp>EQY REC CONS</stp>
        <stp>[GMIC Info Template.xlsm]Security Analysis!R28C9</stp>
        <tr r="I28" s="13"/>
      </tp>
      <tp t="s">
        <v>ISM Manufacturing Report on Business Prices Index NSA</v>
        <stp/>
        <stp>##V3_BDPV12</stp>
        <stp>NAPMPRIC Index</stp>
        <stp>Long Comp Name</stp>
        <stp>[GMIC Info Template.xlsm]ECO Calendar!R63C3</stp>
        <tr r="C63" s="2"/>
      </tp>
      <tp>
        <v>5.6217790000000001</v>
        <stp/>
        <stp>##V3_BDPV12</stp>
        <stp>UTX US Equity</stp>
        <stp>SHORT INT RATIO</stp>
        <stp>[GMIC Info Template.xlsm]Security Analysis!R28C11</stp>
        <tr r="K28" s="13"/>
      </tp>
      <tp>
        <v>94.444400000000002</v>
        <stp/>
        <stp>##V3_BDPV12</stp>
        <stp>CPI CHNG Index</stp>
        <stp>RELEVANCE VALUE</stp>
        <stp>[GMIC Info Template.xlsm]ECO Calendar!R12C5</stp>
        <tr r="E12" s="2"/>
      </tp>
      <tp>
        <v>3.1990859890556176</v>
        <stp/>
        <stp>##V3_BDPV12</stp>
        <stp>PFE US Equity</stp>
        <stp>EQY DVD YLD IND</stp>
        <stp>[GMIC Info Template.xlsm]Security Analysis!R15C20</stp>
        <tr r="T15" s="13"/>
      </tp>
      <tp>
        <v>1.4</v>
        <stp/>
        <stp>##V3_BDPV12</stp>
        <stp>GDP PIQQ Index</stp>
        <stp>QUOTE PRIOR MID</stp>
        <stp>[GMIC Info Template.xlsm]ECO Calendar!R49C9</stp>
        <tr r="I49" s="2"/>
      </tp>
      <tp t="s">
        <v>Common Stock</v>
        <stp/>
        <stp>##V3_BDPV12</stp>
        <stp>CSCO US Equity</stp>
        <stp>SECURITY TYP</stp>
        <stp>[GMIC Info Template.xlsm]Security Analysis!R25C5</stp>
        <tr r="E25" s="13"/>
      </tp>
      <tp t="s">
        <v>Monthly</v>
        <stp/>
        <stp>##V3_BDPV12</stp>
        <stp>ETSLMOM Index</stp>
        <stp>INDX FREQ</stp>
        <stp>[GMIC Info Template.xlsm]ECO Calendar!R23C15</stp>
        <tr r="O23" s="2"/>
      </tp>
      <tp t="s">
        <v>May</v>
        <stp/>
        <stp>##V3_BDPV12</stp>
        <stp>ECONUSIB Index</stp>
        <stp>OBSERVATION PERIOD</stp>
        <stp>[GMIC Info Template.xlsm]ECO Calendar!R70C12</stp>
        <tr r="L70" s="2"/>
      </tp>
      <tp t="s">
        <v>COCA-COLA CO/THE</v>
        <stp/>
        <stp>##V3_BDPV12</stp>
        <stp>KO US Equity</stp>
        <stp>SHORT NAME</stp>
        <stp>[GMIC Info Template.xlsm]Security Analysis!R19C2</stp>
        <tr r="B19" s="13"/>
      </tp>
      <tp t="s">
        <v>BOEING CO/THE</v>
        <stp/>
        <stp>##V3_BDPV12</stp>
        <stp>BA US Equity</stp>
        <stp>SHORT NAME</stp>
        <stp>[GMIC Info Template.xlsm]Security Analysis!R27C2</stp>
        <tr r="B27" s="13"/>
      </tp>
      <tp t="s">
        <v>None</v>
        <stp/>
        <stp>##V3_BDPV12</stp>
        <stp>CFNAI Index</stp>
        <stp>SCALING FORMAT</stp>
        <stp>[GMIC Info Template.xlsm]ECO Calendar!R19C10</stp>
        <tr r="J19" s="2"/>
      </tp>
      <tp t="s">
        <v>Apr</v>
        <stp/>
        <stp>##V3_BDPV12</stp>
        <stp>RSTAXMOM Index</stp>
        <stp>OBSERVATION PERIOD</stp>
        <stp>[GMIC Info Template.xlsm]ECO Calendar!R94C12</stp>
        <tr r="L94" s="2"/>
      </tp>
      <tp t="s">
        <v>Apr</v>
        <stp/>
        <stp>##V3_BDPV12</stp>
        <stp>RSTAXAGM Index</stp>
        <stp>OBSERVATION PERIOD</stp>
        <stp>[GMIC Info Template.xlsm]ECO Calendar!R96C12</stp>
        <tr r="L96" s="2"/>
      </tp>
      <tp>
        <v>18.144116473063573</v>
        <stp/>
        <stp>##V3_BDPV12</stp>
        <stp>GE US Equity</stp>
        <stp>EBITDA MARGIN</stp>
        <stp>[GMIC Info Template.xlsm]Security Analysis!R11C22</stp>
        <tr r="V11" s="13"/>
      </tp>
      <tp t="s">
        <v>US</v>
        <stp/>
        <stp>##V3_BDPV12</stp>
        <stp>DIS US Equity</stp>
        <stp>COUNTRY</stp>
        <stp>[GMIC Info Template.xlsm]Security Analysis!R18C7</stp>
        <tr r="G18" s="13"/>
      </tp>
      <tp t="s">
        <v>United States</v>
        <stp/>
        <stp>##V3_BDPV12</stp>
        <stp>NFP TCH Index</stp>
        <stp>REGION OR COUNTRY</stp>
        <stp>[GMIC Info Template.xlsm]ECO Calendar!R74C20</stp>
        <tr r="T74" s="2"/>
      </tp>
      <tp t="s">
        <v>United States</v>
        <stp/>
        <stp>##V3_BDPV12</stp>
        <stp>NFP PCH Index</stp>
        <stp>REGION OR COUNTRY</stp>
        <stp>[GMIC Info Template.xlsm]ECO Calendar!R77C20</stp>
        <tr r="T77" s="2"/>
      </tp>
      <tp t="s">
        <v>US</v>
        <stp/>
        <stp>##V3_BDPV12</stp>
        <stp>UTX US Equity</stp>
        <stp>COUNTRY</stp>
        <stp>[GMIC Info Template.xlsm]Security Analysis!R28C7</stp>
        <tr r="G28" s="13"/>
      </tp>
      <tp t="s">
        <v>US PPI Final Demand YoY NSA</v>
        <stp/>
        <stp>##V3_BDPV12</stp>
        <stp>FDIUFDYO Index</stp>
        <stp>Long Comp Name</stp>
        <stp>[GMIC Info Template.xlsm]ECO Calendar!R99C3</stp>
        <tr r="C99" s="2"/>
      </tp>
      <tp t="s">
        <v>Common Stock</v>
        <stp/>
        <stp>##V3_BDPV12</stp>
        <stp>MMM US Equity</stp>
        <stp>SECURITY TYP</stp>
        <stp>[GMIC Info Template.xlsm]Security Analysis!R29C5</stp>
        <tr r="E29" s="13"/>
      </tp>
      <tp>
        <v>2.2000000000000002</v>
        <stp/>
        <stp>##V3_BDPV12</stp>
        <stp>GDP CQOQ Index</stp>
        <stp>PX LAST</stp>
        <stp>[GMIC Info Template.xlsm]ECO Calendar!R48C7</stp>
        <tr r="G48" s="2"/>
      </tp>
      <tp t="s">
        <v>VISA INC-CLASS A</v>
        <stp/>
        <stp>##V3_BDPV12</stp>
        <stp>V US Equity</stp>
        <stp>SHORT NAME</stp>
        <stp>[GMIC Info Template.xlsm]Security Analysis!R22C2</stp>
        <tr r="B22" s="13"/>
      </tp>
      <tp t="s">
        <v>US Pending Home Sales Index MoM SA</v>
        <stp/>
        <stp>##V3_BDPV12</stp>
        <stp>USPHTMOM Index</stp>
        <stp>Long Comp Name</stp>
        <stp>[GMIC Info Template.xlsm]ECO Calendar!R46C3</stp>
        <tr r="C46" s="2"/>
      </tp>
      <tp>
        <v>64.53</v>
        <stp/>
        <stp>##V3_BDPV12</stp>
        <stp>V US Equity</stp>
        <stp>PX ASK</stp>
        <stp>[GMIC Info Template.xlsm]Security Analysis!R22C13</stp>
        <tr r="M22" s="13"/>
      </tp>
      <tp t="s">
        <v>This release is frequently released early. It can come out as early as 9:55am EST. The official release time is 10:00.                                          Base year 1966=100.  A survey of consumer attitudes concerning both the present situation as well as expectations regarding economic conditions conducted by the University of Michigan. For the preliminary release approximately three hundred consumers are surveyed while five hundred are interviewed for the final figure. The level of consumer sentiment is related to the strength of consumer spending. Please note that this report is released twice per month. The first is a preliminary figure while the second is the final (revised) figure. HP only shows the final values for previous months while ECO &lt;GO&gt; includes every release.  This may account for discrepancies between the 'Prior' column and HP.</v>
        <stp/>
        <stp>##V3_BDPV12</stp>
        <stp>CONSSENT Index</stp>
        <stp>DES NOTES</stp>
        <stp>[GMIC Info Template.xlsm]ECO Calendar!R7C21</stp>
        <tr r="U7" s="2"/>
      </tp>
      <tp>
        <v>5</v>
        <stp/>
        <stp>##V3_BDPV12</stp>
        <stp>GDP CQOQ Index</stp>
        <stp>QUOTE PRIOR MID</stp>
        <stp>[GMIC Info Template.xlsm]ECO Calendar!R48C9</stp>
        <tr r="I48" s="2"/>
      </tp>
      <tp t="s">
        <v>#N/A Field Not Applicable</v>
        <stp/>
        <stp>##V3_BDPV12</stp>
        <stp>NFP T Index</stp>
        <stp>ECO RELEASE DT</stp>
        <stp>[GMIC Info Template.xlsm]ECO Calendar!R118C16</stp>
        <tr r="P118" s="2"/>
      </tp>
      <tp>
        <v>64.243174259416818</v>
        <stp/>
        <stp>##V3_BDPV12</stp>
        <stp>V US Equity</stp>
        <stp>EBITDA MARGIN</stp>
        <stp>[GMIC Info Template.xlsm]Security Analysis!R22C22</stp>
        <tr r="V22" s="13"/>
      </tp>
      <tp t="s">
        <v>Apr</v>
        <stp/>
        <stp>##V3_BDPV12</stp>
        <stp>ECONGECC Index</stp>
        <stp>OBSERVATION PERIOD</stp>
        <stp>[GMIC Info Template.xlsm]ECO Calendar!R84C12</stp>
        <tr r="L84" s="2"/>
      </tp>
      <tp t="s">
        <v>US4581401001</v>
        <stp/>
        <stp>##V3_BDPV12</stp>
        <stp>INTC US Equity</stp>
        <stp>ID ISIN</stp>
        <stp>[GMIC Info Template.xlsm]Security Analysis!R23C3</stp>
        <tr r="C23" s="13"/>
      </tp>
      <tp>
        <v>3.7400000095367432</v>
        <stp/>
        <stp>##V3_BDPV12</stp>
        <stp>INTC US Equity</stp>
        <stp>EQY REC CONS</stp>
        <stp>[GMIC Info Template.xlsm]Security Analysis!R23C9</stp>
        <tr r="I23" s="13"/>
      </tp>
      <tp t="s">
        <v>US2635341090</v>
        <stp/>
        <stp>##V3_BDPV12</stp>
        <stp>DD US Equity</stp>
        <stp>ID ISIN</stp>
        <stp>[GMIC Info Template.xlsm]Security Analysis!R34C3</stp>
        <tr r="C34" s="13"/>
      </tp>
      <tp t="s">
        <v>US4370761029</v>
        <stp/>
        <stp>##V3_BDPV12</stp>
        <stp>HD US Equity</stp>
        <stp>ID ISIN</stp>
        <stp>[GMIC Info Template.xlsm]Security Analysis!R24C3</stp>
        <tr r="C24" s="13"/>
      </tp>
      <tp t="s">
        <v>US7427181091</v>
        <stp/>
        <stp>##V3_BDPV12</stp>
        <stp>PG US Equity</stp>
        <stp>ID ISIN</stp>
        <stp>[GMIC Info Template.xlsm]Security Analysis!R14C3</stp>
        <tr r="C14" s="13"/>
      </tp>
      <tp t="s">
        <v>US</v>
        <stp/>
        <stp>##V3_BDPV12</stp>
        <stp>MMM US Equity</stp>
        <stp>COUNTRY</stp>
        <stp>[GMIC Info Template.xlsm]Security Analysis!R29C7</stp>
        <tr r="G29" s="13"/>
      </tp>
      <tp>
        <v>14.733817447340581</v>
        <stp/>
        <stp>##V3_BDPV12</stp>
        <stp>HD US Equity</stp>
        <stp>EBITDA MARGIN</stp>
        <stp>[GMIC Info Template.xlsm]Security Analysis!R24C22</stp>
        <tr r="V24" s="13"/>
      </tp>
      <tp>
        <v>16.306194741237796</v>
        <stp/>
        <stp>##V3_BDPV12</stp>
        <stp>DD US Equity</stp>
        <stp>EBITDA MARGIN</stp>
        <stp>[GMIC Info Template.xlsm]Security Analysis!R34C22</stp>
        <tr r="V34" s="13"/>
      </tp>
      <tp t="s">
        <v>United States</v>
        <stp/>
        <stp>##V3_BDPV12</stp>
        <stp>DFEDGBA Index</stp>
        <stp>REGION OR COUNTRY</stp>
        <stp>[GMIC Info Template.xlsm]ECO Calendar!R37C20</stp>
        <tr r="T37" s="2"/>
      </tp>
      <tp t="s">
        <v>Apr</v>
        <stp/>
        <stp>##V3_BDPV12</stp>
        <stp>NHCHATCH Index</stp>
        <stp>OBSERVATION PERIOD</stp>
        <stp>[GMIC Info Template.xlsm]ECO Calendar!R114C12</stp>
        <tr r="L114" s="2"/>
      </tp>
      <tp t="s">
        <v>Apr</v>
        <stp/>
        <stp>##V3_BDPV12</stp>
        <stp>NHSPATOT Index</stp>
        <stp>OBSERVATION PERIOD</stp>
        <stp>[GMIC Info Template.xlsm]ECO Calendar!R112C12</stp>
        <tr r="L112" s="2"/>
      </tp>
      <tp>
        <v>0.1</v>
        <stp/>
        <stp>##V3_BDPV12</stp>
        <stp>GDP PIQQ Index</stp>
        <stp>PX LAST</stp>
        <stp>[GMIC Info Template.xlsm]ECO Calendar!R49C7</stp>
        <tr r="G49" s="2"/>
      </tp>
      <tp>
        <v>2.4481850000000001</v>
        <stp/>
        <stp>##V3_BDPV12</stp>
        <stp>WMT US Equity</stp>
        <stp>SHORT INT RATIO</stp>
        <stp>[GMIC Info Template.xlsm]Security Analysis!R12C11</stp>
        <tr r="K12" s="13"/>
      </tp>
      <tp t="s">
        <v>Common Stock</v>
        <stp/>
        <stp>##V3_BDPV12</stp>
        <stp>CVX US Equity</stp>
        <stp>SECURITY TYP</stp>
        <stp>[GMIC Info Template.xlsm]Security Analysis!R16C5</stp>
        <tr r="E16" s="13"/>
      </tp>
      <tp>
        <v>3.9682499999999998</v>
        <stp/>
        <stp>##V3_BDPV12</stp>
        <stp>CONSPXMD Index</stp>
        <stp>RELEVANCE VALUE</stp>
        <stp>[GMIC Info Template.xlsm]ECO Calendar!R9C19</stp>
        <tr r="S9" s="2"/>
      </tp>
      <tp>
        <v>4.7618999999999998</v>
        <stp/>
        <stp>##V3_BDPV12</stp>
        <stp>CONSP5MD Index</stp>
        <stp>RELEVANCE VALUE</stp>
        <stp>[GMIC Info Template.xlsm]ECO Calendar!R8C19</stp>
        <tr r="S8" s="2"/>
      </tp>
      <tp t="s">
        <v>US Pending Home Sales Index YoY NSA</v>
        <stp/>
        <stp>##V3_BDPV12</stp>
        <stp>USPHTYOY Index</stp>
        <stp>Long Comp Name</stp>
        <stp>[GMIC Info Template.xlsm]ECO Calendar!R47C3</stp>
        <tr r="C47" s="2"/>
      </tp>
      <tp t="s">
        <v>Markit US Services PMI Business Activity SA</v>
        <stp/>
        <stp>##V3_BDPV12</stp>
        <stp>MPMIUSSA Index</stp>
        <stp>Long Comp Name</stp>
        <stp>[GMIC Info Template.xlsm]ECO Calendar!R36C3</stp>
        <tr r="C36" s="2"/>
      </tp>
      <tp t="s">
        <v>US Personal Income MoM SA</v>
        <stp/>
        <stp>##V3_BDPV12</stp>
        <stp>PITLCHNG Index</stp>
        <stp>Long Comp Name</stp>
        <stp>[GMIC Info Template.xlsm]ECO Calendar!R52C3</stp>
        <tr r="C52" s="2"/>
      </tp>
      <tp t="s">
        <v>US Import Price Index by End Use All MoM NSA</v>
        <stp/>
        <stp>##V3_BDPV12</stp>
        <stp>IMP1CHNG Index</stp>
        <stp>Long Comp Name</stp>
        <stp>[GMIC Info Template.xlsm]ECO Calendar!R91C3</stp>
        <tr r="C91" s="2"/>
      </tp>
      <tp t="s">
        <v>2/28/2015</v>
        <stp/>
        <stp>##V3_BDPV12</stp>
        <stp>NFP T Index</stp>
        <stp>PRIOR OBSERVATION DATE</stp>
        <stp>[GMIC Info Template.xlsm]ECO Calendar!R118C14</stp>
        <tr r="N118" s="2"/>
      </tp>
      <tp>
        <v>4.5600000000000005</v>
        <stp/>
        <stp>##V3_BDPV12</stp>
        <stp>SPCS20Y% Index</stp>
        <stp>PX LAST</stp>
        <stp>[GMIC Info Template.xlsm]ECO Calendar!R39C7</stp>
        <tr r="G39" s="2"/>
      </tp>
      <tp t="s">
        <v>ADP National Employment Report SA Private Nonfarm Level Change</v>
        <stp/>
        <stp>##V3_BDPV12</stp>
        <stp>ADP CHNG Index</stp>
        <stp>Long Comp Name</stp>
        <stp>[GMIC Info Template.xlsm]ECO Calendar!R71C3</stp>
        <tr r="C71" s="2"/>
      </tp>
      <tp>
        <v>280.34150824747258</v>
        <stp/>
        <stp>##V3_BDPV12</stp>
        <stp>AXP US Equity</stp>
        <stp>LT DEBT TO TOT EQY</stp>
        <stp>[GMIC Info Template.xlsm]Security Analysis!R33C25</stp>
        <tr r="Y33" s="13"/>
      </tp>
      <tp>
        <v>165.12540116486389</v>
        <stp/>
        <stp>##V3_BDPV12</stp>
        <stp>CAT US Equity</stp>
        <stp>LT DEBT TO TOT EQY</stp>
        <stp>[GMIC Info Template.xlsm]Security Analysis!R35C25</stp>
        <tr r="Y35" s="13"/>
      </tp>
      <tp>
        <v>15.38372889603114</v>
        <stp/>
        <stp>##V3_BDPV12</stp>
        <stp>CVX US Equity</stp>
        <stp>LT DEBT TO TOT EQY</stp>
        <stp>[GMIC Info Template.xlsm]Security Analysis!R16C25</stp>
        <tr r="Y16" s="13"/>
      </tp>
      <tp>
        <v>26.310764249242389</v>
        <stp/>
        <stp>##V3_BDPV12</stp>
        <stp>DIS US Equity</stp>
        <stp>LT DEBT TO TOT EQY</stp>
        <stp>[GMIC Info Template.xlsm]Security Analysis!R18C25</stp>
        <tr r="Y18" s="13"/>
      </tp>
      <tp t="s">
        <v>HOME DEPOT INC</v>
        <stp/>
        <stp>##V3_BDPV12</stp>
        <stp>HD US Equity</stp>
        <stp>SHORT NAME</stp>
        <stp>[GMIC Info Template.xlsm]Security Analysis!R24C2</stp>
        <tr r="B24" s="13"/>
      </tp>
      <tp t="s">
        <v>DU PONT (EI)</v>
        <stp/>
        <stp>##V3_BDPV12</stp>
        <stp>DD US Equity</stp>
        <stp>SHORT NAME</stp>
        <stp>[GMIC Info Template.xlsm]Security Analysis!R34C2</stp>
        <tr r="B34" s="13"/>
      </tp>
      <tp>
        <v>291.91011235955057</v>
        <stp/>
        <stp>##V3_BDPV12</stp>
        <stp>IBM US Equity</stp>
        <stp>LT DEBT TO TOT EQY</stp>
        <stp>[GMIC Info Template.xlsm]Security Analysis!R21C25</stp>
        <tr r="Y21" s="13"/>
      </tp>
      <tp>
        <v>21.679665099208627</v>
        <stp/>
        <stp>##V3_BDPV12</stp>
        <stp>JNJ US Equity</stp>
        <stp>LT DEBT TO TOT EQY</stp>
        <stp>[GMIC Info Template.xlsm]Security Analysis!R10C25</stp>
        <tr r="Y10" s="13"/>
      </tp>
      <tp>
        <v>125.31661387973196</v>
        <stp/>
        <stp>##V3_BDPV12</stp>
        <stp>JPM US Equity</stp>
        <stp>LT DEBT TO TOT EQY</stp>
        <stp>[GMIC Info Template.xlsm]Security Analysis!R13C25</stp>
        <tr r="Y13" s="13"/>
      </tp>
      <tp>
        <v>116.62050508036785</v>
        <stp/>
        <stp>##V3_BDPV12</stp>
        <stp>MCD US Equity</stp>
        <stp>LT DEBT TO TOT EQY</stp>
        <stp>[GMIC Info Template.xlsm]Security Analysis!R30C25</stp>
        <tr r="Y30" s="13"/>
      </tp>
      <tp>
        <v>51.217470704611166</v>
        <stp/>
        <stp>##V3_BDPV12</stp>
        <stp>MMM US Equity</stp>
        <stp>LT DEBT TO TOT EQY</stp>
        <stp>[GMIC Info Template.xlsm]Security Analysis!R29C25</stp>
        <tr r="Y29" s="13"/>
      </tp>
      <tp>
        <v>38.324691029083233</v>
        <stp/>
        <stp>##V3_BDPV12</stp>
        <stp>MRK US Equity</stp>
        <stp>LT DEBT TO TOT EQY</stp>
        <stp>[GMIC Info Template.xlsm]Security Analysis!R20C25</stp>
        <tr r="Y20" s="13"/>
      </tp>
      <tp t="s">
        <v>Apr</v>
        <stp/>
        <stp>##V3_BDPV12</stp>
        <stp>USEMNCHG Index</stp>
        <stp>OBSERVATION PERIOD</stp>
        <stp>[GMIC Info Template.xlsm]ECO Calendar!R81C12</stp>
        <tr r="L81" s="2"/>
      </tp>
      <tp>
        <v>11.077235772357724</v>
        <stp/>
        <stp>##V3_BDPV12</stp>
        <stp>NKE US Equity</stp>
        <stp>LT DEBT TO TOT EQY</stp>
        <stp>[GMIC Info Template.xlsm]Security Analysis!R32C25</stp>
        <tr r="Y32" s="13"/>
      </tp>
      <tp>
        <v>44.038759581686939</v>
        <stp/>
        <stp>##V3_BDPV12</stp>
        <stp>PFE US Equity</stp>
        <stp>LT DEBT TO TOT EQY</stp>
        <stp>[GMIC Info Template.xlsm]Security Analysis!R15C25</stp>
        <tr r="Y15" s="13"/>
      </tp>
      <tp t="s">
        <v>Feb</v>
        <stp/>
        <stp>##V3_BDPV12</stp>
        <stp>SPCSUSAY Index</stp>
        <stp>OBSERVATION PERIOD</stp>
        <stp>[GMIC Info Template.xlsm]ECO Calendar!R40C12</stp>
        <tr r="L40" s="2"/>
      </tp>
      <tp t="s">
        <v>Monthly</v>
        <stp/>
        <stp>##V3_BDPV12</stp>
        <stp>EMPRGBCI Index</stp>
        <stp>INDX FREQ</stp>
        <stp>[GMIC Info Template.xlsm]ECO Calendar!R107C15</stp>
        <tr r="O107" s="2"/>
      </tp>
      <tp>
        <v>23.550491222419069</v>
        <stp/>
        <stp>##V3_BDPV12</stp>
        <stp>TRV US Equity</stp>
        <stp>LT DEBT TO TOT EQY</stp>
        <stp>[GMIC Info Template.xlsm]Security Analysis!R36C25</stp>
        <tr r="Y36" s="13"/>
      </tp>
      <tp>
        <v>47.29921399444477</v>
        <stp/>
        <stp>##V3_BDPV12</stp>
        <stp>UNH US Equity</stp>
        <stp>LT DEBT TO TOT EQY</stp>
        <stp>[GMIC Info Template.xlsm]Security Analysis!R26C25</stp>
        <tr r="Y26" s="13"/>
      </tp>
      <tp>
        <v>54.647749510763212</v>
        <stp/>
        <stp>##V3_BDPV12</stp>
        <stp>UTX US Equity</stp>
        <stp>LT DEBT TO TOT EQY</stp>
        <stp>[GMIC Info Template.xlsm]Security Analysis!R28C25</stp>
        <tr r="Y28" s="13"/>
      </tp>
      <tp t="s">
        <v>Apr</v>
        <stp/>
        <stp>##V3_BDPV12</stp>
        <stp>LMCILMCC Index</stp>
        <stp>OBSERVATION PERIOD</stp>
        <stp>[GMIC Info Template.xlsm]ECO Calendar!R87C12</stp>
        <tr r="L87" s="2"/>
      </tp>
      <tp>
        <v>50.84189580739379</v>
        <stp/>
        <stp>##V3_BDPV12</stp>
        <stp>WMT US Equity</stp>
        <stp>LT DEBT TO TOT EQY</stp>
        <stp>[GMIC Info Template.xlsm]Security Analysis!R12C25</stp>
        <tr r="Y12" s="13"/>
      </tp>
      <tp t="s">
        <v>Apr</v>
        <stp/>
        <stp>##V3_BDPV12</stp>
        <stp>CPURNSA Index</stp>
        <stp>OBSERVATION PERIOD</stp>
        <stp>[GMIC Info Template.xlsm]ECO Calendar!R17C12</stp>
        <tr r="L17" s="2"/>
      </tp>
      <tp t="s">
        <v>Monthly</v>
        <stp/>
        <stp>##V3_BDPV12</stp>
        <stp>PRUSTOT Index</stp>
        <stp>INDX FREQ</stp>
        <stp>[GMIC Info Template.xlsm]ECO Calendar!R83C15</stp>
        <tr r="O83" s="2"/>
      </tp>
      <tp t="s">
        <v>United States</v>
        <stp/>
        <stp>##V3_BDPV12</stp>
        <stp>SPCSUSA Index</stp>
        <stp>REGION OR COUNTRY</stp>
        <stp>[GMIC Info Template.xlsm]ECO Calendar!R41C20</stp>
        <tr r="T41" s="2"/>
      </tp>
      <tp t="s">
        <v>United States</v>
        <stp/>
        <stp>##V3_BDPV12</stp>
        <stp>CPURNSA Index</stp>
        <stp>REGION OR COUNTRY</stp>
        <stp>[GMIC Info Template.xlsm]ECO Calendar!R17C20</stp>
        <tr r="T17" s="2"/>
      </tp>
      <tp t="s">
        <v>United States</v>
        <stp/>
        <stp>##V3_BDPV12</stp>
        <stp>CONSP5MD Index</stp>
        <stp>REGION OR COUNTRY</stp>
        <stp>[GMIC Info Template.xlsm]ECO Calendar!R8C20</stp>
        <tr r="T8" s="2"/>
      </tp>
      <tp>
        <v>0.3</v>
        <stp/>
        <stp>##V3_BDPV12</stp>
        <stp>PCE DEFY Index</stp>
        <stp>PX LAST</stp>
        <stp>[GMIC Info Template.xlsm]ECO Calendar!R56C7</stp>
        <tr r="G56" s="2"/>
      </tp>
      <tp t="s">
        <v>Common Stock</v>
        <stp/>
        <stp>##V3_BDPV12</stp>
        <stp>AXP US Equity</stp>
        <stp>SECURITY TYP</stp>
        <stp>[GMIC Info Template.xlsm]Security Analysis!R33C5</stp>
        <tr r="E33" s="13"/>
      </tp>
      <tp>
        <v>4.0972099999999996</v>
        <stp/>
        <stp>##V3_BDPV12</stp>
        <stp>PFE US Equity</stp>
        <stp>SHORT INT RATIO</stp>
        <stp>[GMIC Info Template.xlsm]Security Analysis!R15C11</stp>
        <tr r="K15" s="13"/>
      </tp>
      <tp t="s">
        <v>Adjusted Retail Sales Less Autos SA Monthly % Change</v>
        <stp/>
        <stp>##V3_BDPV12</stp>
        <stp>RSTAXMOM Index</stp>
        <stp>Long Comp Name</stp>
        <stp>[GMIC Info Template.xlsm]ECO Calendar!R94C3</stp>
        <tr r="C94" s="2"/>
      </tp>
      <tp t="s">
        <v>Thousand</v>
        <stp/>
        <stp>##V3_BDPV12</stp>
        <stp>INJCSP Index</stp>
        <stp>SCALING FORMAT</stp>
        <stp>[GMIC Info Template.xlsm]ECO Calendar!R26C10</stp>
        <tr r="J26" s="2"/>
      </tp>
      <tp t="s">
        <v>Capital Goods Shipments Ex Air %</v>
        <stp/>
        <stp>##V3_BDPV12</stp>
        <stp>CGSHXAI% Index</stp>
        <stp>Long Comp Name</stp>
        <stp>[GMIC Info Template.xlsm]ECO Calendar!R34C3</stp>
        <tr r="C34" s="2"/>
      </tp>
      <tp>
        <v>0.2</v>
        <stp/>
        <stp>##V3_BDPV12</stp>
        <stp>PCE DEFY Index</stp>
        <stp>QUOTE PRIOR MID</stp>
        <stp>[GMIC Info Template.xlsm]ECO Calendar!R56C9</stp>
        <tr r="I56" s="2"/>
      </tp>
      <tp t="s">
        <v>AXPW</v>
        <stp/>
        <stp>##V3_BDPV12</stp>
        <stp>AXPW US EQUITY</stp>
        <stp>TICKER</stp>
        <stp>[GMIC Info Template.xlsm]Most Up &amp; Down!R11C10</stp>
        <tr r="J11" s="9"/>
      </tp>
      <tp>
        <v>2.5166923961825538</v>
        <stp/>
        <stp>##V3_BDPV12</stp>
        <stp>WMT US Equity</stp>
        <stp>EQY DVD YLD IND</stp>
        <stp>[GMIC Info Template.xlsm]Security Analysis!R12C20</stp>
        <tr r="T12" s="13"/>
      </tp>
      <tp t="s">
        <v>Monthly</v>
        <stp/>
        <stp>##V3_BDPV12</stp>
        <stp>RSTAMOM Index</stp>
        <stp>INDX FREQ</stp>
        <stp>[GMIC Info Template.xlsm]ECO Calendar!R93C15</stp>
        <tr r="O93" s="2"/>
      </tp>
      <tp t="s">
        <v>US Employees on Nonfarm Payrolls Total SA</v>
        <stp/>
        <stp>##V3_BDPV12</stp>
        <stp>NFP T Index</stp>
        <stp>Long Comp Name</stp>
        <stp>[GMIC Info Template.xlsm]ECO Calendar!R118C3</stp>
        <tr r="C118" s="2"/>
      </tp>
      <tp t="s">
        <v>Monthly</v>
        <stp/>
        <stp>##V3_BDPV12</stp>
        <stp>FDIUSGYO Index</stp>
        <stp>INDX FREQ</stp>
        <stp>[GMIC Info Template.xlsm]ECO Calendar!R101C15</stp>
        <tr r="O101" s="2"/>
      </tp>
      <tp t="s">
        <v>Mar</v>
        <stp/>
        <stp>##V3_BDPV12</stp>
        <stp>PITLCHNG Index</stp>
        <stp>OBSERVATION PERIOD</stp>
        <stp>[GMIC Info Template.xlsm]ECO Calendar!R52C12</stp>
        <tr r="L52" s="2"/>
      </tp>
      <tp t="s">
        <v>Monthly</v>
        <stp/>
        <stp>##V3_BDPV12</stp>
        <stp>USHBMIDX Index</stp>
        <stp>INDX FREQ</stp>
        <stp>[GMIC Info Template.xlsm]ECO Calendar!R110C15</stp>
        <tr r="O110" s="2"/>
      </tp>
      <tp t="s">
        <v>Monthly</v>
        <stp/>
        <stp>##V3_BDPV12</stp>
        <stp>CONCCYOY Index</stp>
        <stp>INDX FREQ</stp>
        <stp>[GMIC Info Template.xlsm]ECO Calendar!R122C15</stp>
        <tr r="O122" s="2"/>
      </tp>
      <tp>
        <v>136.7265625</v>
        <stp/>
        <stp>##V3_BDPV12</stp>
        <stp>AAPL US Equity</stp>
        <stp>INTEREST COVERAGE RATIO</stp>
        <stp>[GMIC Info Template.xlsm]Security Analysis!R7C27</stp>
        <tr r="AA7" s="13"/>
      </tp>
      <tp t="s">
        <v>Apr</v>
        <stp/>
        <stp>##V3_BDPV12</stp>
        <stp>FDIDFDMO Index</stp>
        <stp>OBSERVATION PERIOD</stp>
        <stp>[GMIC Info Template.xlsm]ECO Calendar!R98C12</stp>
        <tr r="L98" s="2"/>
      </tp>
      <tp t="s">
        <v>Mar</v>
        <stp/>
        <stp>##V3_BDPV12</stp>
        <stp>MWSLCHNG Index</stp>
        <stp>OBSERVATION PERIOD</stp>
        <stp>[GMIC Info Template.xlsm]ECO Calendar!R86C12</stp>
        <tr r="L86" s="2"/>
      </tp>
      <tp t="s">
        <v>Monthly</v>
        <stp/>
        <stp>##V3_BDPV12</stp>
        <stp>USURTOT Index</stp>
        <stp>INDX FREQ</stp>
        <stp>[GMIC Info Template.xlsm]ECO Calendar!R75C15</stp>
        <tr r="O75" s="2"/>
      </tp>
      <tp t="s">
        <v>Monthly</v>
        <stp/>
        <stp>##V3_BDPV12</stp>
        <stp>USTBTOT Index</stp>
        <stp>INDX FREQ</stp>
        <stp>[GMIC Info Template.xlsm]ECO Calendar!R68C15</stp>
        <tr r="O68" s="2"/>
      </tp>
      <tp t="s">
        <v>Mar</v>
        <stp/>
        <stp>##V3_BDPV12</stp>
        <stp>NHSLCHNG Index</stp>
        <stp>OBSERVATION PERIOD</stp>
        <stp>[GMIC Info Template.xlsm]ECO Calendar!R30C12</stp>
        <tr r="L30" s="2"/>
      </tp>
      <tp t="s">
        <v>Census Bureau US Construction Spending MoM SA</v>
        <stp/>
        <stp>##V3_BDPV12</stp>
        <stp>CNSTTMOM Index</stp>
        <stp>Long Comp Name</stp>
        <stp>[GMIC Info Template.xlsm]ECO Calendar!R62C3</stp>
        <tr r="C62" s="2"/>
      </tp>
      <tp t="s">
        <v>US CPI Urban Consumers Less Food &amp; Energy MoM SA</v>
        <stp/>
        <stp>##V3_BDPV12</stp>
        <stp>CPUPXCHG Index</stp>
        <stp>Long Comp Name</stp>
        <stp>[GMIC Info Template.xlsm]ECO Calendar!R13C3</stp>
        <tr r="C13" s="2"/>
      </tp>
      <tp>
        <v>4.4400000000000004</v>
        <stp/>
        <stp>##V3_BDPV12</stp>
        <stp>SPCS20Y% Index</stp>
        <stp>QUOTE PRIOR MID</stp>
        <stp>[GMIC Info Template.xlsm]ECO Calendar!R39C9</stp>
        <tr r="I39" s="2"/>
      </tp>
      <tp>
        <v>1203.1000000000001</v>
        <stp/>
        <stp>##V3_BDPV12</stp>
        <stp>GCA COMDTY</stp>
        <stp>PX LAST</stp>
        <stp>[GMIC Info Template.xlsm]Currencies &amp; Commodities!R17C4</stp>
        <tr r="D17" s="3"/>
      </tp>
      <tp>
        <v>4.6500000000000004</v>
        <stp/>
        <stp>##V3_BDPV12</stp>
        <stp>SPCS20Y% Index</stp>
        <stp>BN SURVEY MEDIAN</stp>
        <stp>[GMIC Info Template.xlsm]ECO Calendar!R39C8</stp>
        <tr r="H39" s="2"/>
      </tp>
      <tp>
        <v>2.0872865727549481</v>
        <stp/>
        <stp>##V3_BDPV12</stp>
        <stp>TRV US Equity</stp>
        <stp>EQY DVD YLD IND</stp>
        <stp>[GMIC Info Template.xlsm]Security Analysis!R36C20</stp>
        <tr r="T36" s="13"/>
      </tp>
      <tp>
        <v>62.698399999999999</v>
        <stp/>
        <stp>##V3_BDPV12</stp>
        <stp>RSTAXAG% Index</stp>
        <stp>RELEVANCE VALUE</stp>
        <stp>[GMIC Info Template.xlsm]ECO Calendar!R95C5</stp>
        <tr r="E95" s="2"/>
      </tp>
      <tp>
        <v>1.7</v>
        <stp/>
        <stp>##V3_BDPV12</stp>
        <stp>CPI XYOY Index</stp>
        <stp>QUOTE PRIOR MID</stp>
        <stp>[GMIC Info Template.xlsm]ECO Calendar!R15C9</stp>
        <tr r="I15" s="2"/>
      </tp>
      <tp>
        <v>1.32863</v>
        <stp/>
        <stp>##V3_BDPV12</stp>
        <stp>PCE CYOY Index</stp>
        <stp>QUOTE PRIOR MID</stp>
        <stp>[GMIC Info Template.xlsm]ECO Calendar!R55C9</stp>
        <tr r="I55" s="2"/>
      </tp>
      <tp t="s">
        <v>Mar</v>
        <stp/>
        <stp>##V3_BDPV12</stp>
        <stp>TMNOCHNG Index</stp>
        <stp>OBSERVATION PERIOD</stp>
        <stp>[GMIC Info Template.xlsm]ECO Calendar!R67C12</stp>
        <tr r="L67" s="2"/>
      </tp>
      <tp t="s">
        <v>Monthly</v>
        <stp/>
        <stp>##V3_BDPV12</stp>
        <stp>CPI YOY Index</stp>
        <stp>INDX FREQ</stp>
        <stp>[GMIC Info Template.xlsm]ECO Calendar!R14C15</stp>
        <tr r="O14" s="2"/>
      </tp>
      <tp t="s">
        <v>Apr P</v>
        <stp/>
        <stp>##V3_BDPV12</stp>
        <stp>MPMIUSMA Index</stp>
        <stp>OBSERVATION PERIOD</stp>
        <stp>[GMIC Info Template.xlsm]ECO Calendar!R27C12</stp>
        <tr r="L27" s="2"/>
      </tp>
      <tp t="s">
        <v>Apr P</v>
        <stp/>
        <stp>##V3_BDPV12</stp>
        <stp>MPMIUSSA Index</stp>
        <stp>OBSERVATION PERIOD</stp>
        <stp>[GMIC Info Template.xlsm]ECO Calendar!R36C12</stp>
        <tr r="L36" s="2"/>
      </tp>
      <tp t="s">
        <v>Apr P</v>
        <stp/>
        <stp>##V3_BDPV12</stp>
        <stp>MPMIUSCA Index</stp>
        <stp>OBSERVATION PERIOD</stp>
        <stp>[GMIC Info Template.xlsm]ECO Calendar!R35C12</stp>
        <tr r="L35" s="2"/>
      </tp>
      <tp t="s">
        <v>Mar</v>
        <stp/>
        <stp>##V3_BDPV12</stp>
        <stp>DGNOCHNG Index</stp>
        <stp>OBSERVATION PERIOD</stp>
        <stp>[GMIC Info Template.xlsm]ECO Calendar!R31C12</stp>
        <tr r="L31" s="2"/>
      </tp>
      <tp t="s">
        <v>US3696041033</v>
        <stp/>
        <stp>##V3_BDPV12</stp>
        <stp>GE US Equity</stp>
        <stp>ID ISIN</stp>
        <stp>[GMIC Info Template.xlsm]Security Analysis!R11C3</stp>
        <tr r="C11" s="13"/>
      </tp>
      <tp t="s">
        <v>US38141G1040</v>
        <stp/>
        <stp>##V3_BDPV12</stp>
        <stp>GS US Equity</stp>
        <stp>ID ISIN</stp>
        <stp>[GMIC Info Template.xlsm]Security Analysis!R31C3</stp>
        <tr r="C31" s="13"/>
      </tp>
      <tp>
        <v>0.8489873</v>
        <stp/>
        <stp>##V3_BDPV12</stp>
        <stp>CSCO US Equity</stp>
        <stp>CHG PCT 3M</stp>
        <stp>[GMIC Info Template.xlsm]Security Analysis!R25C16</stp>
        <tr r="P25" s="13"/>
      </tp>
      <tp>
        <v>20.064520000000002</v>
        <stp/>
        <stp>##V3_BDPV12</stp>
        <stp>CSCO US Equity</stp>
        <stp>CHG PCT 6M</stp>
        <stp>[GMIC Info Template.xlsm]Security Analysis!R25C17</stp>
        <tr r="Q25" s="13"/>
      </tp>
      <tp>
        <v>-1.2208079999999999</v>
        <stp/>
        <stp>##V3_BDPV12</stp>
        <stp>CSCO US Equity</stp>
        <stp>CHG PCT 1M</stp>
        <stp>[GMIC Info Template.xlsm]Security Analysis!R25C15</stp>
        <tr r="O25" s="13"/>
      </tp>
      <tp>
        <v>10.333619796831272</v>
        <stp/>
        <stp>##V3_BDPV12</stp>
        <stp>BA US Equity</stp>
        <stp>EBITDA MARGIN</stp>
        <stp>[GMIC Info Template.xlsm]Security Analysis!R27C22</stp>
        <tr r="V27" s="13"/>
      </tp>
      <tp t="s">
        <v>Apr</v>
        <stp/>
        <stp>##V3_BDPV12</stp>
        <stp>IPMGCHNG Index</stp>
        <stp>OBSERVATION PERIOD</stp>
        <stp>[GMIC Info Template.xlsm]ECO Calendar!R106C12</stp>
        <tr r="L106" s="2"/>
      </tp>
      <tp>
        <v>6.2457310000000001</v>
        <stp/>
        <stp>##V3_BDPV12</stp>
        <stp>VZ US Equity</stp>
        <stp>SHORT INT RATIO</stp>
        <stp>[GMIC Info Template.xlsm]Security Analysis!R17C11</stp>
        <tr r="K17" s="13"/>
      </tp>
      <tp t="s">
        <v>MNI Chicago Business Barometer (sa)</v>
        <stp/>
        <stp>##V3_BDPV12</stp>
        <stp>CHPMINDX Index</stp>
        <stp>Long Comp Name</stp>
        <stp>[GMIC Info Template.xlsm]ECO Calendar!R59C3</stp>
        <tr r="C59" s="2"/>
      </tp>
      <tp>
        <v>1.5691120000000001</v>
        <stp/>
        <stp>##V3_BDPV12</stp>
        <stp>PG US Equity</stp>
        <stp>SHORT INT RATIO</stp>
        <stp>[GMIC Info Template.xlsm]Security Analysis!R14C11</stp>
        <tr r="K14" s="13"/>
      </tp>
      <tp>
        <v>1.6979949999999999</v>
        <stp/>
        <stp>##V3_BDPV12</stp>
        <stp>KO US Equity</stp>
        <stp>SHORT INT RATIO</stp>
        <stp>[GMIC Info Template.xlsm]Security Analysis!R19C11</stp>
        <tr r="K19" s="13"/>
      </tp>
      <tp>
        <v>3.027981</v>
        <stp/>
        <stp>##V3_BDPV12</stp>
        <stp>HD US Equity</stp>
        <stp>SHORT INT RATIO</stp>
        <stp>[GMIC Info Template.xlsm]Security Analysis!R24C11</stp>
        <tr r="K24" s="13"/>
      </tp>
      <tp t="s">
        <v>US New One Family Houses Sold Annual Total MoM SA</v>
        <stp/>
        <stp>##V3_BDPV12</stp>
        <stp>NHSLCHNG Index</stp>
        <stp>Long Comp Name</stp>
        <stp>[GMIC Info Template.xlsm]ECO Calendar!R30C3</stp>
        <tr r="C30" s="2"/>
      </tp>
      <tp>
        <v>2.2329940000000001</v>
        <stp/>
        <stp>##V3_BDPV12</stp>
        <stp>GE US Equity</stp>
        <stp>SHORT INT RATIO</stp>
        <stp>[GMIC Info Template.xlsm]Security Analysis!R11C11</stp>
        <tr r="K11" s="13"/>
      </tp>
      <tp>
        <v>2.3589449999999998</v>
        <stp/>
        <stp>##V3_BDPV12</stp>
        <stp>GS US Equity</stp>
        <stp>SHORT INT RATIO</stp>
        <stp>[GMIC Info Template.xlsm]Security Analysis!R31C11</stp>
        <tr r="K31" s="13"/>
      </tp>
      <tp>
        <v>1.9558610000000001</v>
        <stp/>
        <stp>##V3_BDPV12</stp>
        <stp>DD US Equity</stp>
        <stp>SHORT INT RATIO</stp>
        <stp>[GMIC Info Template.xlsm]Security Analysis!R34C11</stp>
        <tr r="K34" s="13"/>
      </tp>
      <tp>
        <v>4.6764020000000004</v>
        <stp/>
        <stp>##V3_BDPV12</stp>
        <stp>BA US Equity</stp>
        <stp>SHORT INT RATIO</stp>
        <stp>[GMIC Info Template.xlsm]Security Analysis!R27C11</stp>
        <tr r="K27" s="13"/>
      </tp>
      <tp t="s">
        <v>University of Michigan Current Economic Conditions Index</v>
        <stp/>
        <stp>##V3_BDPV12</stp>
        <stp>CONSCURR Index</stp>
        <stp>Long Comp Name</stp>
        <stp>[GMIC Info Template.xlsm]ECO Calendar!R11C3</stp>
        <tr r="C11" s="2"/>
      </tp>
      <tp>
        <v>2.2220292880648738</v>
        <stp/>
        <stp>##V3_BDPV12</stp>
        <stp>UTX US Equity</stp>
        <stp>EQY DVD YLD IND</stp>
        <stp>[GMIC Info Template.xlsm]Security Analysis!R28C20</stp>
        <tr r="T28" s="13"/>
      </tp>
      <tp>
        <v>341.40052696571507</v>
        <stp/>
        <stp>##V3_BDPV12</stp>
        <stp>MSFT US Equity</stp>
        <stp>CRNCY ADJ MKT CAP</stp>
        <stp>[GMIC Info Template.xlsm]Security Analysis!R9C6</stp>
        <stp>EQY_FUND_CRNCY=USD</stp>
        <stp>SCALING_FORMAT=MMM</stp>
        <tr r="F9" s="13"/>
      </tp>
      <tp t="s">
        <v>US Average Weekly Hours All Employees Total Private SA</v>
        <stp/>
        <stp>##V3_BDPV12</stp>
        <stp>AWH TOTL Index</stp>
        <stp>Long Comp Name</stp>
        <stp>[GMIC Info Template.xlsm]ECO Calendar!R80C3</stp>
        <tr r="C80" s="2"/>
      </tp>
      <tp t="s">
        <v>SZYM</v>
        <stp/>
        <stp>##V3_BDPV12</stp>
        <stp>SZYM US EQUITY</stp>
        <stp>TICKER</stp>
        <stp>[GMIC Info Template.xlsm]Most Up &amp; Down!R30C10</stp>
        <tr r="J30" s="9"/>
      </tp>
      <tp>
        <v>1.2637964445193361</v>
        <stp/>
        <stp>##V3_BDPV12</stp>
        <stp>UNH US Equity</stp>
        <stp>EQY DVD YLD IND</stp>
        <stp>[GMIC Info Template.xlsm]Security Analysis!R26C20</stp>
        <tr r="T26" s="13"/>
      </tp>
      <tp t="s">
        <v>This Industrial Production data is Seasonally Adjusted                          The production index measures real output and is expressed as a percentage of real output in a base year, currently 2007. The production indexes are computed as Fisher indexes since 1972; the weights are based on annual estimates of value added. Please note IPNEXMOT Index represents the Non-energy ex. motor vehicles &amp; pts., computers, communications eq., and semiconductors; s.a. IP from the G.17 Report</v>
        <stp/>
        <stp>##V3_BDPV12</stp>
        <stp>IP CHNG Index</stp>
        <stp>DES NOTES</stp>
        <stp>[GMIC Info Template.xlsm]ECO Calendar!R104C21</stp>
        <tr r="U104" s="2"/>
      </tp>
      <tp t="s">
        <v>Monthly</v>
        <stp/>
        <stp>##V3_BDPV12</stp>
        <stp>FRNTTOTL Index</stp>
        <stp>INDX FREQ</stp>
        <stp>[GMIC Info Template.xlsm]ECO Calendar!R108C15</stp>
        <tr r="O108" s="2"/>
      </tp>
      <tp>
        <v>32.792735042735046</v>
        <stp/>
        <stp>##V3_BDPV12</stp>
        <stp>INTC US Equity</stp>
        <stp>INTEREST COVERAGE RATIO</stp>
        <stp>[GMIC Info Template.xlsm]Security Analysis!R23C27</stp>
        <tr r="AA23" s="13"/>
      </tp>
      <tp t="s">
        <v>PROCTER &amp; GAMBLE</v>
        <stp/>
        <stp>##V3_BDPV12</stp>
        <stp>PG US Equity</stp>
        <stp>SHORT NAME</stp>
        <stp>[GMIC Info Template.xlsm]Security Analysis!R14C2</stp>
        <tr r="B14" s="13"/>
      </tp>
      <tp t="s">
        <v>In June 2003, all figures from the establishment survey were converted from the Standard Industrial Classification (SIC) over to the North American Industry Classification System (NAICS).  As a result, new categories were created and all history was revised.  Please note that only the broader categories will have history dating back prior to 1990.</v>
        <stp/>
        <stp>##V3_BDPV12</stp>
        <stp>NFP TYOY Index</stp>
        <stp>DES NOTES</stp>
        <stp>[GMIC Info Template.xlsm]ECO Calendar!R121C21</stp>
        <tr r="U121" s="2"/>
      </tp>
      <tp t="s">
        <v>Mar</v>
        <stp/>
        <stp>##V3_BDPV12</stp>
        <stp>CICRTOT Index</stp>
        <stp>OBSERVATION PERIOD</stp>
        <stp>[GMIC Info Template.xlsm]ECO Calendar!R73C12</stp>
        <tr r="L73" s="2"/>
      </tp>
      <tp t="s">
        <v>Mar</v>
        <stp/>
        <stp>##V3_BDPV12</stp>
        <stp>MWINCHNG Index</stp>
        <stp>OBSERVATION PERIOD</stp>
        <stp>[GMIC Info Template.xlsm]ECO Calendar!R85C12</stp>
        <tr r="L85" s="2"/>
      </tp>
      <tp t="s">
        <v>Chicago Fed National Activity</v>
        <stp/>
        <stp>##V3_BDPV12</stp>
        <stp>CFNAI Index</stp>
        <stp>NAME</stp>
        <stp>[GMIC Info Template.xlsm]ECO Calendar!R19C6</stp>
        <tr r="F19" s="2"/>
      </tp>
      <tp>
        <v>1.36568</v>
        <stp/>
        <stp>##V3_BDPV12</stp>
        <stp>PCE CYOY Index</stp>
        <stp>PX LAST</stp>
        <stp>[GMIC Info Template.xlsm]ECO Calendar!R55C7</stp>
        <tr r="G55" s="2"/>
      </tp>
      <tp>
        <v>3.71875</v>
        <stp/>
        <stp>##V3_BDPV12</stp>
        <stp>KO US Equity</stp>
        <stp>EQY REC CONS</stp>
        <stp>[GMIC Info Template.xlsm]Security Analysis!R19C9</stp>
        <tr r="I19" s="13"/>
      </tp>
      <tp>
        <v>1.8</v>
        <stp/>
        <stp>##V3_BDPV12</stp>
        <stp>CPI XYOY Index</stp>
        <stp>PX LAST</stp>
        <stp>[GMIC Info Template.xlsm]ECO Calendar!R15C7</stp>
        <tr r="G15" s="2"/>
      </tp>
      <tp t="s">
        <v>EXXON MOBIL CORP</v>
        <stp/>
        <stp>##V3_BDPV12</stp>
        <stp>XOM US Equity</stp>
        <stp>SHORT NAME</stp>
        <stp>[GMIC Info Template.xlsm]Security Analysis!R8C2</stp>
        <tr r="B8" s="13"/>
      </tp>
      <tp t="s">
        <v>#N/A Field Not Applicable</v>
        <stp/>
        <stp>##V3_BDPV12</stp>
        <stp>NFP T Index</stp>
        <stp>ECO RELEASE TIME</stp>
        <stp>[GMIC Info Template.xlsm]ECO Calendar!R118C18</stp>
        <tr r="R118" s="2"/>
      </tp>
      <tp>
        <v>2.5461489876541341</v>
        <stp/>
        <stp>##V3_BDPV12</stp>
        <stp>JPM US Equity</stp>
        <stp>EQY DVD YLD IND</stp>
        <stp>[GMIC Info Template.xlsm]Security Analysis!R13C20</stp>
        <tr r="T13" s="13"/>
      </tp>
      <tp t="s">
        <v>US CPI Urban Consumers Less Food &amp; Energy YoY NSA</v>
        <stp/>
        <stp>##V3_BDPV12</stp>
        <stp>CPI XYOY Index</stp>
        <stp>Long Comp Name</stp>
        <stp>[GMIC Info Template.xlsm]ECO Calendar!R15C3</stp>
        <tr r="C15" s="2"/>
      </tp>
      <tp>
        <v>41.269799999999996</v>
        <stp/>
        <stp>##V3_BDPV12</stp>
        <stp>PCE DEFY Index</stp>
        <stp>RELEVANCE VALUE</stp>
        <stp>[GMIC Info Template.xlsm]ECO Calendar!R56C5</stp>
        <tr r="E56" s="2"/>
      </tp>
      <tp>
        <v>2.8115272138932461</v>
        <stp/>
        <stp>##V3_BDPV12</stp>
        <stp>JNJ US Equity</stp>
        <stp>EQY DVD YLD IND</stp>
        <stp>[GMIC Info Template.xlsm]Security Analysis!R10C20</stp>
        <tr r="T10" s="13"/>
      </tp>
      <tp t="s">
        <v>US Personal Consumption Expenditures Chained 2009 Dollars MoM SA</v>
        <stp/>
        <stp>##V3_BDPV12</stp>
        <stp>PCE CHNC Index</stp>
        <stp>Long Comp Name</stp>
        <stp>[GMIC Info Template.xlsm]ECO Calendar!R58C3</stp>
        <tr r="C58" s="2"/>
      </tp>
      <tp t="s">
        <v>US6541061031</v>
        <stp/>
        <stp>##V3_BDPV12</stp>
        <stp>NKE US Equity</stp>
        <stp>ID ISIN</stp>
        <stp>[GMIC Info Template.xlsm]Security Analysis!R32C3</stp>
        <tr r="C32" s="13"/>
      </tp>
      <tp>
        <v>3.8936169147491455</v>
        <stp/>
        <stp>##V3_BDPV12</stp>
        <stp>CSCO US Equity</stp>
        <stp>EQY REC CONS</stp>
        <stp>[GMIC Info Template.xlsm]Security Analysis!R25C9</stp>
        <tr r="I25" s="13"/>
      </tp>
      <tp t="s">
        <v>Apr</v>
        <stp/>
        <stp>##V3_BDPV12</stp>
        <stp>USUDMAER Index</stp>
        <stp>OBSERVATION PERIOD</stp>
        <stp>[GMIC Info Template.xlsm]ECO Calendar!R82C12</stp>
        <tr r="L82" s="2"/>
      </tp>
      <tp t="s">
        <v>US9311421039</v>
        <stp/>
        <stp>##V3_BDPV12</stp>
        <stp>WMT US Equity</stp>
        <stp>ID ISIN</stp>
        <stp>[GMIC Info Template.xlsm]Security Analysis!R12C3</stp>
        <tr r="C12" s="13"/>
      </tp>
      <tp t="s">
        <v>United States</v>
        <stp/>
        <stp>##V3_BDPV12</stp>
        <stp>CPI YOY Index</stp>
        <stp>REGION OR COUNTRY</stp>
        <stp>[GMIC Info Template.xlsm]ECO Calendar!R14C20</stp>
        <tr r="T14" s="2"/>
      </tp>
      <tp t="s">
        <v>4/23/2015</v>
        <stp/>
        <stp>##V3_BDPV12</stp>
        <stp>INJCJC Index</stp>
        <stp>ECO RELEASE DT</stp>
        <stp>[GMIC Info Template.xlsm]ECO Calendar!R25C16</stp>
        <tr r="P25" s="2"/>
      </tp>
      <tp>
        <v>11.008264462809917</v>
        <stp/>
        <stp>##V3_BDPV12</stp>
        <stp>CAT US Equity</stp>
        <stp>INTEREST COVERAGE RATIO</stp>
        <stp>[GMIC Info Template.xlsm]Security Analysis!R35C27</stp>
        <tr r="AA35" s="13"/>
      </tp>
      <tp>
        <v>50.793700000000001</v>
        <stp/>
        <stp>##V3_BDPV12</stp>
        <stp>SPCS20Y% Index</stp>
        <stp>RELEVANCE VALUE</stp>
        <stp>[GMIC Info Template.xlsm]ECO Calendar!R39C5</stp>
        <tr r="E39" s="2"/>
      </tp>
      <tp>
        <v>3.5</v>
        <stp/>
        <stp>##V3_BDPV12</stp>
        <stp>MMM US Equity</stp>
        <stp>EQY REC CONS</stp>
        <stp>[GMIC Info Template.xlsm]Security Analysis!R29C9</stp>
        <tr r="I29" s="13"/>
      </tp>
      <tp>
        <v>27.550279329608937</v>
        <stp/>
        <stp>##V3_BDPV12</stp>
        <stp>CVX US Equity</stp>
        <stp>INTEREST COVERAGE RATIO</stp>
        <stp>[GMIC Info Template.xlsm]Security Analysis!R16C27</stp>
        <tr r="AA16" s="13"/>
      </tp>
      <tp t="s">
        <v>ADAT</v>
        <stp/>
        <stp>##V3_BDPV12</stp>
        <stp>ADAT US EQUITY</stp>
        <stp>TICKER</stp>
        <stp>[GMIC Info Template.xlsm]Most Up &amp; Down!R19C10</stp>
        <tr r="J19" s="9"/>
      </tp>
      <tp t="s">
        <v>US46625H1005</v>
        <stp/>
        <stp>##V3_BDPV12</stp>
        <stp>JPM US Equity</stp>
        <stp>ID ISIN</stp>
        <stp>[GMIC Info Template.xlsm]Security Analysis!R13C3</stp>
        <tr r="C13" s="13"/>
      </tp>
      <tp t="s">
        <v>VERIZON COMMUNIC</v>
        <stp/>
        <stp>##V3_BDPV12</stp>
        <stp>VZ US Equity</stp>
        <stp>SHORT NAME</stp>
        <stp>[GMIC Info Template.xlsm]Security Analysis!R17C2</stp>
        <tr r="B17" s="13"/>
      </tp>
      <tp t="s">
        <v>US0258161092</v>
        <stp/>
        <stp>##V3_BDPV12</stp>
        <stp>AXP US Equity</stp>
        <stp>ID ISIN</stp>
        <stp>[GMIC Info Template.xlsm]Security Analysis!R33C3</stp>
        <tr r="C33" s="13"/>
      </tp>
      <tp t="s">
        <v>Apr</v>
        <stp/>
        <stp>##V3_BDPV12</stp>
        <stp>CPUPXCHG Index</stp>
        <stp>OBSERVATION PERIOD</stp>
        <stp>[GMIC Info Template.xlsm]ECO Calendar!R13C12</stp>
        <tr r="L13" s="2"/>
      </tp>
      <tp>
        <v>28.311135246370185</v>
        <stp/>
        <stp>##V3_BDPV12</stp>
        <stp>PG US Equity</stp>
        <stp>LT DEBT TO TOT EQY</stp>
        <stp>[GMIC Info Template.xlsm]Security Analysis!R14C25</stp>
        <tr r="Y14" s="13"/>
      </tp>
      <tp>
        <v>808.24802573852003</v>
        <stp/>
        <stp>##V3_BDPV12</stp>
        <stp>VZ US Equity</stp>
        <stp>LT DEBT TO TOT EQY</stp>
        <stp>[GMIC Info Template.xlsm]Security Analysis!R17C25</stp>
        <tr r="Y17" s="13"/>
      </tp>
      <tp>
        <v>92.616609783845277</v>
        <stp/>
        <stp>##V3_BDPV12</stp>
        <stp>BA US Equity</stp>
        <stp>LT DEBT TO TOT EQY</stp>
        <stp>[GMIC Info Template.xlsm]Security Analysis!R27C25</stp>
        <tr r="Y27" s="13"/>
      </tp>
      <tp>
        <v>210.11766685496568</v>
        <stp/>
        <stp>##V3_BDPV12</stp>
        <stp>GS US Equity</stp>
        <stp>LT DEBT TO TOT EQY</stp>
        <stp>[GMIC Info Template.xlsm]Security Analysis!R31C25</stp>
        <tr r="Y31" s="13"/>
      </tp>
      <tp>
        <v>69.300343848108838</v>
        <stp/>
        <stp>##V3_BDPV12</stp>
        <stp>DD US Equity</stp>
        <stp>LT DEBT TO TOT EQY</stp>
        <stp>[GMIC Info Template.xlsm]Security Analysis!R34C25</stp>
        <tr r="Y34" s="13"/>
      </tp>
      <tp>
        <v>146.46613024635872</v>
        <stp/>
        <stp>##V3_BDPV12</stp>
        <stp>GE US Equity</stp>
        <stp>LT DEBT TO TOT EQY</stp>
        <stp>[GMIC Info Template.xlsm]Security Analysis!R11C25</stp>
        <tr r="Y11" s="13"/>
      </tp>
      <tp>
        <v>62.376885573116056</v>
        <stp/>
        <stp>##V3_BDPV12</stp>
        <stp>KO US Equity</stp>
        <stp>LT DEBT TO TOT EQY</stp>
        <stp>[GMIC Info Template.xlsm]Security Analysis!R19C25</stp>
        <tr r="Y19" s="13"/>
      </tp>
      <tp>
        <v>180.95902166916972</v>
        <stp/>
        <stp>##V3_BDPV12</stp>
        <stp>HD US Equity</stp>
        <stp>LT DEBT TO TOT EQY</stp>
        <stp>[GMIC Info Template.xlsm]Security Analysis!R24C25</stp>
        <tr r="Y24" s="13"/>
      </tp>
      <tp t="s">
        <v>Common Stock</v>
        <stp/>
        <stp>##V3_BDPV12</stp>
        <stp>INTC US Equity</stp>
        <stp>SECURITY TYP</stp>
        <stp>[GMIC Info Template.xlsm]Security Analysis!R23C5</stp>
        <tr r="E23" s="13"/>
      </tp>
      <tp t="s">
        <v>May</v>
        <stp/>
        <stp>##V3_BDPV12</stp>
        <stp>OUTFGAF Index</stp>
        <stp>OBSERVATION PERIOD</stp>
        <stp>[GMIC Info Template.xlsm]ECO Calendar!R116C12</stp>
        <tr r="L116" s="2"/>
      </tp>
      <tp t="s">
        <v>Apr</v>
        <stp/>
        <stp>##V3_BDPV12</stp>
        <stp>FDIDSGMO Index</stp>
        <stp>OBSERVATION PERIOD</stp>
        <stp>[GMIC Info Template.xlsm]ECO Calendar!R100C12</stp>
        <tr r="L100" s="2"/>
      </tp>
      <tp t="s">
        <v>Apr</v>
        <stp/>
        <stp>##V3_BDPV12</stp>
        <stp>FDIUSGUY Index</stp>
        <stp>OBSERVATION PERIOD</stp>
        <stp>[GMIC Info Template.xlsm]ECO Calendar!R103C12</stp>
        <tr r="L103" s="2"/>
      </tp>
      <tp t="s">
        <v>Apr</v>
        <stp/>
        <stp>##V3_BDPV12</stp>
        <stp>FDIDSGUM Index</stp>
        <stp>OBSERVATION PERIOD</stp>
        <stp>[GMIC Info Template.xlsm]ECO Calendar!R102C12</stp>
        <tr r="L102" s="2"/>
      </tp>
      <tp t="s">
        <v>Apr</v>
        <stp/>
        <stp>##V3_BDPV12</stp>
        <stp>FDIUSGYO Index</stp>
        <stp>OBSERVATION PERIOD</stp>
        <stp>[GMIC Info Template.xlsm]ECO Calendar!R101C12</stp>
        <tr r="L101" s="2"/>
      </tp>
      <tp>
        <v>3.085086</v>
        <stp/>
        <stp>##V3_BDPV12</stp>
        <stp>MMM US Equity</stp>
        <stp>SHORT INT RATIO</stp>
        <stp>[GMIC Info Template.xlsm]Security Analysis!R29C11</stp>
        <tr r="K29" s="13"/>
      </tp>
      <tp>
        <v>3.5517241954803467</v>
        <stp/>
        <stp>##V3_BDPV12</stp>
        <stp>CVX US Equity</stp>
        <stp>EQY REC CONS</stp>
        <stp>[GMIC Info Template.xlsm]Security Analysis!R16C9</stp>
        <tr r="I16" s="13"/>
      </tp>
      <tp t="s">
        <v>#N/A N/A</v>
        <stp/>
        <stp>##V3_BDPV12</stp>
        <stp>CPI YOY Index</stp>
        <stp>BN SURVEY MEDIAN</stp>
        <stp>[GMIC Info Template.xlsm]ECO Calendar!R14C8</stp>
        <tr r="H14" s="2"/>
      </tp>
      <tp t="s">
        <v>#N/A N/A</v>
        <stp/>
        <stp>##V3_BDPV12</stp>
        <stp>NFP TCH Index</stp>
        <stp>BN SURVEY MEDIAN</stp>
        <stp>[GMIC Info Template.xlsm]ECO Calendar!R74C8</stp>
        <tr r="H74" s="2"/>
      </tp>
      <tp>
        <v>2.562179</v>
        <stp/>
        <stp>##V3_BDPV12</stp>
        <stp>MCD US Equity</stp>
        <stp>SHORT INT RATIO</stp>
        <stp>[GMIC Info Template.xlsm]Security Analysis!R30C11</stp>
        <tr r="K30" s="13"/>
      </tp>
      <tp t="s">
        <v>Merchant Wholesalers Inventories Total Monthly % Change</v>
        <stp/>
        <stp>##V3_BDPV12</stp>
        <stp>MWINCHNG Index</stp>
        <stp>Long Comp Name</stp>
        <stp>[GMIC Info Template.xlsm]ECO Calendar!R85C3</stp>
        <tr r="C85" s="2"/>
      </tp>
      <tp t="s">
        <v>S&amp;P/Case-Shiller United States Home Price Index Monthly Data YoY % Change NSA</v>
        <stp/>
        <stp>##V3_BDPV12</stp>
        <stp>SPCSUSAY Index</stp>
        <stp>Long Comp Name</stp>
        <stp>[GMIC Info Template.xlsm]ECO Calendar!R40C3</stp>
        <tr r="C40" s="2"/>
      </tp>
      <tp>
        <v>2.5185940000000002</v>
        <stp/>
        <stp>##V3_BDPV12</stp>
        <stp>MRK US Equity</stp>
        <stp>SHORT INT RATIO</stp>
        <stp>[GMIC Info Template.xlsm]Security Analysis!R20C11</stp>
        <tr r="K20" s="13"/>
      </tp>
      <tp t="s">
        <v>US4781601046</v>
        <stp/>
        <stp>##V3_BDPV12</stp>
        <stp>JNJ US Equity</stp>
        <stp>ID ISIN</stp>
        <stp>[GMIC Info Template.xlsm]Security Analysis!R10C3</stp>
        <tr r="C10" s="13"/>
      </tp>
      <tp t="s">
        <v>US58933Y1055</v>
        <stp/>
        <stp>##V3_BDPV12</stp>
        <stp>MRK US Equity</stp>
        <stp>ID ISIN</stp>
        <stp>[GMIC Info Template.xlsm]Security Analysis!R20C3</stp>
        <tr r="C20" s="13"/>
      </tp>
      <tp t="s">
        <v>US5801351017</v>
        <stp/>
        <stp>##V3_BDPV12</stp>
        <stp>MCD US Equity</stp>
        <stp>ID ISIN</stp>
        <stp>[GMIC Info Template.xlsm]Security Analysis!R30C3</stp>
        <tr r="C30" s="13"/>
      </tp>
      <tp t="s">
        <v>Apr</v>
        <stp/>
        <stp>##V3_BDPV12</stp>
        <stp>IMP1YOY% Index</stp>
        <stp>OBSERVATION PERIOD</stp>
        <stp>[GMIC Info Template.xlsm]ECO Calendar!R92C12</stp>
        <tr r="L92" s="2"/>
      </tp>
      <tp t="s">
        <v>Monthly</v>
        <stp/>
        <stp>##V3_BDPV12</stp>
        <stp>CPURNSA Index</stp>
        <stp>INDX FREQ</stp>
        <stp>[GMIC Info Template.xlsm]ECO Calendar!R17C15</stp>
        <tr r="O17" s="2"/>
      </tp>
      <tp>
        <v>16.569148936170212</v>
        <stp/>
        <stp>##V3_BDPV12</stp>
        <stp>CSCO US Equity</stp>
        <stp>INTEREST COVERAGE RATIO</stp>
        <stp>[GMIC Info Template.xlsm]Security Analysis!R25C27</stp>
        <tr r="AA25" s="13"/>
      </tp>
      <tp t="s">
        <v>Monthly</v>
        <stp/>
        <stp>##V3_BDPV12</stp>
        <stp>SPCSUSA Index</stp>
        <stp>INDX FREQ</stp>
        <stp>[GMIC Info Template.xlsm]ECO Calendar!R41C15</stp>
        <tr r="O41" s="2"/>
      </tp>
      <tp t="s">
        <v>United States</v>
        <stp/>
        <stp>##V3_BDPV12</stp>
        <stp>PRUSTOT Index</stp>
        <stp>REGION OR COUNTRY</stp>
        <stp>[GMIC Info Template.xlsm]ECO Calendar!R83C20</stp>
        <tr r="T83" s="2"/>
      </tp>
      <tp>
        <v>1.304424</v>
        <stp/>
        <stp>##V3_BDPV12</stp>
        <stp>NKE US Equity</stp>
        <stp>SHORT INT RATIO</stp>
        <stp>[GMIC Info Template.xlsm]Security Analysis!R32C11</stp>
        <tr r="K32" s="13"/>
      </tp>
      <tp>
        <v>4.6576779999999998</v>
        <stp/>
        <stp>##V3_BDPV12</stp>
        <stp>V US Equity</stp>
        <stp>SHORT INT RATIO</stp>
        <stp>[GMIC Info Template.xlsm]Security Analysis!R22C11</stp>
        <tr r="K22" s="13"/>
      </tp>
      <tp t="s">
        <v>#N/A N/A</v>
        <stp/>
        <stp>##V3_BDPV12</stp>
        <stp>NFP PCH Index</stp>
        <stp>BN SURVEY MEDIAN</stp>
        <stp>[GMIC Info Template.xlsm]ECO Calendar!R77C8</stp>
        <tr r="H77" s="2"/>
      </tp>
      <tp t="s">
        <v>Billion</v>
        <stp/>
        <stp>##V3_BDPV12</stp>
        <stp>FDDSSD Index</stp>
        <stp>SCALING FORMAT</stp>
        <stp>[GMIC Info Template.xlsm]ECO Calendar!R89C10</stp>
        <tr r="J89" s="2"/>
      </tp>
      <tp>
        <v>3.3448276519775391</v>
        <stp/>
        <stp>##V3_BDPV12</stp>
        <stp>CAT US Equity</stp>
        <stp>EQY REC CONS</stp>
        <stp>[GMIC Info Template.xlsm]Security Analysis!R35C9</stp>
        <tr r="I35" s="13"/>
      </tp>
      <tp t="s">
        <v>#N/A N/A</v>
        <stp/>
        <stp>##V3_BDPV12</stp>
        <stp>AXP US Equity</stp>
        <stp>INTEREST COVERAGE RATIO</stp>
        <stp>[GMIC Info Template.xlsm]Security Analysis!R33C27</stp>
        <tr r="AA33" s="13"/>
      </tp>
      <tp t="s">
        <v>US Durable Goods New Orders Industries MoM SA</v>
        <stp/>
        <stp>##V3_BDPV12</stp>
        <stp>DGNOCHNG Index</stp>
        <stp>Long Comp Name</stp>
        <stp>[GMIC Info Template.xlsm]ECO Calendar!R31C3</stp>
        <tr r="C31" s="2"/>
      </tp>
      <tp>
        <v>0.5</v>
        <stp/>
        <stp>##V3_BDPV12</stp>
        <stp>RSTAXAG% Index</stp>
        <stp>PX LAST</stp>
        <stp>[GMIC Info Template.xlsm]ECO Calendar!R95C7</stp>
        <tr r="G95" s="2"/>
      </tp>
      <tp>
        <v>-0.3</v>
        <stp/>
        <stp>##V3_BDPV12</stp>
        <stp>RSTAXAG% Index</stp>
        <stp>QUOTE PRIOR MID</stp>
        <stp>[GMIC Info Template.xlsm]ECO Calendar!R95C9</stp>
        <tr r="I95" s="2"/>
      </tp>
      <tp>
        <v>2.736658847722</v>
        <stp/>
        <stp>##V3_BDPV12</stp>
        <stp>IBM US Equity</stp>
        <stp>EQY DVD YLD IND</stp>
        <stp>[GMIC Info Template.xlsm]Security Analysis!R21C20</stp>
        <tr r="T21" s="13"/>
      </tp>
      <tp>
        <v>51.587299999999999</v>
        <stp/>
        <stp>##V3_BDPV12</stp>
        <stp>CPI XYOY Index</stp>
        <stp>RELEVANCE VALUE</stp>
        <stp>[GMIC Info Template.xlsm]ECO Calendar!R15C5</stp>
        <tr r="E15" s="2"/>
      </tp>
      <tp>
        <v>44.444400000000002</v>
        <stp/>
        <stp>##V3_BDPV12</stp>
        <stp>PCE CYOY Index</stp>
        <stp>RELEVANCE VALUE</stp>
        <stp>[GMIC Info Template.xlsm]ECO Calendar!R55C5</stp>
        <tr r="E55" s="2"/>
      </tp>
      <tp t="s">
        <v>US4592001014</v>
        <stp/>
        <stp>##V3_BDPV12</stp>
        <stp>IBM US Equity</stp>
        <stp>ID ISIN</stp>
        <stp>[GMIC Info Template.xlsm]Security Analysis!R21C3</stp>
        <tr r="C21" s="13"/>
      </tp>
      <tp t="s">
        <v>Monthly</v>
        <stp/>
        <stp>##V3_BDPV12</stp>
        <stp>NHSPSTOT Index</stp>
        <stp>INDX FREQ</stp>
        <stp>[GMIC Info Template.xlsm]ECO Calendar!R111C15</stp>
        <tr r="O111" s="2"/>
      </tp>
      <tp t="s">
        <v>Apr</v>
        <stp/>
        <stp>##V3_BDPV12</stp>
        <stp>MAPMINDX Index</stp>
        <stp>OBSERVATION PERIOD</stp>
        <stp>[GMIC Info Template.xlsm]ECO Calendar!R60C12</stp>
        <tr r="L60" s="2"/>
      </tp>
      <tp t="s">
        <v>Apr</v>
        <stp/>
        <stp>##V3_BDPV12</stp>
        <stp>CPUPAXFE Index</stp>
        <stp>OBSERVATION PERIOD</stp>
        <stp>[GMIC Info Template.xlsm]ECO Calendar!R16C12</stp>
        <tr r="L16" s="2"/>
      </tp>
      <tp t="s">
        <v>Apr</v>
        <stp/>
        <stp>##V3_BDPV12</stp>
        <stp>CHPMINDX Index</stp>
        <stp>OBSERVATION PERIOD</stp>
        <stp>[GMIC Info Template.xlsm]ECO Calendar!R59C12</stp>
        <tr r="L59" s="2"/>
      </tp>
      <tp t="s">
        <v>Monthly</v>
        <stp/>
        <stp>##V3_BDPV12</stp>
        <stp>NHSPATOT Index</stp>
        <stp>INDX FREQ</stp>
        <stp>[GMIC Info Template.xlsm]ECO Calendar!R112C15</stp>
        <tr r="O112" s="2"/>
      </tp>
      <tp t="s">
        <v>United States</v>
        <stp/>
        <stp>##V3_BDPV12</stp>
        <stp>USURTOT Index</stp>
        <stp>REGION OR COUNTRY</stp>
        <stp>[GMIC Info Template.xlsm]ECO Calendar!R75C20</stp>
        <tr r="T75" s="2"/>
      </tp>
      <tp t="s">
        <v>United States</v>
        <stp/>
        <stp>##V3_BDPV12</stp>
        <stp>USTBTOT Index</stp>
        <stp>REGION OR COUNTRY</stp>
        <stp>[GMIC Info Template.xlsm]ECO Calendar!R68C20</stp>
        <tr r="T68" s="2"/>
      </tp>
      <tp t="s">
        <v>United States</v>
        <stp/>
        <stp>##V3_BDPV12</stp>
        <stp>RSTAMOM Index</stp>
        <stp>REGION OR COUNTRY</stp>
        <stp>[GMIC Info Template.xlsm]ECO Calendar!R93C20</stp>
        <tr r="T93" s="2"/>
      </tp>
      <tp t="s">
        <v>Units/Persons SA</v>
        <stp/>
        <stp>##V3_BDPV12</stp>
        <stp>INJCJC Index</stp>
        <stp>SEASONALITY AND TRANSFORMATION</stp>
        <stp>[GMIC Info Template.xlsm]ECO Calendar!R25C11</stp>
        <tr r="K25" s="2"/>
      </tp>
      <tp t="s">
        <v>Common Stock</v>
        <stp/>
        <stp>##V3_BDPV12</stp>
        <stp>UTX US Equity</stp>
        <stp>SECURITY TYP</stp>
        <stp>[GMIC Info Template.xlsm]Security Analysis!R28C5</stp>
        <tr r="E28" s="13"/>
      </tp>
      <tp t="s">
        <v>USD</v>
        <stp/>
        <stp>##V3_BDPV12</stp>
        <stp>XOM US Equity</stp>
        <stp>CRNCY</stp>
        <stp>[GMIC Info Template.xlsm]Security Analysis!R8C12</stp>
        <tr r="L8" s="13"/>
      </tp>
      <tp t="s">
        <v>US Manufacturing &amp; Trade Inventories Total MoM SA</v>
        <stp/>
        <stp>##V3_BDPV12</stp>
        <stp>MTIBCHNG Index</stp>
        <stp>Long Comp Name</stp>
        <stp>[GMIC Info Template.xlsm]ECO Calendar!R97C3</stp>
        <tr r="C97" s="2"/>
      </tp>
      <tp t="s">
        <v>US Average Hourly Earnings All Employees Total Private Monthly Percentage Change</v>
        <stp/>
        <stp>##V3_BDPV12</stp>
        <stp>AHE MOM% Index</stp>
        <stp>Long Comp Name</stp>
        <stp>[GMIC Info Template.xlsm]ECO Calendar!R78C3</stp>
        <tr r="C78" s="2"/>
      </tp>
      <tp>
        <v>213.6</v>
        <stp/>
        <stp>##V3_BDPV12</stp>
        <stp>ADP CHNG Index</stp>
        <stp>QUOTE PRIOR MID</stp>
        <stp>[GMIC Info Template.xlsm]ECO Calendar!R71C9</stp>
        <tr r="I71" s="2"/>
      </tp>
      <tp>
        <v>0.7438400577578862</v>
        <stp/>
        <stp>##V3_BDPV12</stp>
        <stp>V US Equity</stp>
        <stp>EQY DVD YLD IND</stp>
        <stp>[GMIC Info Template.xlsm]Security Analysis!R22C20</stp>
        <tr r="T22" s="13"/>
      </tp>
      <tp>
        <v>1.1365942812749863</v>
        <stp/>
        <stp>##V3_BDPV12</stp>
        <stp>NKE US Equity</stp>
        <stp>EQY DVD YLD IND</stp>
        <stp>[GMIC Info Template.xlsm]Security Analysis!R32C20</stp>
        <tr r="T32" s="13"/>
      </tp>
      <tp>
        <v>3.2</v>
        <stp/>
        <stp>##V3_BDPV12</stp>
        <stp>GDPCTOT% Index</stp>
        <stp>QUOTE PRIOR MID</stp>
        <stp>[GMIC Info Template.xlsm]ECO Calendar!R50C9</stp>
        <tr r="I50" s="2"/>
      </tp>
      <tp t="s">
        <v>UMich Expected Change in Prices During the Next 5-10 Years: Median</v>
        <stp/>
        <stp>##V3_BDPV12</stp>
        <stp>CONSP5MD Index</stp>
        <stp>Long Comp Name</stp>
        <stp>[GMIC Info Template.xlsm]ECO Calendar!R8C3</stp>
        <tr r="C8" s="2"/>
      </tp>
      <tp t="s">
        <v>Monthly</v>
        <stp/>
        <stp>##V3_BDPV12</stp>
        <stp>NFP PCH Index</stp>
        <stp>INDX FREQ</stp>
        <stp>[GMIC Info Template.xlsm]ECO Calendar!R77C15</stp>
        <tr r="O77" s="2"/>
      </tp>
      <tp t="s">
        <v>Monthly</v>
        <stp/>
        <stp>##V3_BDPV12</stp>
        <stp>NFP TCH Index</stp>
        <stp>INDX FREQ</stp>
        <stp>[GMIC Info Template.xlsm]ECO Calendar!R74C15</stp>
        <tr r="O74" s="2"/>
      </tp>
      <tp t="s">
        <v>US1667641005</v>
        <stp/>
        <stp>##V3_BDPV12</stp>
        <stp>CVX US Equity</stp>
        <stp>ID ISIN</stp>
        <stp>[GMIC Info Template.xlsm]Security Analysis!R16C3</stp>
        <tr r="C16" s="13"/>
      </tp>
      <tp t="s">
        <v>US91324P1021</v>
        <stp/>
        <stp>##V3_BDPV12</stp>
        <stp>UNH US Equity</stp>
        <stp>ID ISIN</stp>
        <stp>[GMIC Info Template.xlsm]Security Analysis!R26C3</stp>
        <tr r="C26" s="13"/>
      </tp>
      <tp t="s">
        <v>US89417E1091</v>
        <stp/>
        <stp>##V3_BDPV12</stp>
        <stp>TRV US Equity</stp>
        <stp>ID ISIN</stp>
        <stp>[GMIC Info Template.xlsm]Security Analysis!R36C3</stp>
        <tr r="C36" s="13"/>
      </tp>
      <tp t="s">
        <v>Apr</v>
        <stp/>
        <stp>##V3_BDPV12</stp>
        <stp>IP CHNG Index</stp>
        <stp>OBSERVATION PERIOD</stp>
        <stp>[GMIC Info Template.xlsm]ECO Calendar!R104C12</stp>
        <tr r="L104" s="2"/>
      </tp>
      <tp t="s">
        <v>BBG000B9XRY4</v>
        <stp/>
        <stp>##V3_BDPV12</stp>
        <stp>AAPL US Equity</stp>
        <stp>ID BB GLOBAL</stp>
        <stp>[GMIC Info Template.xlsm]Security Analysis!R7C4</stp>
        <tr r="D7" s="13"/>
      </tp>
      <tp>
        <v>19.938492</v>
        <stp/>
        <stp>##V3_BDPV12</stp>
        <stp>GS US Equity</stp>
        <stp>TRAIL 12M EPS</stp>
        <stp>[GMIC Info Template.xlsm]Security Analysis!R31C14</stp>
        <tr r="N31" s="13"/>
      </tp>
      <tp t="s">
        <v>USD</v>
        <stp/>
        <stp>##V3_BDPV12</stp>
        <stp>KO US Equity</stp>
        <stp>CRNCY</stp>
        <stp>[GMIC Info Template.xlsm]Security Analysis!R19C12</stp>
        <tr r="L19" s="13"/>
      </tp>
      <tp t="s">
        <v>United States</v>
        <stp/>
        <stp>##V3_BDPV12</stp>
        <stp>ETSLMOM Index</stp>
        <stp>REGION OR COUNTRY</stp>
        <stp>[GMIC Info Template.xlsm]ECO Calendar!R23C20</stp>
        <tr r="T23" s="2"/>
      </tp>
      <tp t="s">
        <v>Kansas City Federal Reserve SA Composite Index</v>
        <stp/>
        <stp>##V3_BDPV12</stp>
        <stp>KCLSSACI Index</stp>
        <stp>Long Comp Name</stp>
        <stp>[GMIC Info Template.xlsm]ECO Calendar!R28C3</stp>
        <tr r="C28" s="2"/>
      </tp>
      <tp t="s">
        <v>US Manufacturers New Orders Total MoM SA</v>
        <stp/>
        <stp>##V3_BDPV12</stp>
        <stp>TMNOCHNG Index</stp>
        <stp>Long Comp Name</stp>
        <stp>[GMIC Info Template.xlsm]ECO Calendar!R67C3</stp>
        <tr r="C67" s="2"/>
      </tp>
      <tp t="s">
        <v>Markit US Manufacturing PMI SA</v>
        <stp/>
        <stp>##V3_BDPV12</stp>
        <stp>MPMIUSMA Index</stp>
        <stp>Long Comp Name</stp>
        <stp>[GMIC Info Template.xlsm]ECO Calendar!R27C3</stp>
        <tr r="C27" s="2"/>
      </tp>
      <tp t="s">
        <v>Average Monthly Change in Fed Labor Market Conditions Index - LMCI 19</v>
        <stp/>
        <stp>##V3_BDPV12</stp>
        <stp>LMCILMCC Index</stp>
        <stp>Long Comp Name</stp>
        <stp>[GMIC Info Template.xlsm]ECO Calendar!R87C3</stp>
        <tr r="C87" s="2"/>
      </tp>
      <tp>
        <v>26.300116024236175</v>
        <stp/>
        <stp>##V3_BDPV12</stp>
        <stp>CSCO US Equity</stp>
        <stp>LT DEBT TO TOT CAP</stp>
        <stp>[GMIC Info Template.xlsm]Security Analysis!R25C26</stp>
        <tr r="Z25" s="13"/>
      </tp>
      <tp t="s">
        <v>Monthly</v>
        <stp/>
        <stp>##V3_BDPV12</stp>
        <stp>DFEDGBA Index</stp>
        <stp>INDX FREQ</stp>
        <stp>[GMIC Info Template.xlsm]ECO Calendar!R37C15</stp>
        <tr r="O37" s="2"/>
      </tp>
      <tp t="s">
        <v>United States</v>
        <stp/>
        <stp>##V3_BDPV12</stp>
        <stp>NFP TYOY Index</stp>
        <stp>REGION OR COUNTRY</stp>
        <stp>[GMIC Info Template.xlsm]ECO Calendar!R121C20</stp>
        <tr r="T121" s="2"/>
      </tp>
      <tp>
        <v>28.432707213623022</v>
        <stp/>
        <stp>##V3_BDPV12</stp>
        <stp>VZ US Equity</stp>
        <stp>EBITDA MARGIN</stp>
        <stp>[GMIC Info Template.xlsm]Security Analysis!R17C22</stp>
        <tr r="V17" s="13"/>
      </tp>
      <tp t="s">
        <v>United States</v>
        <stp/>
        <stp>##V3_BDPV12</stp>
        <stp>IP CHNG Index</stp>
        <stp>REGION OR COUNTRY</stp>
        <stp>[GMIC Info Template.xlsm]ECO Calendar!R104C20</stp>
        <tr r="T104" s="2"/>
      </tp>
      <tp t="s">
        <v>3/31/2015</v>
        <stp/>
        <stp>##V3_BDPV12</stp>
        <stp>NFP PCH Index</stp>
        <stp>CR OBSERVATION DATE</stp>
        <stp>[GMIC Info Template.xlsm]ECO Calendar!R77C13</stp>
        <tr r="M77" s="2"/>
      </tp>
      <tp t="s">
        <v>3/31/2015</v>
        <stp/>
        <stp>##V3_BDPV12</stp>
        <stp>NFP TCH Index</stp>
        <stp>CR OBSERVATION DATE</stp>
        <stp>[GMIC Info Template.xlsm]ECO Calendar!R74C13</stp>
        <tr r="M74" s="2"/>
      </tp>
      <tp t="s">
        <v>3/31/2015</v>
        <stp/>
        <stp>##V3_BDPV12</stp>
        <stp>CPI YOY Index</stp>
        <stp>CR OBSERVATION DATE</stp>
        <stp>[GMIC Info Template.xlsm]ECO Calendar!R14C13</stp>
        <tr r="M14" s="2"/>
      </tp>
      <tp>
        <v>4.4000000000000004</v>
        <stp/>
        <stp>##V3_BDPV12</stp>
        <stp>GDPCTOT% Index</stp>
        <stp>PX LAST</stp>
        <stp>[GMIC Info Template.xlsm]ECO Calendar!R50C7</stp>
        <tr r="G50" s="2"/>
      </tp>
      <tp t="s">
        <v>Common Stock</v>
        <stp/>
        <stp>##V3_BDPV12</stp>
        <stp>KO US Equity</stp>
        <stp>SECURITY TYP</stp>
        <stp>[GMIC Info Template.xlsm]Security Analysis!R19C5</stp>
        <tr r="E19" s="13"/>
      </tp>
      <tp>
        <v>16717645.560000001</v>
        <stp/>
        <stp>##V3_BDPV12</stp>
        <stp>OSN US EQUITY</stp>
        <stp>CUR MKT CAP</stp>
        <stp>[GMIC Info Template.xlsm]Most Up &amp; Down!R16C13</stp>
        <tr r="M16" s="9"/>
      </tp>
      <tp>
        <v>5.8047529999999998</v>
        <stp/>
        <stp>##V3_BDPV12</stp>
        <stp>IBM US Equity</stp>
        <stp>SHORT INT RATIO</stp>
        <stp>[GMIC Info Template.xlsm]Security Analysis!R21C11</stp>
        <tr r="K21" s="13"/>
      </tp>
      <tp t="s">
        <v>US IBD/TIPP Index of Economic Optimism</v>
        <stp/>
        <stp>##V3_BDPV12</stp>
        <stp>ECONUSIB Index</stp>
        <stp>Long Comp Name</stp>
        <stp>[GMIC Info Template.xlsm]ECO Calendar!R70C3</stp>
        <tr r="C70" s="2"/>
      </tp>
      <tp>
        <v>188.7</v>
        <stp/>
        <stp>##V3_BDPV12</stp>
        <stp>ADP CHNG Index</stp>
        <stp>PX LAST</stp>
        <stp>[GMIC Info Template.xlsm]ECO Calendar!R71C7</stp>
        <tr r="G71" s="2"/>
      </tp>
      <tp t="s">
        <v>US Personal Consumption Expenditures Chain Type Price Index YoY SA</v>
        <stp/>
        <stp>##V3_BDPV12</stp>
        <stp>PCE DEFY Index</stp>
        <stp>Long Comp Name</stp>
        <stp>[GMIC Info Template.xlsm]ECO Calendar!R56C3</stp>
        <tr r="C56" s="2"/>
      </tp>
      <tp t="s">
        <v>#N/A Field Not Applicable</v>
        <stp/>
        <stp>##V3_BDPV12</stp>
        <stp>CONSPXMD Index</stp>
        <stp>DES NOTES</stp>
        <stp>[GMIC Info Template.xlsm]ECO Calendar!R9C21</stp>
        <tr r="U9" s="2"/>
      </tp>
      <tp>
        <v>96.825400000000002</v>
        <stp/>
        <stp>##V3_BDPV12</stp>
        <stp>GDP CQOQ Index</stp>
        <stp>RELEVANCE VALUE</stp>
        <stp>[GMIC Info Template.xlsm]ECO Calendar!R48C5</stp>
        <tr r="E48" s="2"/>
      </tp>
      <tp t="s">
        <v>FHFA US House Price Index Purchase Only MoM% SA</v>
        <stp/>
        <stp>##V3_BDPV12</stp>
        <stp>HPIMMOM% Index</stp>
        <stp>Long Comp Name</stp>
        <stp>[GMIC Info Template.xlsm]ECO Calendar!R21C3</stp>
        <tr r="C21" s="2"/>
      </tp>
      <tp t="s">
        <v>US Personal Consumption Expenditures Nominal Dollars MoM SA</v>
        <stp/>
        <stp>##V3_BDPV12</stp>
        <stp>PCE CRCH Index</stp>
        <stp>Long Comp Name</stp>
        <stp>[GMIC Info Template.xlsm]ECO Calendar!R53C3</stp>
        <tr r="C53" s="2"/>
      </tp>
      <tp t="s">
        <v>US CPI Urban Consumers MoM SA</v>
        <stp/>
        <stp>##V3_BDPV12</stp>
        <stp>CPI CHNG Index</stp>
        <stp>Long Comp Name</stp>
        <stp>[GMIC Info Template.xlsm]ECO Calendar!R12C3</stp>
        <tr r="C12" s="2"/>
      </tp>
      <tp t="s">
        <v>Monthly</v>
        <stp/>
        <stp>##V3_BDPV12</stp>
        <stp>NHSLTOT Index</stp>
        <stp>INDX FREQ</stp>
        <stp>[GMIC Info Template.xlsm]ECO Calendar!R29C15</stp>
        <tr r="O29" s="2"/>
      </tp>
      <tp>
        <v>21.32377547246244</v>
        <stp/>
        <stp>##V3_BDPV12</stp>
        <stp>INTC US Equity</stp>
        <stp>LT DEBT TO TOT EQY</stp>
        <stp>[GMIC Info Template.xlsm]Security Analysis!R23C25</stp>
        <tr r="Y23" s="13"/>
      </tp>
      <tp t="s">
        <v>Mar</v>
        <stp/>
        <stp>##V3_BDPV12</stp>
        <stp>FRNTTNET Index</stp>
        <stp>OBSERVATION PERIOD</stp>
        <stp>[GMIC Info Template.xlsm]ECO Calendar!R109C12</stp>
        <tr r="L109" s="2"/>
      </tp>
      <tp t="s">
        <v>Mar</v>
        <stp/>
        <stp>##V3_BDPV12</stp>
        <stp>FRNTTOTL Index</stp>
        <stp>OBSERVATION PERIOD</stp>
        <stp>[GMIC Info Template.xlsm]ECO Calendar!R108C12</stp>
        <tr r="L108" s="2"/>
      </tp>
      <tp t="s">
        <v>BBG000BPH459</v>
        <stp/>
        <stp>##V3_BDPV12</stp>
        <stp>MSFT US Equity</stp>
        <stp>ID BB GLOBAL</stp>
        <stp>[GMIC Info Template.xlsm]Security Analysis!R9C4</stp>
        <tr r="D9" s="13"/>
      </tp>
      <tp t="s">
        <v>US</v>
        <stp/>
        <stp>##V3_BDPV12</stp>
        <stp>KO US Equity</stp>
        <stp>COUNTRY</stp>
        <stp>[GMIC Info Template.xlsm]Security Analysis!R19C7</stp>
        <tr r="G19" s="13"/>
      </tp>
      <tp>
        <v>3.6505879999999999</v>
        <stp/>
        <stp>##V3_BDPV12</stp>
        <stp>JNJ US Equity</stp>
        <stp>SHORT INT RATIO</stp>
        <stp>[GMIC Info Template.xlsm]Security Analysis!R10C11</stp>
        <tr r="K10" s="13"/>
      </tp>
      <tp t="s">
        <v>Monthly</v>
        <stp/>
        <stp>##V3_BDPV12</stp>
        <stp>FDDSSD Index</stp>
        <stp>INDX FREQ</stp>
        <stp>[GMIC Info Template.xlsm]ECO Calendar!R89C15</stp>
        <tr r="O89" s="2"/>
      </tp>
      <tp>
        <v>3.5588235855102539</v>
        <stp/>
        <stp>##V3_BDPV12</stp>
        <stp>AXP US Equity</stp>
        <stp>EQY REC CONS</stp>
        <stp>[GMIC Info Template.xlsm]Security Analysis!R33C9</stp>
        <tr r="I33" s="13"/>
      </tp>
      <tp>
        <v>0.24</v>
        <stp/>
        <stp>##V3_BDPV12</stp>
        <stp>CPI CHNG Index</stp>
        <stp>PX LAST</stp>
        <stp>[GMIC Info Template.xlsm]ECO Calendar!R12C7</stp>
        <tr r="G12" s="2"/>
      </tp>
      <tp t="s">
        <v>Conference Board Consumer Confidence SA 1985=100</v>
        <stp/>
        <stp>##V3_BDPV12</stp>
        <stp>CONCCONF Index</stp>
        <stp>Long Comp Name</stp>
        <stp>[GMIC Info Template.xlsm]ECO Calendar!R45C3</stp>
        <tr r="C45" s="2"/>
      </tp>
      <tp t="s">
        <v>US Existing Homes Sales SAAR</v>
        <stp/>
        <stp>##V3_BDPV12</stp>
        <stp>ETSLTOTL Index</stp>
        <stp>Long Comp Name</stp>
        <stp>[GMIC Info Template.xlsm]ECO Calendar!R22C3</stp>
        <tr r="C22" s="2"/>
      </tp>
      <tp>
        <v>2.0035980000000002</v>
        <stp/>
        <stp>##V3_BDPV12</stp>
        <stp>JPM US Equity</stp>
        <stp>SHORT INT RATIO</stp>
        <stp>[GMIC Info Template.xlsm]Security Analysis!R13C11</stp>
        <tr r="K13" s="13"/>
      </tp>
      <tp>
        <v>3.1640006192938728</v>
        <stp/>
        <stp>##V3_BDPV12</stp>
        <stp>MRK US Equity</stp>
        <stp>EQY DVD YLD IND</stp>
        <stp>[GMIC Info Template.xlsm]Security Analysis!R20C20</stp>
        <tr r="T20" s="13"/>
      </tp>
      <tp>
        <v>726.63731299999995</v>
        <stp/>
        <stp>##V3_BDPV12</stp>
        <stp>AAPL US Equity</stp>
        <stp>CRNCY ADJ MKT CAP</stp>
        <stp>[GMIC Info Template.xlsm]Security Analysis!R7C6</stp>
        <stp>EQY_FUND_CRNCY=USD</stp>
        <stp>SCALING_FORMAT=MMM</stp>
        <tr r="F7" s="13"/>
      </tp>
      <tp t="s">
        <v>PBIB</v>
        <stp/>
        <stp>##V3_BDPV12</stp>
        <stp>PBIB US EQUITY</stp>
        <stp>TICKER</stp>
        <stp>[GMIC Info Template.xlsm]Most Up &amp; Down!R28C10</stp>
        <tr r="J28" s="9"/>
      </tp>
      <tp t="s">
        <v>XBIT</v>
        <stp/>
        <stp>##V3_BDPV12</stp>
        <stp>XBIT US EQUITY</stp>
        <stp>TICKER</stp>
        <stp>[GMIC Info Template.xlsm]Most Up &amp; Down!R17C10</stp>
        <tr r="J17" s="9"/>
      </tp>
      <tp>
        <v>0.22</v>
        <stp/>
        <stp>##V3_BDPV12</stp>
        <stp>CPI CHNG Index</stp>
        <stp>QUOTE PRIOR MID</stp>
        <stp>[GMIC Info Template.xlsm]ECO Calendar!R12C9</stp>
        <tr r="I12" s="2"/>
      </tp>
      <tp t="s">
        <v>US Personal Consumption Expenditures Chain Type Price Index MoM SA</v>
        <stp/>
        <stp>##V3_BDPV12</stp>
        <stp>PCE DEFM Index</stp>
        <stp>Long Comp Name</stp>
        <stp>[GMIC Info Template.xlsm]ECO Calendar!R57C3</stp>
        <tr r="C57" s="2"/>
      </tp>
      <tp>
        <v>3.5834739622338025</v>
        <stp/>
        <stp>##V3_BDPV12</stp>
        <stp>MCD US Equity</stp>
        <stp>EQY DVD YLD IND</stp>
        <stp>[GMIC Info Template.xlsm]Security Analysis!R30C20</stp>
        <tr r="T30" s="13"/>
      </tp>
      <tp t="s">
        <v>CBYL</v>
        <stp/>
        <stp>##V3_BDPV12</stp>
        <stp>CBYL US EQUITY</stp>
        <stp>TICKER</stp>
        <stp>[GMIC Info Template.xlsm]Most Up &amp; Down!R18C10</stp>
        <tr r="J18" s="9"/>
      </tp>
      <tp t="s">
        <v>Capital Goods New Orders Nondefense Ex Aircraft &amp; Parts MoM</v>
        <stp/>
        <stp>##V3_BDPV12</stp>
        <stp>CGNOXAI% Index</stp>
        <stp>Long Comp Name</stp>
        <stp>[GMIC Info Template.xlsm]ECO Calendar!R33C3</stp>
        <tr r="C33" s="2"/>
      </tp>
      <tp>
        <v>77.460300000000004</v>
        <stp/>
        <stp>##V3_BDPV12</stp>
        <stp>GDP PIQQ Index</stp>
        <stp>RELEVANCE VALUE</stp>
        <stp>[GMIC Info Template.xlsm]ECO Calendar!R49C5</stp>
        <tr r="E49" s="2"/>
      </tp>
      <tp t="s">
        <v>GDP US Personal Consumption Chained 2009 Dlrs % Change from Previous Period SAAR</v>
        <stp/>
        <stp>##V3_BDPV12</stp>
        <stp>GDPCTOT% Index</stp>
        <stp>Long Comp Name</stp>
        <stp>[GMIC Info Template.xlsm]ECO Calendar!R50C3</stp>
        <tr r="C50" s="2"/>
      </tp>
      <tp>
        <v>2.5354028227274554</v>
        <stp/>
        <stp>##V3_BDPV12</stp>
        <stp>MMM US Equity</stp>
        <stp>EQY DVD YLD IND</stp>
        <stp>[GMIC Info Template.xlsm]Security Analysis!R29C20</stp>
        <tr r="T29" s="13"/>
      </tp>
      <tp t="s">
        <v>Monthly</v>
        <stp/>
        <stp>##V3_BDPV12</stp>
        <stp>FRNTTNET Index</stp>
        <stp>INDX FREQ</stp>
        <stp>[GMIC Info Template.xlsm]ECO Calendar!R109C15</stp>
        <tr r="O109" s="2"/>
      </tp>
      <tp t="s">
        <v>US1491231015</v>
        <stp/>
        <stp>##V3_BDPV12</stp>
        <stp>CAT US Equity</stp>
        <stp>ID ISIN</stp>
        <stp>[GMIC Info Template.xlsm]Security Analysis!R35C3</stp>
        <tr r="C35" s="13"/>
      </tp>
      <tp t="s">
        <v>Monthly</v>
        <stp/>
        <stp>##V3_BDPV12</stp>
        <stp>CICRTOT Index</stp>
        <stp>INDX FREQ</stp>
        <stp>[GMIC Info Template.xlsm]ECO Calendar!R73C15</stp>
        <tr r="O73" s="2"/>
      </tp>
      <tp t="s">
        <v>Monthly</v>
        <stp/>
        <stp>##V3_BDPV12</stp>
        <stp>NHCHSTCH Index</stp>
        <stp>INDX FREQ</stp>
        <stp>[GMIC Info Template.xlsm]ECO Calendar!R113C15</stp>
        <tr r="O113" s="2"/>
      </tp>
      <tp t="s">
        <v>Mar</v>
        <stp/>
        <stp>##V3_BDPV12</stp>
        <stp>USPHTYOY Index</stp>
        <stp>OBSERVATION PERIOD</stp>
        <stp>[GMIC Info Template.xlsm]ECO Calendar!R47C12</stp>
        <tr r="L47" s="2"/>
      </tp>
      <tp t="s">
        <v>Apr 17</v>
        <stp/>
        <stp>##V3_BDPV12</stp>
        <stp>MBAVCHNG Index</stp>
        <stp>OBSERVATION PERIOD</stp>
        <stp>[GMIC Info Template.xlsm]ECO Calendar!R20C12</stp>
        <tr r="L20" s="2"/>
      </tp>
      <tp t="s">
        <v>US7170811035</v>
        <stp/>
        <stp>##V3_BDPV12</stp>
        <stp>PFE US Equity</stp>
        <stp>ID ISIN</stp>
        <stp>[GMIC Info Template.xlsm]Security Analysis!R15C3</stp>
        <tr r="C15" s="13"/>
      </tp>
      <tp t="s">
        <v>Monthly</v>
        <stp/>
        <stp>##V3_BDPV12</stp>
        <stp>IPMGCHNG Index</stp>
        <stp>INDX FREQ</stp>
        <stp>[GMIC Info Template.xlsm]ECO Calendar!R106C15</stp>
        <tr r="O106" s="2"/>
      </tp>
      <tp t="s">
        <v>Monthly</v>
        <stp/>
        <stp>##V3_BDPV12</stp>
        <stp>NHCHATCH Index</stp>
        <stp>INDX FREQ</stp>
        <stp>[GMIC Info Template.xlsm]ECO Calendar!R114C15</stp>
        <tr r="O114" s="2"/>
      </tp>
      <tp t="s">
        <v>US</v>
        <stp/>
        <stp>##V3_BDPV12</stp>
        <stp>CSCO US Equity</stp>
        <stp>COUNTRY</stp>
        <stp>[GMIC Info Template.xlsm]Security Analysis!R25C7</stp>
        <tr r="G25" s="13"/>
      </tp>
      <tp>
        <v>30.978201634877383</v>
        <stp/>
        <stp>##V3_BDPV12</stp>
        <stp>DIS US Equity</stp>
        <stp>INTEREST COVERAGE RATIO</stp>
        <stp>[GMIC Info Template.xlsm]Security Analysis!R18C27</stp>
        <tr r="AA18" s="13"/>
      </tp>
      <tp t="s">
        <v>NEW YORK PURCHASING MANAGER Current Business Conditions SA</v>
        <stp/>
        <stp>##V3_BDPV12</stp>
        <stp>NYPMCURR Index</stp>
        <stp>Long Comp Name</stp>
        <stp>[GMIC Info Template.xlsm]ECO Calendar!R66C3</stp>
        <tr r="C66" s="2"/>
      </tp>
      <tp t="s">
        <v>Conference Board Consumer Confidence SA 1985=100</v>
        <stp/>
        <stp>##V3_BDPV12</stp>
        <stp>CONCCONF Index</stp>
        <stp>Long Comp Name</stp>
        <stp>[GMIC Info Template.xlsm]ECO Calendar!R44C3</stp>
        <tr r="C44" s="2"/>
      </tp>
      <tp t="s">
        <v>Bloomberg US Weekly Consumer Comfort Index</v>
        <stp/>
        <stp>##V3_BDPV12</stp>
        <stp>COMFCOMF Index</stp>
        <stp>Long Comp Name</stp>
        <stp>[GMIC Info Template.xlsm]ECO Calendar!R24C3</stp>
        <tr r="C24" s="2"/>
      </tp>
      <tp t="s">
        <v>Monthly</v>
        <stp/>
        <stp>##V3_BDPV12</stp>
        <stp>CFNAI Index</stp>
        <stp>INDX FREQ</stp>
        <stp>[GMIC Info Template.xlsm]ECO Calendar!R19C15</stp>
        <tr r="O19" s="2"/>
      </tp>
      <tp>
        <v>141183</v>
        <stp/>
        <stp>##V3_BDPV12</stp>
        <stp>NFP T Index</stp>
        <stp>PX LAST</stp>
        <stp>[GMIC Info Template.xlsm]ECO Calendar!R118C7</stp>
        <tr r="G118" s="2"/>
      </tp>
      <tp>
        <v>79.365099999999998</v>
        <stp/>
        <stp>##V3_BDPV12</stp>
        <stp>IMP1CHNG Index</stp>
        <stp>RELEVANCE VALUE</stp>
        <stp>[GMIC Info Template.xlsm]ECO Calendar!R91C5</stp>
        <tr r="E91" s="2"/>
      </tp>
      <tp>
        <v>-0.4</v>
        <stp/>
        <stp>##V3_BDPV12</stp>
        <stp>PCE DEFM Index</stp>
        <stp>QUOTE PRIOR MID</stp>
        <stp>[GMIC Info Template.xlsm]ECO Calendar!R57C9</stp>
        <tr r="I57" s="2"/>
      </tp>
      <tp t="s">
        <v>Mar</v>
        <stp/>
        <stp>##V3_BDPV12</stp>
        <stp>USTBTOT Index</stp>
        <stp>OBSERVATION PERIOD</stp>
        <stp>[GMIC Info Template.xlsm]ECO Calendar!R68C12</stp>
        <tr r="L68" s="2"/>
      </tp>
      <tp t="s">
        <v>Apr</v>
        <stp/>
        <stp>##V3_BDPV12</stp>
        <stp>SAARTOTL Index</stp>
        <stp>OBSERVATION PERIOD</stp>
        <stp>[GMIC Info Template.xlsm]ECO Calendar!R64C12</stp>
        <tr r="L64" s="2"/>
      </tp>
      <tp>
        <v>87.072557839098209</v>
        <stp/>
        <stp>##V3_BDPV12</stp>
        <stp>VZ US Equity</stp>
        <stp>LT DEBT TO TOT CAP</stp>
        <stp>[GMIC Info Template.xlsm]Security Analysis!R17C26</stp>
        <tr r="Z17" s="13"/>
      </tp>
      <tp>
        <v>18.79726357537977</v>
        <stp/>
        <stp>##V3_BDPV12</stp>
        <stp>PG US Equity</stp>
        <stp>LT DEBT TO TOT CAP</stp>
        <stp>[GMIC Info Template.xlsm]Security Analysis!R14C26</stp>
        <tr r="Z14" s="13"/>
      </tp>
      <tp>
        <v>35.852496569997683</v>
        <stp/>
        <stp>##V3_BDPV12</stp>
        <stp>GS US Equity</stp>
        <stp>LT DEBT TO TOT CAP</stp>
        <stp>[GMIC Info Template.xlsm]Security Analysis!R31C26</stp>
        <tr r="Z31" s="13"/>
      </tp>
      <tp>
        <v>48.996665330190986</v>
        <stp/>
        <stp>##V3_BDPV12</stp>
        <stp>GE US Equity</stp>
        <stp>LT DEBT TO TOT CAP</stp>
        <stp>[GMIC Info Template.xlsm]Security Analysis!R11C26</stp>
        <tr r="Z11" s="13"/>
      </tp>
      <tp>
        <v>38.513625789298771</v>
        <stp/>
        <stp>##V3_BDPV12</stp>
        <stp>DD US Equity</stp>
        <stp>LT DEBT TO TOT CAP</stp>
        <stp>[GMIC Info Template.xlsm]Security Analysis!R34C26</stp>
        <tr r="Z34" s="13"/>
      </tp>
      <tp>
        <v>45.582306830907058</v>
        <stp/>
        <stp>##V3_BDPV12</stp>
        <stp>BA US Equity</stp>
        <stp>LT DEBT TO TOT CAP</stp>
        <stp>[GMIC Info Template.xlsm]Security Analysis!R27C26</stp>
        <tr r="Z27" s="13"/>
      </tp>
      <tp>
        <v>26.364340442010342</v>
        <stp/>
        <stp>##V3_BDPV12</stp>
        <stp>KO US Equity</stp>
        <stp>LT DEBT TO TOT CAP</stp>
        <stp>[GMIC Info Template.xlsm]Security Analysis!R19C26</stp>
        <tr r="Z19" s="13"/>
      </tp>
      <tp>
        <v>63.610995889739428</v>
        <stp/>
        <stp>##V3_BDPV12</stp>
        <stp>HD US Equity</stp>
        <stp>LT DEBT TO TOT CAP</stp>
        <stp>[GMIC Info Template.xlsm]Security Analysis!R24C26</stp>
        <tr r="Z24" s="13"/>
      </tp>
      <tp t="s">
        <v>Feb</v>
        <stp/>
        <stp>##V3_BDPV12</stp>
        <stp>SPCS20SM Index</stp>
        <stp>OBSERVATION PERIOD</stp>
        <stp>[GMIC Info Template.xlsm]ECO Calendar!R42C12</stp>
        <tr r="L42" s="2"/>
      </tp>
      <tp t="s">
        <v>US</v>
        <stp/>
        <stp>##V3_BDPV12</stp>
        <stp>BA US Equity</stp>
        <stp>COUNTRY</stp>
        <stp>[GMIC Info Template.xlsm]Security Analysis!R27C7</stp>
        <tr r="G27" s="13"/>
      </tp>
      <tp t="s">
        <v>US</v>
        <stp/>
        <stp>##V3_BDPV12</stp>
        <stp>VZ US Equity</stp>
        <stp>COUNTRY</stp>
        <stp>[GMIC Info Template.xlsm]Security Analysis!R17C7</stp>
        <tr r="G17" s="13"/>
      </tp>
      <tp t="s">
        <v>United States</v>
        <stp/>
        <stp>##V3_BDPV12</stp>
        <stp>CONSEXP Index</stp>
        <stp>REGION OR COUNTRY</stp>
        <stp>[GMIC Info Template.xlsm]ECO Calendar!R10C20</stp>
        <tr r="T10" s="2"/>
      </tp>
      <tp>
        <v>0.1</v>
        <stp/>
        <stp>##V3_BDPV12</stp>
        <stp>PCE CRCH Index</stp>
        <stp>PX LAST</stp>
        <stp>[GMIC Info Template.xlsm]ECO Calendar!R53C7</stp>
        <tr r="G53" s="2"/>
      </tp>
      <tp t="s">
        <v>Common Stock</v>
        <stp/>
        <stp>##V3_BDPV12</stp>
        <stp>HD US Equity</stp>
        <stp>SECURITY TYP</stp>
        <stp>[GMIC Info Template.xlsm]Security Analysis!R24C5</stp>
        <tr r="E24" s="13"/>
      </tp>
      <tp>
        <v>-0.1</v>
        <stp/>
        <stp>##V3_BDPV12</stp>
        <stp>PCE CHNC Index</stp>
        <stp>PX LAST</stp>
        <stp>[GMIC Info Template.xlsm]ECO Calendar!R58C7</stp>
        <tr r="G58" s="2"/>
      </tp>
      <tp>
        <v>7.4204819999999998</v>
        <stp/>
        <stp>##V3_BDPV12</stp>
        <stp>DIS US Equity</stp>
        <stp>SHORT INT RATIO</stp>
        <stp>[GMIC Info Template.xlsm]Security Analysis!R18C11</stp>
        <tr r="K18" s="13"/>
      </tp>
      <tp t="s">
        <v>US Import Price Index by End Use All YoY NSA</v>
        <stp/>
        <stp>##V3_BDPV12</stp>
        <stp>IMP1YOY% Index</stp>
        <stp>Long Comp Name</stp>
        <stp>[GMIC Info Template.xlsm]ECO Calendar!R92C3</stp>
        <tr r="C92" s="2"/>
      </tp>
      <tp t="s">
        <v>Common Stock</v>
        <stp/>
        <stp>##V3_BDPV12</stp>
        <stp>DD US Equity</stp>
        <stp>SECURITY TYP</stp>
        <stp>[GMIC Info Template.xlsm]Security Analysis!R34C5</stp>
        <tr r="E34" s="13"/>
      </tp>
      <tp>
        <v>6.4</v>
        <stp/>
        <stp>##V3_BDPV12</stp>
        <stp>CHALYOY% Index</stp>
        <stp>PX LAST</stp>
        <stp>[GMIC Info Template.xlsm]ECO Calendar!R72C7</stp>
        <tr r="G72" s="2"/>
      </tp>
      <tp t="s">
        <v>Markit US Composite PMI SA</v>
        <stp/>
        <stp>##V3_BDPV12</stp>
        <stp>MPMIUSCA Index</stp>
        <stp>Long Comp Name</stp>
        <stp>[GMIC Info Template.xlsm]ECO Calendar!R35C3</stp>
        <tr r="C35" s="2"/>
      </tp>
      <tp>
        <v>4.5</v>
        <stp/>
        <stp>##V3_BDPV12</stp>
        <stp>V US Equity</stp>
        <stp>EQY REC CONS</stp>
        <stp>[GMIC Info Template.xlsm]Security Analysis!R22C9</stp>
        <tr r="I22" s="13"/>
      </tp>
      <tp>
        <v>4.1578946113586426</v>
        <stp/>
        <stp>##V3_BDPV12</stp>
        <stp>DIS US Equity</stp>
        <stp>EQY REC CONS</stp>
        <stp>[GMIC Info Template.xlsm]Security Analysis!R18C9</stp>
        <tr r="I18" s="13"/>
      </tp>
      <tp t="s">
        <v>US Auto Sales Domestic Vehicles Annualized SA</v>
        <stp/>
        <stp>##V3_BDPV12</stp>
        <stp>SAARDTOT Index</stp>
        <stp>Long Comp Name</stp>
        <stp>[GMIC Info Template.xlsm]ECO Calendar!R65C3</stp>
        <tr r="C65" s="2"/>
      </tp>
      <tp>
        <v>4.3939394950866699</v>
        <stp/>
        <stp>##V3_BDPV12</stp>
        <stp>NKE US Equity</stp>
        <stp>EQY REC CONS</stp>
        <stp>[GMIC Info Template.xlsm]Security Analysis!R32C9</stp>
        <tr r="I32" s="13"/>
      </tp>
      <tp t="s">
        <v>Common Stock</v>
        <stp/>
        <stp>##V3_BDPV12</stp>
        <stp>PG US Equity</stp>
        <stp>SECURITY TYP</stp>
        <stp>[GMIC Info Template.xlsm]Security Analysis!R14C5</stp>
        <tr r="E14" s="13"/>
      </tp>
      <tp>
        <v>3.9215688196887935</v>
        <stp/>
        <stp>##V3_BDPV12</stp>
        <stp>CVX US Equity</stp>
        <stp>EQY DVD YLD IND</stp>
        <stp>[GMIC Info Template.xlsm]Security Analysis!R16C20</stp>
        <tr r="T16" s="13"/>
      </tp>
      <tp>
        <v>64.285700000000006</v>
        <stp/>
        <stp>##V3_BDPV12</stp>
        <stp>CFNAI Index</stp>
        <stp>RELEVANCE VALUE</stp>
        <stp>[GMIC Info Template.xlsm]ECO Calendar!R19C19</stp>
        <tr r="S19" s="2"/>
      </tp>
      <tp>
        <v>3.3621517198802646</v>
        <stp/>
        <stp>##V3_BDPV12</stp>
        <stp>CAT US Equity</stp>
        <stp>EQY DVD YLD IND</stp>
        <stp>[GMIC Info Template.xlsm]Security Analysis!R35C20</stp>
        <tr r="T35" s="13"/>
      </tp>
      <tp>
        <v>20.9</v>
        <stp/>
        <stp>##V3_BDPV12</stp>
        <stp>CHALYOY% Index</stp>
        <stp>QUOTE PRIOR MID</stp>
        <stp>[GMIC Info Template.xlsm]ECO Calendar!R72C9</stp>
        <tr r="I72" s="2"/>
      </tp>
      <tp>
        <v>0.2</v>
        <stp/>
        <stp>##V3_BDPV12</stp>
        <stp>PCE CHNC Index</stp>
        <stp>QUOTE PRIOR MID</stp>
        <stp>[GMIC Info Template.xlsm]ECO Calendar!R58C9</stp>
        <tr r="I58" s="2"/>
      </tp>
      <tp>
        <v>-0.2</v>
        <stp/>
        <stp>##V3_BDPV12</stp>
        <stp>PCE CRCH Index</stp>
        <stp>QUOTE PRIOR MID</stp>
        <stp>[GMIC Info Template.xlsm]ECO Calendar!R53C9</stp>
        <tr r="I53" s="2"/>
      </tp>
      <tp t="s">
        <v>Monthly</v>
        <stp/>
        <stp>##V3_BDPV12</stp>
        <stp>CPTICHNG Index</stp>
        <stp>INDX FREQ</stp>
        <stp>[GMIC Info Template.xlsm]ECO Calendar!R105C15</stp>
        <tr r="O105" s="2"/>
      </tp>
      <tp t="s">
        <v>Apr</v>
        <stp/>
        <stp>##V3_BDPV12</stp>
        <stp>PRUSTOT Index</stp>
        <stp>OBSERVATION PERIOD</stp>
        <stp>[GMIC Info Template.xlsm]ECO Calendar!R83C12</stp>
        <tr r="L83" s="2"/>
      </tp>
      <tp t="s">
        <v>Apr</v>
        <stp/>
        <stp>##V3_BDPV12</stp>
        <stp>USURTOT Index</stp>
        <stp>OBSERVATION PERIOD</stp>
        <stp>[GMIC Info Template.xlsm]ECO Calendar!R75C12</stp>
        <tr r="L75" s="2"/>
      </tp>
      <tp t="s">
        <v>Apr</v>
        <stp/>
        <stp>##V3_BDPV12</stp>
        <stp>NYPMCURR Index</stp>
        <stp>OBSERVATION PERIOD</stp>
        <stp>[GMIC Info Template.xlsm]ECO Calendar!R66C12</stp>
        <tr r="L66" s="2"/>
      </tp>
      <tp t="s">
        <v>Apr</v>
        <stp/>
        <stp>##V3_BDPV12</stp>
        <stp>NHCHSTCH Index</stp>
        <stp>OBSERVATION PERIOD</stp>
        <stp>[GMIC Info Template.xlsm]ECO Calendar!R113C12</stp>
        <tr r="L113" s="2"/>
      </tp>
      <tp t="s">
        <v>Apr</v>
        <stp/>
        <stp>##V3_BDPV12</stp>
        <stp>NHSPSTOT Index</stp>
        <stp>OBSERVATION PERIOD</stp>
        <stp>[GMIC Info Template.xlsm]ECO Calendar!R111C12</stp>
        <tr r="L111" s="2"/>
      </tp>
      <tp>
        <v>-0.12</v>
        <stp/>
        <stp>##V3_BDPV12</stp>
        <stp>USDJPY CURNCY</stp>
        <stp>CHG NET 1D</stp>
        <stp>[GMIC Info Template.xlsm]Currencies &amp; Commodities!R8C6</stp>
        <tr r="F8" s="3"/>
      </tp>
      <tp>
        <v>0.1009</v>
        <stp/>
        <stp>##V3_BDPV12</stp>
        <stp>USDJPY CURNCY</stp>
        <stp>CHG PCT 1D</stp>
        <stp>[GMIC Info Template.xlsm]Currencies &amp; Commodities!R8C7</stp>
        <tr r="G8" s="3"/>
      </tp>
      <tp>
        <v>3.95652174949646</v>
        <stp/>
        <stp>##V3_BDPV12</stp>
        <stp>MRK US Equity</stp>
        <stp>EQY REC CONS</stp>
        <stp>[GMIC Info Template.xlsm]Security Analysis!R20C9</stp>
        <tr r="I20" s="13"/>
      </tp>
      <tp>
        <v>0.2</v>
        <stp/>
        <stp>##V3_BDPV12</stp>
        <stp>PCE DEFM Index</stp>
        <stp>PX LAST</stp>
        <stp>[GMIC Info Template.xlsm]ECO Calendar!R57C7</stp>
        <tr r="G57" s="2"/>
      </tp>
      <tp>
        <v>32.344135802469133</v>
        <stp/>
        <stp>##V3_BDPV12</stp>
        <stp>JNJ US Equity</stp>
        <stp>INTEREST COVERAGE RATIO</stp>
        <stp>[GMIC Info Template.xlsm]Security Analysis!R10C27</stp>
        <tr r="AA10" s="13"/>
      </tp>
      <tp>
        <v>3.303030252456665</v>
        <stp/>
        <stp>##V3_BDPV12</stp>
        <stp>MCD US Equity</stp>
        <stp>EQY REC CONS</stp>
        <stp>[GMIC Info Template.xlsm]Security Analysis!R30C9</stp>
        <tr r="I30" s="13"/>
      </tp>
      <tp t="s">
        <v>Weekly on Friday</v>
        <stp/>
        <stp>##V3_BDPV12</stp>
        <stp>INJCSP Index</stp>
        <stp>INDX FREQ</stp>
        <stp>[GMIC Info Template.xlsm]ECO Calendar!R26C15</stp>
        <tr r="O26" s="2"/>
      </tp>
      <tp t="s">
        <v>#N/A N/A</v>
        <stp/>
        <stp>##V3_BDPV12</stp>
        <stp>JPM US Equity</stp>
        <stp>INTEREST COVERAGE RATIO</stp>
        <stp>[GMIC Info Template.xlsm]Security Analysis!R13C27</stp>
        <tr r="AA13" s="13"/>
      </tp>
      <tp t="s">
        <v>MOKO</v>
        <stp/>
        <stp>##V3_BDPV12</stp>
        <stp>MOKO US EQUITY</stp>
        <stp>TICKER</stp>
        <stp>[GMIC Info Template.xlsm]Most Up &amp; Down!R13C10</stp>
        <tr r="J13" s="9"/>
      </tp>
      <tp>
        <v>0.72905806928395733</v>
        <stp/>
        <stp>##V3_BDPV12</stp>
        <stp>AAPL US Equity</stp>
        <stp>BETA RAW OVERRIDABLE</stp>
        <stp>[GMIC Info Template.xlsm]Security Analysis!R7C10</stp>
        <stp>BETA_OVERRIDE_REL_INDEX=SPX INDEX</stp>
        <tr r="J7" s="13"/>
      </tp>
      <tp t="s">
        <v>US2546871060</v>
        <stp/>
        <stp>##V3_BDPV12</stp>
        <stp>DIS US Equity</stp>
        <stp>ID ISIN</stp>
        <stp>[GMIC Info Template.xlsm]Security Analysis!R18C3</stp>
        <tr r="C18" s="13"/>
      </tp>
      <tp t="s">
        <v>Feb</v>
        <stp/>
        <stp>##V3_BDPV12</stp>
        <stp>SPCSUSA Index</stp>
        <stp>OBSERVATION PERIOD</stp>
        <stp>[GMIC Info Template.xlsm]ECO Calendar!R41C12</stp>
        <tr r="L41" s="2"/>
      </tp>
      <tp t="s">
        <v>US9130171096</v>
        <stp/>
        <stp>##V3_BDPV12</stp>
        <stp>UTX US Equity</stp>
        <stp>ID ISIN</stp>
        <stp>[GMIC Info Template.xlsm]Security Analysis!R28C3</stp>
        <tr r="C28" s="13"/>
      </tp>
      <tp t="s">
        <v>USD</v>
        <stp/>
        <stp>##V3_BDPV12</stp>
        <stp>BA US Equity</stp>
        <stp>CRNCY</stp>
        <stp>[GMIC Info Template.xlsm]Security Analysis!R27C12</stp>
        <tr r="L27" s="13"/>
      </tp>
      <tp>
        <v>0.13</v>
        <stp/>
        <stp>##V3_BDPV12</stp>
        <stp>PCE CMOM Index</stp>
        <stp>PX LAST</stp>
        <stp>[GMIC Info Template.xlsm]ECO Calendar!R54C7</stp>
        <tr r="G54" s="2"/>
      </tp>
      <tp t="s">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stp/>
        <stp>##V3_BDPV12</stp>
        <stp>SPCS20 Index</stp>
        <stp>DES NOTES</stp>
        <stp>[GMIC Info Template.xlsm]ECO Calendar!R38C21</stp>
        <tr r="U38" s="2"/>
      </tp>
      <tp>
        <v>36.454918032786885</v>
        <stp/>
        <stp>##V3_BDPV12</stp>
        <stp>IBM US Equity</stp>
        <stp>INTEREST COVERAGE RATIO</stp>
        <stp>[GMIC Info Template.xlsm]Security Analysis!R21C27</stp>
        <tr r="AA21" s="13"/>
      </tp>
      <tp>
        <v>-1.1000000000000001</v>
        <stp/>
        <stp>##V3_BDPV12</stp>
        <stp>CGNOXAI% Index</stp>
        <stp>PX LAST</stp>
        <stp>[GMIC Info Template.xlsm]ECO Calendar!R33C7</stp>
        <tr r="G33" s="2"/>
      </tp>
      <tp>
        <v>0.3</v>
        <stp/>
        <stp>##V3_BDPV12</stp>
        <stp>CGSHXAI% Index</stp>
        <stp>PX LAST</stp>
        <stp>[GMIC Info Template.xlsm]ECO Calendar!R34C7</stp>
        <tr r="G34" s="2"/>
      </tp>
      <tp>
        <v>0.3</v>
        <stp/>
        <stp>##V3_BDPV12</stp>
        <stp>HPIMMOM% Index</stp>
        <stp>PX LAST</stp>
        <stp>[GMIC Info Template.xlsm]ECO Calendar!R21C7</stp>
        <tr r="G21" s="2"/>
      </tp>
      <tp t="s">
        <v>Monthly</v>
        <stp/>
        <stp>##V3_BDPV12</stp>
        <stp>CONSSENT Index</stp>
        <stp>INDX FREQ</stp>
        <stp>[GMIC Info Template.xlsm]ECO Calendar!R7C15</stp>
        <tr r="O7" s="2"/>
      </tp>
      <tp t="s">
        <v>GNMK</v>
        <stp/>
        <stp>##V3_BDPV12</stp>
        <stp>GNMK US EQUITY</stp>
        <stp>TICKER</stp>
        <stp>[GMIC Info Template.xlsm]Most Up &amp; Down!R26C10</stp>
        <tr r="J26" s="9"/>
      </tp>
      <tp>
        <v>0.7</v>
        <stp/>
        <stp>##V3_BDPV12</stp>
        <stp>HPIMMOM% Index</stp>
        <stp>QUOTE PRIOR MID</stp>
        <stp>[GMIC Info Template.xlsm]ECO Calendar!R21C9</stp>
        <tr r="I21" s="2"/>
      </tp>
      <tp>
        <v>1.3445377658086974</v>
        <stp/>
        <stp>##V3_BDPV12</stp>
        <stp>AXP US Equity</stp>
        <stp>EQY DVD YLD IND</stp>
        <stp>[GMIC Info Template.xlsm]Security Analysis!R33C20</stp>
        <tr r="T33" s="13"/>
      </tp>
      <tp t="s">
        <v>US GDP Price Index QoQ SAAR</v>
        <stp/>
        <stp>##V3_BDPV12</stp>
        <stp>GDP PIQQ Index</stp>
        <stp>Long Comp Name</stp>
        <stp>[GMIC Info Template.xlsm]ECO Calendar!R49C3</stp>
        <tr r="C49" s="2"/>
      </tp>
      <tp>
        <v>-0.3</v>
        <stp/>
        <stp>##V3_BDPV12</stp>
        <stp>CGNOXAI% Index</stp>
        <stp>QUOTE PRIOR MID</stp>
        <stp>[GMIC Info Template.xlsm]ECO Calendar!R33C9</stp>
        <tr r="I33" s="2"/>
      </tp>
      <tp>
        <v>-0.6</v>
        <stp/>
        <stp>##V3_BDPV12</stp>
        <stp>CGSHXAI% Index</stp>
        <stp>QUOTE PRIOR MID</stp>
        <stp>[GMIC Info Template.xlsm]ECO Calendar!R34C9</stp>
        <tr r="I34" s="2"/>
      </tp>
      <tp>
        <v>0.08</v>
        <stp/>
        <stp>##V3_BDPV12</stp>
        <stp>PCE CMOM Index</stp>
        <stp>QUOTE PRIOR MID</stp>
        <stp>[GMIC Info Template.xlsm]ECO Calendar!R54C9</stp>
        <tr r="I54" s="2"/>
      </tp>
      <tp t="s">
        <v>FNRG</v>
        <stp/>
        <stp>##V3_BDPV12</stp>
        <stp>FNRG US EQUITY</stp>
        <stp>TICKER</stp>
        <stp>[GMIC Info Template.xlsm]Most Up &amp; Down!R25C10</stp>
        <tr r="J25" s="9"/>
      </tp>
      <tp t="s">
        <v>US88579Y1010</v>
        <stp/>
        <stp>##V3_BDPV12</stp>
        <stp>MMM US Equity</stp>
        <stp>ID ISIN</stp>
        <stp>[GMIC Info Template.xlsm]Security Analysis!R29C3</stp>
        <tr r="C29" s="13"/>
      </tp>
      <tp t="s">
        <v>Monthly</v>
        <stp/>
        <stp>##V3_BDPV12</stp>
        <stp>OUTFGAF Index</stp>
        <stp>INDX FREQ</stp>
        <stp>[GMIC Info Template.xlsm]ECO Calendar!R116C15</stp>
        <tr r="O116" s="2"/>
      </tp>
      <tp t="s">
        <v>Monthly</v>
        <stp/>
        <stp>##V3_BDPV12</stp>
        <stp>FDIUSGUY Index</stp>
        <stp>INDX FREQ</stp>
        <stp>[GMIC Info Template.xlsm]ECO Calendar!R103C15</stp>
        <tr r="O103" s="2"/>
      </tp>
      <tp t="s">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v>
        <stp/>
        <stp>##V3_BDPV12</stp>
        <stp>NFP TMOM Index</stp>
        <stp>DES NOTES</stp>
        <stp>[GMIC Info Template.xlsm]ECO Calendar!R120C21</stp>
        <tr r="U120" s="2"/>
      </tp>
      <tp>
        <v>3.0091347797741586</v>
        <stp/>
        <stp>##V3_BDPV12</stp>
        <stp>CSCO US Equity</stp>
        <stp>EQY DVD YLD IND</stp>
        <stp>[GMIC Info Template.xlsm]Security Analysis!R25C20</stp>
        <tr r="T25" s="13"/>
      </tp>
      <tp t="s">
        <v>US</v>
        <stp/>
        <stp>##V3_BDPV12</stp>
        <stp>INTC US Equity</stp>
        <stp>COUNTRY</stp>
        <stp>[GMIC Info Template.xlsm]Security Analysis!R23C7</stp>
        <tr r="G23" s="13"/>
      </tp>
      <tp t="s">
        <v>US</v>
        <stp/>
        <stp>##V3_BDPV12</stp>
        <stp>DD US Equity</stp>
        <stp>COUNTRY</stp>
        <stp>[GMIC Info Template.xlsm]Security Analysis!R34C7</stp>
        <tr r="G34" s="13"/>
      </tp>
      <tp t="s">
        <v>US</v>
        <stp/>
        <stp>##V3_BDPV12</stp>
        <stp>HD US Equity</stp>
        <stp>COUNTRY</stp>
        <stp>[GMIC Info Template.xlsm]Security Analysis!R24C7</stp>
        <tr r="G24" s="13"/>
      </tp>
      <tp t="s">
        <v>US</v>
        <stp/>
        <stp>##V3_BDPV12</stp>
        <stp>PG US Equity</stp>
        <stp>COUNTRY</stp>
        <stp>[GMIC Info Template.xlsm]Security Analysis!R14C7</stp>
        <tr r="G14" s="13"/>
      </tp>
      <tp t="s">
        <v>3/28/2015</v>
        <stp/>
        <stp>##V3_BDPV12</stp>
        <stp>INJCSP Index</stp>
        <stp>PRIOR OBSERVATION DATE</stp>
        <stp>[GMIC Info Template.xlsm]ECO Calendar!R26C14</stp>
        <tr r="N26" s="2"/>
      </tp>
      <tp t="s">
        <v>Common Stock</v>
        <stp/>
        <stp>##V3_BDPV12</stp>
        <stp>BA US Equity</stp>
        <stp>SECURITY TYP</stp>
        <stp>[GMIC Info Template.xlsm]Security Analysis!R27C5</stp>
        <tr r="E27" s="13"/>
      </tp>
      <tp>
        <v>93.650800000000004</v>
        <stp/>
        <stp>##V3_BDPV12</stp>
        <stp>CONSSENT Index</stp>
        <stp>RELEVANCE VALUE</stp>
        <stp>[GMIC Info Template.xlsm]ECO Calendar!R7C19</stp>
        <tr r="S7" s="2"/>
      </tp>
      <tp t="s">
        <v>Net Revisions to Nonfarm Payrolls</v>
        <stp/>
        <stp>##V3_BDPV12</stp>
        <stp>ECONGECC Index</stp>
        <stp>Long Comp Name</stp>
        <stp>[GMIC Info Template.xlsm]ECO Calendar!R84C3</stp>
        <tr r="C84" s="2"/>
      </tp>
      <tp t="s">
        <v>Common Stock</v>
        <stp/>
        <stp>##V3_BDPV12</stp>
        <stp>WMT US Equity</stp>
        <stp>SECURITY TYP</stp>
        <stp>[GMIC Info Template.xlsm]Security Analysis!R12C5</stp>
        <tr r="E12" s="13"/>
      </tp>
      <tp t="s">
        <v>Common Stock</v>
        <stp/>
        <stp>##V3_BDPV12</stp>
        <stp>PFE US Equity</stp>
        <stp>SECURITY TYP</stp>
        <stp>[GMIC Info Template.xlsm]Security Analysis!R15C5</stp>
        <tr r="E15" s="13"/>
      </tp>
      <tp t="s">
        <v>US Employees on Nonfarm Payrolls Manufacturing Industry Monthly Net Change SA</v>
        <stp/>
        <stp>##V3_BDPV12</stp>
        <stp>USMMMNCH Index</stp>
        <stp>Long Comp Name</stp>
        <stp>[GMIC Info Template.xlsm]ECO Calendar!R76C3</stp>
        <tr r="C76" s="2"/>
      </tp>
      <tp t="s">
        <v>Common Stock</v>
        <stp/>
        <stp>##V3_BDPV12</stp>
        <stp>VZ US Equity</stp>
        <stp>SECURITY TYP</stp>
        <stp>[GMIC Info Template.xlsm]Security Analysis!R17C5</stp>
        <tr r="E17" s="13"/>
      </tp>
      <tp t="s">
        <v>US Personal Consumption Expenditure Core Price Index YoY SA</v>
        <stp/>
        <stp>##V3_BDPV12</stp>
        <stp>PCE CYOY Index</stp>
        <stp>Long Comp Name</stp>
        <stp>[GMIC Info Template.xlsm]ECO Calendar!R55C3</stp>
        <tr r="C55" s="2"/>
      </tp>
      <tp t="s">
        <v>Thousand</v>
        <stp/>
        <stp>##V3_BDPV12</stp>
        <stp>NFP T Index</stp>
        <stp>SCALING FORMAT</stp>
        <stp>[GMIC Info Template.xlsm]ECO Calendar!R118C10</stp>
        <tr r="J118" s="2"/>
      </tp>
      <tp t="s">
        <v>Conference Board US Leading Index MoM</v>
        <stp/>
        <stp>##V3_BDPV12</stp>
        <stp>LEI CHNG Index</stp>
        <stp>Long Comp Name</stp>
        <stp>[GMIC Info Template.xlsm]ECO Calendar!R18C3</stp>
        <tr r="C18" s="2"/>
      </tp>
      <tp t="s">
        <v>Apr</v>
        <stp/>
        <stp>##V3_BDPV12</stp>
        <stp>DFEDGBA Index</stp>
        <stp>OBSERVATION PERIOD</stp>
        <stp>[GMIC Info Template.xlsm]ECO Calendar!R37C12</stp>
        <tr r="L37" s="2"/>
      </tp>
      <tp>
        <v>36.005365242406597</v>
        <stp/>
        <stp>##V3_BDPV12</stp>
        <stp>CSCO US Equity</stp>
        <stp>LT DEBT TO TOT EQY</stp>
        <stp>[GMIC Info Template.xlsm]Security Analysis!R25C25</stp>
        <tr r="Y25" s="13"/>
      </tp>
      <tp t="s">
        <v>Monthly</v>
        <stp/>
        <stp>##V3_BDPV12</stp>
        <stp>FDIDSGMO Index</stp>
        <stp>INDX FREQ</stp>
        <stp>[GMIC Info Template.xlsm]ECO Calendar!R100C15</stp>
        <tr r="O100" s="2"/>
      </tp>
      <tp t="s">
        <v>Apr</v>
        <stp/>
        <stp>##V3_BDPV12</stp>
        <stp>KCLSSACI Index</stp>
        <stp>OBSERVATION PERIOD</stp>
        <stp>[GMIC Info Template.xlsm]ECO Calendar!R28C12</stp>
        <tr r="L28" s="2"/>
      </tp>
      <tp t="s">
        <v>Apr</v>
        <stp/>
        <stp>##V3_BDPV12</stp>
        <stp>FDIUFDYO Index</stp>
        <stp>OBSERVATION PERIOD</stp>
        <stp>[GMIC Info Template.xlsm]ECO Calendar!R99C12</stp>
        <tr r="L99" s="2"/>
      </tp>
      <tp>
        <v>48.025445927404263</v>
        <stp/>
        <stp>##V3_BDPV12</stp>
        <stp>GS US Equity</stp>
        <stp>EBITDA MARGIN</stp>
        <stp>[GMIC Info Template.xlsm]Security Analysis!R31C22</stp>
        <tr r="V31" s="13"/>
      </tp>
      <tp t="s">
        <v>USD</v>
        <stp/>
        <stp>##V3_BDPV12</stp>
        <stp>PG US Equity</stp>
        <stp>CRNCY</stp>
        <stp>[GMIC Info Template.xlsm]Security Analysis!R14C12</stp>
        <tr r="L14" s="13"/>
      </tp>
      <tp t="s">
        <v>May</v>
        <stp/>
        <stp>##V3_BDPV12</stp>
        <stp>USHBMIDX Index</stp>
        <stp>OBSERVATION PERIOD</stp>
        <stp>[GMIC Info Template.xlsm]ECO Calendar!R110C12</stp>
        <tr r="L110" s="2"/>
      </tp>
      <tp t="s">
        <v>Common Stock</v>
        <stp/>
        <stp>##V3_BDPV12</stp>
        <stp>TRV US Equity</stp>
        <stp>SECURITY TYP</stp>
        <stp>[GMIC Info Template.xlsm]Security Analysis!R36C5</stp>
        <tr r="E36" s="13"/>
      </tp>
      <tp t="s">
        <v>Mortgage Bankers Association US Mortgage Market Indx Weekly % Change SA Old Meth</v>
        <stp/>
        <stp>##V3_BDPV12</stp>
        <stp>MBAVCHNG Index</stp>
        <stp>Long Comp Name</stp>
        <stp>[GMIC Info Template.xlsm]ECO Calendar!R20C3</stp>
        <tr r="C20" s="2"/>
      </tp>
      <tp>
        <v>3</v>
        <stp/>
        <stp>##V3_BDPV12</stp>
        <stp>IBM US Equity</stp>
        <stp>EQY REC CONS</stp>
        <stp>[GMIC Info Template.xlsm]Security Analysis!R21C9</stp>
        <tr r="I21" s="13"/>
      </tp>
      <tp>
        <v>0.2</v>
        <stp/>
        <stp>##V3_BDPV12</stp>
        <stp>LEI CHNG Index</stp>
        <stp>PX LAST</stp>
        <stp>[GMIC Info Template.xlsm]ECO Calendar!R18C7</stp>
        <tr r="G18" s="2"/>
      </tp>
      <tp t="s">
        <v>US Durable Goods New Orders Total ex Transportation MoM SA</v>
        <stp/>
        <stp>##V3_BDPV12</stp>
        <stp>DGNOXTCH Index</stp>
        <stp>Long Comp Name</stp>
        <stp>[GMIC Info Template.xlsm]ECO Calendar!R32C3</stp>
        <tr r="C32" s="2"/>
      </tp>
      <tp>
        <v>0.1</v>
        <stp/>
        <stp>##V3_BDPV12</stp>
        <stp>LEI CHNG Index</stp>
        <stp>QUOTE PRIOR MID</stp>
        <stp>[GMIC Info Template.xlsm]ECO Calendar!R18C9</stp>
        <tr r="I18" s="2"/>
      </tp>
      <tp t="s">
        <v>US Personal Consumption Expenditure Core Price Index MoM SA</v>
        <stp/>
        <stp>##V3_BDPV12</stp>
        <stp>PCE CMOM Index</stp>
        <stp>Long Comp Name</stp>
        <stp>[GMIC Info Template.xlsm]ECO Calendar!R54C3</stp>
        <tr r="C54" s="2"/>
      </tp>
      <tp t="s">
        <v>Monthly</v>
        <stp/>
        <stp>##V3_BDPV12</stp>
        <stp>NAPMPMI Index</stp>
        <stp>INDX FREQ</stp>
        <stp>[GMIC Info Template.xlsm]ECO Calendar!R61C15</stp>
        <tr r="O61" s="2"/>
      </tp>
      <tp t="s">
        <v>Monthly</v>
        <stp/>
        <stp>##V3_BDPV12</stp>
        <stp>NAPMNMI Index</stp>
        <stp>INDX FREQ</stp>
        <stp>[GMIC Info Template.xlsm]ECO Calendar!R69C15</stp>
        <tr r="O69" s="2"/>
      </tp>
      <tp>
        <v>1.446663</v>
        <stp/>
        <stp>##V3_BDPV12</stp>
        <stp>CSCO US Equity</stp>
        <stp>SHORT INT RATIO</stp>
        <stp>[GMIC Info Template.xlsm]Security Analysis!R25C11</stp>
        <tr r="K25" s="13"/>
      </tp>
      <tp t="s">
        <v>1/31/2015</v>
        <stp/>
        <stp>##V3_BDPV12</stp>
        <stp>CFNAI Index</stp>
        <stp>PRIOR OBSERVATION DATE</stp>
        <stp>[GMIC Info Template.xlsm]ECO Calendar!R19C14</stp>
        <tr r="N19" s="2"/>
      </tp>
      <tp>
        <v>3.3485</v>
        <stp/>
        <stp>##V3_BDPV12</stp>
        <stp>VZ US Equity</stp>
        <stp>TRAIL 12M EPS</stp>
        <stp>[GMIC Info Template.xlsm]Security Analysis!R17C14</stp>
        <tr r="N17" s="13"/>
      </tp>
      <tp t="s">
        <v>#N/A N/A</v>
        <stp/>
        <stp>##V3_BDPV12</stp>
        <stp>NKE US Equity</stp>
        <stp>INTEREST COVERAGE RATIO</stp>
        <stp>[GMIC Info Template.xlsm]Security Analysis!R32C27</stp>
        <tr r="AA32" s="13"/>
      </tp>
      <tp>
        <v>4.5749998092651367</v>
        <stp/>
        <stp>##V3_BDPV12</stp>
        <stp>JPM US Equity</stp>
        <stp>EQY REC CONS</stp>
        <stp>[GMIC Info Template.xlsm]Security Analysis!R13C9</stp>
        <tr r="I13" s="13"/>
      </tp>
      <tp t="s">
        <v>5/12/2015</v>
        <stp/>
        <stp>##V3_BDPV12</stp>
        <stp>FDDSSD Index</stp>
        <stp>ECO RELEASE DT</stp>
        <stp>[GMIC Info Template.xlsm]ECO Calendar!R89C16</stp>
        <tr r="P89" s="2"/>
      </tp>
      <tp t="s">
        <v>Common Stock</v>
        <stp/>
        <stp>##V3_BDPV12</stp>
        <stp>GS US Equity</stp>
        <stp>SECURITY TYP</stp>
        <stp>[GMIC Info Template.xlsm]Security Analysis!R31C5</stp>
        <tr r="E31" s="13"/>
      </tp>
      <tp t="s">
        <v>Common Stock</v>
        <stp/>
        <stp>##V3_BDPV12</stp>
        <stp>GE US Equity</stp>
        <stp>SECURITY TYP</stp>
        <stp>[GMIC Info Template.xlsm]Security Analysis!R11C5</stp>
        <tr r="E11" s="13"/>
      </tp>
      <tp t="s">
        <v>#N/A N/A</v>
        <stp/>
        <stp>##V3_BDPV12</stp>
        <stp>V US Equity</stp>
        <stp>INTEREST COVERAGE RATIO</stp>
        <stp>[GMIC Info Template.xlsm]Security Analysis!R22C27</stp>
        <tr r="AA22" s="13"/>
      </tp>
      <tp t="s">
        <v>Common Stock</v>
        <stp/>
        <stp>##V3_BDPV12</stp>
        <stp>UNH US Equity</stp>
        <stp>SECURITY TYP</stp>
        <stp>[GMIC Info Template.xlsm]Security Analysis!R26C5</stp>
        <tr r="E26" s="13"/>
      </tp>
      <tp>
        <v>1.2406969999999999</v>
        <stp/>
        <stp>##V3_BDPV12</stp>
        <stp>AXP US Equity</stp>
        <stp>SHORT INT RATIO</stp>
        <stp>[GMIC Info Template.xlsm]Security Analysis!R33C11</stp>
        <tr r="K33" s="13"/>
      </tp>
      <tp t="s">
        <v>United States</v>
        <stp/>
        <stp>##V3_BDPV12</stp>
        <stp>INJCJC Index</stp>
        <stp>REGION OR COUNTRY</stp>
        <stp>[GMIC Info Template.xlsm]ECO Calendar!R25C20</stp>
        <tr r="T25" s="2"/>
      </tp>
      <tp>
        <v>34.6</v>
        <stp/>
        <stp>##V3_BDPV12</stp>
        <stp>AWH TOTL Index</stp>
        <stp>QUOTE PRIOR MID</stp>
        <stp>[GMIC Info Template.xlsm]ECO Calendar!R80C9</stp>
        <tr r="I80" s="2"/>
      </tp>
      <tp>
        <v>1.0778891893880795</v>
        <stp/>
        <stp>##V3_BDPV12</stp>
        <stp>DIS US Equity</stp>
        <stp>EQY DVD YLD IND</stp>
        <stp>[GMIC Info Template.xlsm]Security Analysis!R18C20</stp>
        <tr r="T18" s="13"/>
      </tp>
      <tp t="s">
        <v>Monthly</v>
        <stp/>
        <stp>##V3_BDPV12</stp>
        <stp>FDIDSGUM Index</stp>
        <stp>INDX FREQ</stp>
        <stp>[GMIC Info Template.xlsm]ECO Calendar!R102C15</stp>
        <tr r="O102" s="2"/>
      </tp>
      <tp t="s">
        <v>GOLDMAN SACHS GP</v>
        <stp/>
        <stp>##V3_BDPV12</stp>
        <stp>GS US Equity</stp>
        <stp>SHORT NAME</stp>
        <stp>[GMIC Info Template.xlsm]Security Analysis!R31C2</stp>
        <tr r="B31" s="13"/>
      </tp>
      <tp t="s">
        <v>Mar</v>
        <stp/>
        <stp>##V3_BDPV12</stp>
        <stp>JOLTTOTL Index</stp>
        <stp>OBSERVATION PERIOD</stp>
        <stp>[GMIC Info Template.xlsm]ECO Calendar!R88C12</stp>
        <tr r="L88" s="2"/>
      </tp>
      <tp t="s">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v>
        <stp/>
        <stp>##V3_BDPV12</stp>
        <stp>NFP TYCH Index</stp>
        <stp>DES NOTES</stp>
        <stp>[GMIC Info Template.xlsm]ECO Calendar!R119C21</stp>
        <tr r="U119" s="2"/>
      </tp>
      <tp>
        <v>27.269469999999998</v>
        <stp/>
        <stp>##V3_BDPV12</stp>
        <stp>DIS US Equity</stp>
        <stp>CHG PCT 6M</stp>
        <stp>[GMIC Info Template.xlsm]Security Analysis!R18C17</stp>
        <tr r="Q18" s="13"/>
      </tp>
      <tp>
        <v>12.092879999999999</v>
        <stp/>
        <stp>##V3_BDPV12</stp>
        <stp>DIS US Equity</stp>
        <stp>CHG PCT 3M</stp>
        <stp>[GMIC Info Template.xlsm]Security Analysis!R18C16</stp>
        <tr r="P18" s="13"/>
      </tp>
      <tp>
        <v>-0.63332659999999996</v>
        <stp/>
        <stp>##V3_BDPV12</stp>
        <stp>DIS US Equity</stp>
        <stp>CHG PCT 1M</stp>
        <stp>[GMIC Info Template.xlsm]Security Analysis!R18C15</stp>
        <tr r="O18" s="13"/>
      </tp>
      <tp>
        <v>-5.1753749999999998</v>
        <stp/>
        <stp>##V3_BDPV12</stp>
        <stp>AXP US Equity</stp>
        <stp>CHG PCT 1M</stp>
        <stp>[GMIC Info Template.xlsm]Security Analysis!R33C15</stp>
        <tr r="O33" s="13"/>
      </tp>
      <tp>
        <v>-10.134819999999999</v>
        <stp/>
        <stp>##V3_BDPV12</stp>
        <stp>AXP US Equity</stp>
        <stp>CHG PCT 3M</stp>
        <stp>[GMIC Info Template.xlsm]Security Analysis!R33C16</stp>
        <tr r="P33" s="13"/>
      </tp>
      <tp>
        <v>-6.3695830000000004</v>
        <stp/>
        <stp>##V3_BDPV12</stp>
        <stp>AXP US Equity</stp>
        <stp>CHG PCT 6M</stp>
        <stp>[GMIC Info Template.xlsm]Security Analysis!R33C17</stp>
        <tr r="Q33" s="13"/>
      </tp>
      <tp t="s">
        <v>USD</v>
        <stp/>
        <stp>##V3_BDPV12</stp>
        <stp>GE US Equity</stp>
        <stp>CRNCY</stp>
        <stp>[GMIC Info Template.xlsm]Security Analysis!R11C12</stp>
        <tr r="L11" s="13"/>
      </tp>
      <tp>
        <v>3.9830239999999999</v>
        <stp/>
        <stp>##V3_BDPV12</stp>
        <stp>CAT US Equity</stp>
        <stp>CHG PCT 1M</stp>
        <stp>[GMIC Info Template.xlsm]Security Analysis!R35C15</stp>
        <tr r="O35" s="13"/>
      </tp>
      <tp>
        <v>-12.382960000000001</v>
        <stp/>
        <stp>##V3_BDPV12</stp>
        <stp>CAT US Equity</stp>
        <stp>CHG PCT 6M</stp>
        <stp>[GMIC Info Template.xlsm]Security Analysis!R35C17</stp>
        <tr r="Q35" s="13"/>
      </tp>
      <tp>
        <v>-0.69162959999999996</v>
        <stp/>
        <stp>##V3_BDPV12</stp>
        <stp>CAT US Equity</stp>
        <stp>CHG PCT 3M</stp>
        <stp>[GMIC Info Template.xlsm]Security Analysis!R35C16</stp>
        <tr r="P35" s="13"/>
      </tp>
      <tp>
        <v>4.1622909999999997</v>
        <stp/>
        <stp>##V3_BDPV12</stp>
        <stp>CVX US Equity</stp>
        <stp>CHG PCT 1M</stp>
        <stp>[GMIC Info Template.xlsm]Security Analysis!R16C15</stp>
        <tr r="O16" s="13"/>
      </tp>
      <tp>
        <v>3.7956590000000001</v>
        <stp/>
        <stp>##V3_BDPV12</stp>
        <stp>CVX US Equity</stp>
        <stp>CHG PCT 3M</stp>
        <stp>[GMIC Info Template.xlsm]Security Analysis!R16C16</stp>
        <tr r="P16" s="13"/>
      </tp>
      <tp>
        <v>-2.406085</v>
        <stp/>
        <stp>##V3_BDPV12</stp>
        <stp>CVX US Equity</stp>
        <stp>CHG PCT 6M</stp>
        <stp>[GMIC Info Template.xlsm]Security Analysis!R16C17</stp>
        <tr r="Q16" s="13"/>
      </tp>
      <tp>
        <v>-2.384404</v>
        <stp/>
        <stp>##V3_BDPV12</stp>
        <stp>MMM US Equity</stp>
        <stp>CHG PCT 1M</stp>
        <stp>[GMIC Info Template.xlsm]Security Analysis!R29C15</stp>
        <tr r="O29" s="13"/>
      </tp>
      <tp>
        <v>-0.17901230000000001</v>
        <stp/>
        <stp>##V3_BDPV12</stp>
        <stp>MMM US Equity</stp>
        <stp>CHG PCT 3M</stp>
        <stp>[GMIC Info Template.xlsm]Security Analysis!R29C16</stp>
        <tr r="P29" s="13"/>
      </tp>
      <tp>
        <v>17.692869999999999</v>
        <stp/>
        <stp>##V3_BDPV12</stp>
        <stp>MMM US Equity</stp>
        <stp>CHG PCT 6M</stp>
        <stp>[GMIC Info Template.xlsm]Security Analysis!R29C17</stp>
        <tr r="Q29" s="13"/>
      </tp>
      <tp>
        <v>4.2179250000000001</v>
        <stp/>
        <stp>##V3_BDPV12</stp>
        <stp>MCD US Equity</stp>
        <stp>CHG PCT 6M</stp>
        <stp>[GMIC Info Template.xlsm]Security Analysis!R30C17</stp>
        <tr r="Q30" s="13"/>
      </tp>
      <tp>
        <v>3.7053250000000002</v>
        <stp/>
        <stp>##V3_BDPV12</stp>
        <stp>MCD US Equity</stp>
        <stp>CHG PCT 3M</stp>
        <stp>[GMIC Info Template.xlsm]Security Analysis!R30C16</stp>
        <tr r="P30" s="13"/>
      </tp>
      <tp>
        <v>-1.1460760000000001</v>
        <stp/>
        <stp>##V3_BDPV12</stp>
        <stp>MCD US Equity</stp>
        <stp>CHG PCT 1M</stp>
        <stp>[GMIC Info Template.xlsm]Security Analysis!R30C15</stp>
        <tr r="O30" s="13"/>
      </tp>
      <tp>
        <v>5.2943350000000002</v>
        <stp/>
        <stp>##V3_BDPV12</stp>
        <stp>MRK US Equity</stp>
        <stp>CHG PCT 6M</stp>
        <stp>[GMIC Info Template.xlsm]Security Analysis!R20C17</stp>
        <tr r="Q20" s="13"/>
      </tp>
      <tp>
        <v>-9.7572569999999992</v>
        <stp/>
        <stp>##V3_BDPV12</stp>
        <stp>MRK US Equity</stp>
        <stp>CHG PCT 3M</stp>
        <stp>[GMIC Info Template.xlsm]Security Analysis!R20C16</stp>
        <tr r="P20" s="13"/>
      </tp>
      <tp>
        <v>-2.2848290000000002</v>
        <stp/>
        <stp>##V3_BDPV12</stp>
        <stp>MRK US Equity</stp>
        <stp>CHG PCT 1M</stp>
        <stp>[GMIC Info Template.xlsm]Security Analysis!R20C15</stp>
        <tr r="O20" s="13"/>
      </tp>
      <tp>
        <v>13.041980000000001</v>
        <stp/>
        <stp>##V3_BDPV12</stp>
        <stp>NKE US Equity</stp>
        <stp>CHG PCT 6M</stp>
        <stp>[GMIC Info Template.xlsm]Security Analysis!R32C17</stp>
        <tr r="Q32" s="13"/>
      </tp>
      <tp>
        <v>5.9791400000000001</v>
        <stp/>
        <stp>##V3_BDPV12</stp>
        <stp>NKE US Equity</stp>
        <stp>CHG PCT 3M</stp>
        <stp>[GMIC Info Template.xlsm]Security Analysis!R32C16</stp>
        <tr r="P32" s="13"/>
      </tp>
      <tp>
        <v>0.23393030000000001</v>
        <stp/>
        <stp>##V3_BDPV12</stp>
        <stp>NKE US Equity</stp>
        <stp>CHG PCT 1M</stp>
        <stp>[GMIC Info Template.xlsm]Security Analysis!R32C15</stp>
        <tr r="O32" s="13"/>
      </tp>
      <tp>
        <v>-11.74403</v>
        <stp/>
        <stp>##V3_BDPV12</stp>
        <stp>IBM US Equity</stp>
        <stp>CHG PCT 6M</stp>
        <stp>[GMIC Info Template.xlsm]Security Analysis!R21C17</stp>
        <tr r="Q21" s="13"/>
      </tp>
      <tp>
        <v>2.2464050000000002</v>
        <stp/>
        <stp>##V3_BDPV12</stp>
        <stp>IBM US Equity</stp>
        <stp>CHG PCT 3M</stp>
        <stp>[GMIC Info Template.xlsm]Security Analysis!R21C16</stp>
        <tr r="P21" s="13"/>
      </tp>
      <tp>
        <v>0.53814059999999997</v>
        <stp/>
        <stp>##V3_BDPV12</stp>
        <stp>IBM US Equity</stp>
        <stp>CHG PCT 1M</stp>
        <stp>[GMIC Info Template.xlsm]Security Analysis!R21C15</stp>
        <tr r="O21" s="13"/>
      </tp>
      <tp>
        <v>-2.0749360000000001</v>
        <stp/>
        <stp>##V3_BDPV12</stp>
        <stp>JNJ US Equity</stp>
        <stp>CHG PCT 1M</stp>
        <stp>[GMIC Info Template.xlsm]Security Analysis!R10C15</stp>
        <tr r="O10" s="13"/>
      </tp>
      <tp>
        <v>-4.2868139999999997</v>
        <stp/>
        <stp>##V3_BDPV12</stp>
        <stp>JNJ US Equity</stp>
        <stp>CHG PCT 3M</stp>
        <stp>[GMIC Info Template.xlsm]Security Analysis!R10C16</stp>
        <tr r="P10" s="13"/>
      </tp>
      <tp>
        <v>0.89159379999999999</v>
        <stp/>
        <stp>##V3_BDPV12</stp>
        <stp>JNJ US Equity</stp>
        <stp>CHG PCT 6M</stp>
        <stp>[GMIC Info Template.xlsm]Security Analysis!R10C17</stp>
        <tr r="Q10" s="13"/>
      </tp>
      <tp>
        <v>12.35473</v>
        <stp/>
        <stp>##V3_BDPV12</stp>
        <stp>JPM US Equity</stp>
        <stp>CHG PCT 3M</stp>
        <stp>[GMIC Info Template.xlsm]Security Analysis!R13C16</stp>
        <tr r="P13" s="13"/>
      </tp>
      <tp>
        <v>11.81495</v>
        <stp/>
        <stp>##V3_BDPV12</stp>
        <stp>JPM US Equity</stp>
        <stp>CHG PCT 6M</stp>
        <stp>[GMIC Info Template.xlsm]Security Analysis!R13C17</stp>
        <tr r="Q13" s="13"/>
      </tp>
      <tp>
        <v>2.6797369999999998</v>
        <stp/>
        <stp>##V3_BDPV12</stp>
        <stp>JPM US Equity</stp>
        <stp>CHG PCT 1M</stp>
        <stp>[GMIC Info Template.xlsm]Security Analysis!R13C15</stp>
        <tr r="O13" s="13"/>
      </tp>
      <tp t="s">
        <v>#N/A Field Not Applicable</v>
        <stp/>
        <stp>##V3_BDPV12</stp>
        <stp>NFP TYOY Index</stp>
        <stp>OBSERVATION PERIOD</stp>
        <stp>[GMIC Info Template.xlsm]ECO Calendar!R121C12</stp>
        <tr r="L121" s="2"/>
      </tp>
      <tp t="s">
        <v>#N/A Field Not Applicable</v>
        <stp/>
        <stp>##V3_BDPV12</stp>
        <stp>NFP TYCH Index</stp>
        <stp>OBSERVATION PERIOD</stp>
        <stp>[GMIC Info Template.xlsm]ECO Calendar!R119C12</stp>
        <tr r="L119" s="2"/>
      </tp>
      <tp>
        <v>-1.0700210000000001</v>
        <stp/>
        <stp>##V3_BDPV12</stp>
        <stp>TRV US Equity</stp>
        <stp>CHG PCT 3M</stp>
        <stp>[GMIC Info Template.xlsm]Security Analysis!R36C16</stp>
        <tr r="P36" s="13"/>
      </tp>
      <tp>
        <v>13.04162</v>
        <stp/>
        <stp>##V3_BDPV12</stp>
        <stp>TRV US Equity</stp>
        <stp>CHG PCT 6M</stp>
        <stp>[GMIC Info Template.xlsm]Security Analysis!R36C17</stp>
        <tr r="Q36" s="13"/>
      </tp>
      <tp>
        <v>-3.400239</v>
        <stp/>
        <stp>##V3_BDPV12</stp>
        <stp>TRV US Equity</stp>
        <stp>CHG PCT 1M</stp>
        <stp>[GMIC Info Template.xlsm]Security Analysis!R36C15</stp>
        <tr r="O36" s="13"/>
      </tp>
      <tp>
        <v>34.62236</v>
        <stp/>
        <stp>##V3_BDPV12</stp>
        <stp>UNH US Equity</stp>
        <stp>CHG PCT 6M</stp>
        <stp>[GMIC Info Template.xlsm]Security Analysis!R26C17</stp>
        <tr r="Q26" s="13"/>
      </tp>
      <tp>
        <v>12.2341</v>
        <stp/>
        <stp>##V3_BDPV12</stp>
        <stp>UNH US Equity</stp>
        <stp>CHG PCT 3M</stp>
        <stp>[GMIC Info Template.xlsm]Security Analysis!R26C16</stp>
        <tr r="P26" s="13"/>
      </tp>
      <tp>
        <v>-1.697584</v>
        <stp/>
        <stp>##V3_BDPV12</stp>
        <stp>UNH US Equity</stp>
        <stp>CHG PCT 1M</stp>
        <stp>[GMIC Info Template.xlsm]Security Analysis!R26C15</stp>
        <tr r="O26" s="13"/>
      </tp>
      <tp>
        <v>-3.5768110000000002</v>
        <stp/>
        <stp>##V3_BDPV12</stp>
        <stp>UTX US Equity</stp>
        <stp>CHG PCT 1M</stp>
        <stp>[GMIC Info Template.xlsm]Security Analysis!R28C15</stp>
        <tr r="O28" s="13"/>
      </tp>
      <tp>
        <v>13.375360000000001</v>
        <stp/>
        <stp>##V3_BDPV12</stp>
        <stp>UTX US Equity</stp>
        <stp>CHG PCT 6M</stp>
        <stp>[GMIC Info Template.xlsm]Security Analysis!R28C17</stp>
        <tr r="Q28" s="13"/>
      </tp>
      <tp>
        <v>-0.89539519999999995</v>
        <stp/>
        <stp>##V3_BDPV12</stp>
        <stp>UTX US Equity</stp>
        <stp>CHG PCT 3M</stp>
        <stp>[GMIC Info Template.xlsm]Security Analysis!R28C16</stp>
        <tr r="P28" s="13"/>
      </tp>
      <tp>
        <v>5.1012170000000001</v>
        <stp/>
        <stp>##V3_BDPV12</stp>
        <stp>WMT US Equity</stp>
        <stp>CHG PCT 6M</stp>
        <stp>[GMIC Info Template.xlsm]Security Analysis!R12C17</stp>
        <tr r="Q12" s="13"/>
      </tp>
      <tp>
        <v>-10.245469999999999</v>
        <stp/>
        <stp>##V3_BDPV12</stp>
        <stp>WMT US Equity</stp>
        <stp>CHG PCT 3M</stp>
        <stp>[GMIC Info Template.xlsm]Security Analysis!R12C16</stp>
        <tr r="P12" s="13"/>
      </tp>
      <tp>
        <v>-4.4651579999999997</v>
        <stp/>
        <stp>##V3_BDPV12</stp>
        <stp>WMT US Equity</stp>
        <stp>CHG PCT 1M</stp>
        <stp>[GMIC Info Template.xlsm]Security Analysis!R12C15</stp>
        <tr r="O12" s="13"/>
      </tp>
      <tp>
        <v>2.6061450000000002</v>
        <stp/>
        <stp>##V3_BDPV12</stp>
        <stp>PFE US Equity</stp>
        <stp>CHG PCT 1M</stp>
        <stp>[GMIC Info Template.xlsm]Security Analysis!R15C15</stp>
        <tr r="O15" s="13"/>
      </tp>
      <tp>
        <v>6.8292710000000003</v>
        <stp/>
        <stp>##V3_BDPV12</stp>
        <stp>PFE US Equity</stp>
        <stp>CHG PCT 3M</stp>
        <stp>[GMIC Info Template.xlsm]Security Analysis!R15C16</stp>
        <tr r="P15" s="13"/>
      </tp>
      <tp>
        <v>25.90729</v>
        <stp/>
        <stp>##V3_BDPV12</stp>
        <stp>PFE US Equity</stp>
        <stp>CHG PCT 6M</stp>
        <stp>[GMIC Info Template.xlsm]Security Analysis!R15C17</stp>
        <tr r="Q15" s="13"/>
      </tp>
      <tp t="s">
        <v>US</v>
        <stp/>
        <stp>##V3_BDPV12</stp>
        <stp>GE US Equity</stp>
        <stp>COUNTRY</stp>
        <stp>[GMIC Info Template.xlsm]Security Analysis!R11C7</stp>
        <tr r="G11" s="13"/>
      </tp>
      <tp t="s">
        <v>US</v>
        <stp/>
        <stp>##V3_BDPV12</stp>
        <stp>GS US Equity</stp>
        <stp>COUNTRY</stp>
        <stp>[GMIC Info Template.xlsm]Security Analysis!R31C7</stp>
        <tr r="G31" s="13"/>
      </tp>
      <tp t="s">
        <v>#N/A Field Not Applicable</v>
        <stp/>
        <stp>##V3_BDPV12</stp>
        <stp>NFP TMOM Index</stp>
        <stp>OBSERVATION PERIOD</stp>
        <stp>[GMIC Info Template.xlsm]ECO Calendar!R120C12</stp>
        <tr r="L120" s="2"/>
      </tp>
      <tp>
        <v>50.24647887323944</v>
        <stp/>
        <stp>##V3_BDPV12</stp>
        <stp>MMM US Equity</stp>
        <stp>INTEREST COVERAGE RATIO</stp>
        <stp>[GMIC Info Template.xlsm]Security Analysis!R29C27</stp>
        <tr r="AA29" s="13"/>
      </tp>
      <tp>
        <v>13.581411242098071</v>
        <stp/>
        <stp>##V3_BDPV12</stp>
        <stp>MCD US Equity</stp>
        <stp>INTEREST COVERAGE RATIO</stp>
        <stp>[GMIC Info Template.xlsm]Security Analysis!R30C27</stp>
        <tr r="AA30" s="13"/>
      </tp>
      <tp t="s">
        <v>Value NSA</v>
        <stp/>
        <stp>##V3_BDPV12</stp>
        <stp>FDDSSD Index</stp>
        <stp>SEASONALITY AND TRANSFORMATION</stp>
        <stp>[GMIC Info Template.xlsm]ECO Calendar!R89C11</stp>
        <tr r="K89" s="2"/>
      </tp>
      <tp>
        <v>7.7459016393442619</v>
        <stp/>
        <stp>##V3_BDPV12</stp>
        <stp>MRK US Equity</stp>
        <stp>INTEREST COVERAGE RATIO</stp>
        <stp>[GMIC Info Template.xlsm]Security Analysis!R20C27</stp>
        <tr r="AA20" s="13"/>
      </tp>
      <tp>
        <v>3.9600000381469727</v>
        <stp/>
        <stp>##V3_BDPV12</stp>
        <stp>JNJ US Equity</stp>
        <stp>EQY REC CONS</stp>
        <stp>[GMIC Info Template.xlsm]Security Analysis!R10C9</stp>
        <tr r="I10" s="13"/>
      </tp>
      <tp t="s">
        <v>USD</v>
        <stp/>
        <stp>##V3_BDPV12</stp>
        <stp>V US Equity</stp>
        <stp>CRNCY</stp>
        <stp>[GMIC Info Template.xlsm]Security Analysis!R22C12</stp>
        <tr r="L22" s="13"/>
      </tp>
      <tp t="s">
        <v>Mar</v>
        <stp/>
        <stp>##V3_BDPV12</stp>
        <stp>CNSTTMOM Index</stp>
        <stp>OBSERVATION PERIOD</stp>
        <stp>[GMIC Info Template.xlsm]ECO Calendar!R62C12</stp>
        <tr r="L62" s="2"/>
      </tp>
      <tp t="s">
        <v>Mar</v>
        <stp/>
        <stp>##V3_BDPV12</stp>
        <stp>NHSLTOT Index</stp>
        <stp>OBSERVATION PERIOD</stp>
        <stp>[GMIC Info Template.xlsm]ECO Calendar!R29C12</stp>
        <tr r="L29" s="2"/>
      </tp>
      <tp>
        <v>54.098412698412702</v>
        <stp/>
        <stp>##V3_BDPV12</stp>
        <stp>XOM US Equity</stp>
        <stp>INTEREST COVERAGE RATIO</stp>
        <stp>[GMIC Info Template.xlsm]Security Analysis!R8C27</stp>
        <tr r="AA8" s="13"/>
      </tp>
      <tp>
        <v>17.175973215299059</v>
        <stp/>
        <stp>##V3_BDPV12</stp>
        <stp>INTC US Equity</stp>
        <stp>LT DEBT TO TOT CAP</stp>
        <stp>[GMIC Info Template.xlsm]Security Analysis!R23C26</stp>
        <tr r="Z23" s="13"/>
      </tp>
      <tp t="s">
        <v>USD</v>
        <stp/>
        <stp>##V3_BDPV12</stp>
        <stp>HD US Equity</stp>
        <stp>CRNCY</stp>
        <stp>[GMIC Info Template.xlsm]Security Analysis!R24C12</stp>
        <tr r="L24" s="13"/>
      </tp>
      <tp t="s">
        <v>USD</v>
        <stp/>
        <stp>##V3_BDPV12</stp>
        <stp>DD US Equity</stp>
        <stp>CRNCY</stp>
        <stp>[GMIC Info Template.xlsm]Security Analysis!R34C12</stp>
        <tr r="L34" s="13"/>
      </tp>
      <tp>
        <v>34.5</v>
        <stp/>
        <stp>##V3_BDPV12</stp>
        <stp>AWH TOTL Index</stp>
        <stp>PX LAST</stp>
        <stp>[GMIC Info Template.xlsm]ECO Calendar!R80C7</stp>
        <tr r="G80" s="2"/>
      </tp>
      <tp>
        <v>5.5420600000000002</v>
        <stp/>
        <stp>##V3_BDPV12</stp>
        <stp>CAT US Equity</stp>
        <stp>SHORT INT RATIO</stp>
        <stp>[GMIC Info Template.xlsm]Security Analysis!R35C11</stp>
        <tr r="K35" s="13"/>
      </tp>
      <tp t="s">
        <v>US Employment Total in Labor Force Net Change SA</v>
        <stp/>
        <stp>##V3_BDPV12</stp>
        <stp>USEMNCHG Index</stp>
        <stp>Long Comp Name</stp>
        <stp>[GMIC Info Template.xlsm]ECO Calendar!R81C3</stp>
        <tr r="C81" s="2"/>
      </tp>
      <tp t="s">
        <v>US PPI Final Demand MoM SA</v>
        <stp/>
        <stp>##V3_BDPV12</stp>
        <stp>FDIDFDMO Index</stp>
        <stp>Long Comp Name</stp>
        <stp>[GMIC Info Template.xlsm]ECO Calendar!R98C3</stp>
        <tr r="C98" s="2"/>
      </tp>
      <tp>
        <v>2.632317</v>
        <stp/>
        <stp>##V3_BDPV12</stp>
        <stp>CVX US Equity</stp>
        <stp>SHORT INT RATIO</stp>
        <stp>[GMIC Info Template.xlsm]Security Analysis!R16C11</stp>
        <tr r="K16" s="13"/>
      </tp>
      <tp t="s">
        <v>Thousand</v>
        <stp/>
        <stp>##V3_BDPV12</stp>
        <stp>INJCJC Index</stp>
        <stp>SCALING FORMAT</stp>
        <stp>[GMIC Info Template.xlsm]ECO Calendar!R25C10</stp>
        <tr r="J25" s="2"/>
      </tp>
      <tp>
        <v>22.99407466809231</v>
        <stp/>
        <stp>##V3_BDPV12</stp>
        <stp>MSFT US Equity</stp>
        <stp>LT DEBT TO TOT EQY</stp>
        <stp>[GMIC Info Template.xlsm]Security Analysis!R9C25</stp>
        <tr r="Y9" s="13"/>
      </tp>
      <tp t="s">
        <v>US</v>
        <stp/>
        <stp>##V3_BDPV12</stp>
        <stp>AAPL US Equity</stp>
        <stp>COUNTRY</stp>
        <stp>[GMIC Info Template.xlsm]Security Analysis!R7C7</stp>
        <tr r="G7" s="13"/>
      </tp>
      <tp>
        <v>-0.1066</v>
        <stp/>
        <stp>##V3_BDPV12</stp>
        <stp>CFNAI Index</stp>
        <stp>PX LAST</stp>
        <stp>[GMIC Info Template.xlsm]ECO Calendar!R19C7</stp>
        <tr r="G19" s="2"/>
      </tp>
      <tp t="s">
        <v>Seasonally adjusted at annual rates.  The GDP personal consumption price index is the price index for personal consumption expenditures from the GDP report.  It is an inflation gauge and is basically the difference between current dollar PCE and chained dollar PCE.</v>
        <stp/>
        <stp>##V3_BDPV12</stp>
        <stp>GDPCPCEC Index</stp>
        <stp>DES NOTES</stp>
        <stp>[GMIC Info Template.xlsm]ECO Calendar!R51C21</stp>
        <tr r="U51" s="2"/>
      </tp>
      <tp t="s">
        <v>4:00:00 PM</v>
        <stp/>
        <stp>##V3_BDPV12</stp>
        <stp>FRNTTNET Index</stp>
        <stp>ECO RELEASE TIME</stp>
        <stp>[GMIC Info Template.xlsm]ECO Calendar!R109C18</stp>
        <tr r="R109" s="2"/>
      </tp>
      <tp t="s">
        <v>The underlying data is currently provided by Ward's Automotive Group.Further information on the use of auto unit sales in the preparation of PCE estimates can be found in U.S. Department of Commerce, Bureau of Economic Analysis, Personal Consumption Expenditures, Methodology Paper Series MP-6 (1990).                   SAARTOTL Index: the seasonlly adjusted annual sales of total light vehicles sold in U.S., in millions.Total sales are broken down by cars and light trucks that are manufactured in U.S., Mexico and Canada (Domestic), and those manufactured elsewhere (Imported).                                                                                                                                                                                                     These figures in SAAR index are calculated as follows: the monthly sales divided by the SAAR factors (The Seasonally Adjusted Annualized Selling Rate) provided by the Commerce Dept. The SAAR factors adjust for seasonal chan</v>
        <stp/>
        <stp>##V3_BDPV12</stp>
        <stp>SAARTOTL Index</stp>
        <stp>DES NOTES</stp>
        <stp>[GMIC Info Template.xlsm]ECO Calendar!R64C21</stp>
        <tr r="U64" s="2"/>
      </tp>
      <tp t="s">
        <v>2/28/2015</v>
        <stp/>
        <stp>##V3_BDPV12</stp>
        <stp>LEI CHNG Index</stp>
        <stp>PRIOR OBSERVATION DATE</stp>
        <stp>[GMIC Info Template.xlsm]ECO Calendar!R18C14</stp>
        <tr r="N18" s="2"/>
      </tp>
      <tp t="s">
        <v>2/28/2015</v>
        <stp/>
        <stp>##V3_BDPV12</stp>
        <stp>ADP CHNG Index</stp>
        <stp>PRIOR OBSERVATION DATE</stp>
        <stp>[GMIC Info Template.xlsm]ECO Calendar!R71C14</stp>
        <tr r="N71" s="2"/>
      </tp>
      <tp t="s">
        <v>2/28/2015</v>
        <stp/>
        <stp>##V3_BDPV12</stp>
        <stp>CPI CHNG Index</stp>
        <stp>PRIOR OBSERVATION DATE</stp>
        <stp>[GMIC Info Template.xlsm]ECO Calendar!R12C14</stp>
        <tr r="N12" s="2"/>
      </tp>
      <tp>
        <v>908</v>
        <stp/>
        <stp>##V3_BDPV12</stp>
        <stp>NHSPSTOT Index</stp>
        <stp>QUOTE PRIOR MID</stp>
        <stp>[GMIC Info Template.xlsm]ECO Calendar!R111C9</stp>
        <tr r="I111" s="2"/>
      </tp>
      <tp>
        <v>30.1587</v>
        <stp/>
        <stp>##V3_BDPV12</stp>
        <stp>NHCHSTCH Index</stp>
        <stp>RELEVANCE VALUE</stp>
        <stp>[GMIC Info Template.xlsm]ECO Calendar!R113C5</stp>
        <tr r="E113" s="2"/>
      </tp>
      <tp>
        <v>4.011501</v>
        <stp/>
        <stp>##V3_BDPV12</stp>
        <stp>MSFT US Equity</stp>
        <stp>CHG PCT 1YR</stp>
        <stp>[GMIC Info Template.xlsm]Security Analysis!R9C18</stp>
        <tr r="R9" s="13"/>
      </tp>
      <tp>
        <v>55.74</v>
        <stp/>
        <stp>##V3_BDPV12</stp>
        <stp>CLA COMDTY</stp>
        <stp>PREV CLOSE VAL</stp>
        <stp>[GMIC Info Template.xlsm]Currencies &amp; Commodities!R18C5</stp>
        <tr r="E18" s="3"/>
      </tp>
      <tp t="s">
        <v>Figures are diffusion indexes. A reading above 50 suggests expansion,           while figures below 50 suggest contraction.</v>
        <stp/>
        <stp>##V3_BDPV12</stp>
        <stp>MAPMINDX Index</stp>
        <stp>DES NOTES</stp>
        <stp>[GMIC Info Template.xlsm]ECO Calendar!R60C21</stp>
        <tr r="U60" s="2"/>
      </tp>
      <tp t="s">
        <v>As of February 1, 2014, the sub-indices for the Chicago Business Barometer are fee-liable. The headline index {CHPMINDX Index} remains free to all Bloomberg clients. To obtain a subscription to the sub-indices, please contact: MNI Subscriber Services at Tel: 212-669-6409 or clientsupport@mni-news.com. MNI Indicators at Tel: +44 (0) 207 862 7444 or Info@mni-indicators.com. The MNI Chicago Report is a monthly report that characterizes expanding or contracting US economic activity through a survey panel of purchasing/supply-chain professionals. The survey panel, primarily drawn from membership of the Institute for Supply Management-Chicago (ISM-Chicago), consists of procurement managers from service and manufacturing companies located in the Chicagoland area. The MNI Chicago Report includes the Chicago Business Barometer, seven related Business Activity Indexes (Production, New Orders, Order Backlogs, Inventories, Employment, Supplier Deliveries and Prices Paid) and three Buying Policy In</v>
        <stp/>
        <stp>##V3_BDPV12</stp>
        <stp>CHPMINDX Index</stp>
        <stp>DES NOTES</stp>
        <stp>[GMIC Info Template.xlsm]ECO Calendar!R59C21</stp>
        <tr r="U59" s="2"/>
      </tp>
      <tp>
        <v>-9.8599999999999993E-2</v>
        <stp/>
        <stp>##V3_BDPV12</stp>
        <stp>CFNAI Index</stp>
        <stp>QUOTE PRIOR MID</stp>
        <stp>[GMIC Info Template.xlsm]ECO Calendar!R19C9</stp>
        <tr r="I19" s="2"/>
      </tp>
      <tp t="s">
        <v>None</v>
        <stp/>
        <stp>##V3_BDPV12</stp>
        <stp>GDP PIQQ Index</stp>
        <stp>SCALING FORMAT</stp>
        <stp>[GMIC Info Template.xlsm]ECO Calendar!R49C10</stp>
        <tr r="J49" s="2"/>
      </tp>
      <tp>
        <v>63.45</v>
        <stp/>
        <stp>##V3_BDPV12</stp>
        <stp>COA COMDTY</stp>
        <stp>PREV CLOSE VAL</stp>
        <stp>[GMIC Info Template.xlsm]Currencies &amp; Commodities!R19C5</stp>
        <tr r="E19" s="3"/>
      </tp>
      <tp t="s">
        <v>12/31/2014</v>
        <stp/>
        <stp>##V3_BDPV12</stp>
        <stp>GDPCTOT% Index</stp>
        <stp>PRIOR OBSERVATION DATE</stp>
        <stp>[GMIC Info Template.xlsm]ECO Calendar!R50C14</stp>
        <tr r="N50" s="2"/>
      </tp>
      <tp t="s">
        <v>None</v>
        <stp/>
        <stp>##V3_BDPV12</stp>
        <stp>GDP CQOQ Index</stp>
        <stp>SCALING FORMAT</stp>
        <stp>[GMIC Info Template.xlsm]ECO Calendar!R48C10</stp>
        <tr r="J48" s="2"/>
      </tp>
      <tp t="s">
        <v>US</v>
        <stp/>
        <stp>##V3_BDPV12</stp>
        <stp>MSFT US Equity</stp>
        <stp>CNTRY OF RISK</stp>
        <stp>[GMIC Info Template.xlsm]Security Analysis!R9C8</stp>
        <tr r="H9" s="13"/>
      </tp>
      <tp t="s">
        <v>#N/A Field Not Applicable</v>
        <stp/>
        <stp>##V3_BDPV12</stp>
        <stp>NFP TMOM Index</stp>
        <stp>RELEVANCE VALUE</stp>
        <stp>[GMIC Info Template.xlsm]ECO Calendar!R120C19</stp>
        <tr r="S120" s="2"/>
      </tp>
      <tp t="s">
        <v>US Employees on Nonfarm Payrolls Total SA MoM% Change</v>
        <stp/>
        <stp>##V3_BDPV12</stp>
        <stp>NFP TMOM Index</stp>
        <stp>Long Comp Name</stp>
        <stp>[GMIC Info Template.xlsm]ECO Calendar!R120C3</stp>
        <tr r="C120" s="2"/>
      </tp>
      <tp>
        <v>-15.3</v>
        <stp/>
        <stp>##V3_BDPV12</stp>
        <stp>NHCHSTCH Index</stp>
        <stp>QUOTE PRIOR MID</stp>
        <stp>[GMIC Info Template.xlsm]ECO Calendar!R113C9</stp>
        <tr r="I113" s="2"/>
      </tp>
      <tp>
        <v>89.682500000000005</v>
        <stp/>
        <stp>##V3_BDPV12</stp>
        <stp>NHSPSTOT Index</stp>
        <stp>RELEVANCE VALUE</stp>
        <stp>[GMIC Info Template.xlsm]ECO Calendar!R111C5</stp>
        <tr r="E111" s="2"/>
      </tp>
      <tp>
        <v>118.91</v>
        <stp/>
        <stp>##V3_BDPV12</stp>
        <stp>USDJPY CURNCY</stp>
        <stp>PREV CLOSE VAL</stp>
        <stp>[GMIC Info Template.xlsm]Currencies &amp; Commodities!R8C5</stp>
        <tr r="E8" s="3"/>
      </tp>
      <tp t="s">
        <v>2/28/2015</v>
        <stp/>
        <stp>##V3_BDPV12</stp>
        <stp>RSTAXAG% Index</stp>
        <stp>PRIOR OBSERVATION DATE</stp>
        <stp>[GMIC Info Template.xlsm]ECO Calendar!R95C14</stp>
        <tr r="N95" s="2"/>
      </tp>
      <tp>
        <v>1204.22</v>
        <stp/>
        <stp>##V3_BDPV12</stp>
        <stp>XAU CURNCY</stp>
        <stp>PREV CLOSE VAL</stp>
        <stp>[GMIC Info Template.xlsm]Currencies &amp; Commodities!R20C5</stp>
        <tr r="E20" s="3"/>
      </tp>
      <tp>
        <v>76.1905</v>
        <stp/>
        <stp>##V3_BDPV12</stp>
        <stp>FDDSSD Index</stp>
        <stp>RELEVANCE VALUE</stp>
        <stp>[GMIC Info Template.xlsm]ECO Calendar!R89C5</stp>
        <tr r="E89" s="2"/>
      </tp>
      <tp>
        <v>16.098022284948737</v>
        <stp/>
        <stp>##V3_BDPV12</stp>
        <stp>CSCO US Equity</stp>
        <stp>PE RATIO</stp>
        <stp>[GMIC Info Template.xlsm]Security Analysis!R25C19</stp>
        <tr r="S25" s="13"/>
      </tp>
      <tp>
        <v>34.810522266038276</v>
        <stp/>
        <stp>##V3_BDPV12</stp>
        <stp>HD US Equity</stp>
        <stp>GROSS MARGIN</stp>
        <stp>[GMIC Info Template.xlsm]Security Analysis!R24C21</stp>
        <tr r="U24" s="13"/>
      </tp>
      <tp t="s">
        <v>#N/A Field Not Applicable</v>
        <stp/>
        <stp>##V3_BDPV12</stp>
        <stp>INJCJCNS Index</stp>
        <stp>RELEVANCE VALUE</stp>
        <stp>[GMIC Info Template.xlsm]ECO Calendar!R117C19</stp>
        <tr r="S117" s="2"/>
      </tp>
      <tp>
        <v>246772</v>
        <stp/>
        <stp>##V3_BDPV12</stp>
        <stp>XPLR US EQUITY</stp>
        <stp>PX VOLUME</stp>
        <stp>[GMIC Info Template.xlsm]Most Up &amp; Down!R29C14</stp>
        <tr r="N29" s="9"/>
      </tp>
      <tp>
        <v>202416</v>
        <stp/>
        <stp>##V3_BDPV12</stp>
        <stp>XBIT US EQUITY</stp>
        <stp>PX VOLUME</stp>
        <stp>[GMIC Info Template.xlsm]Most Up &amp; Down!R17C14</stp>
        <tr r="N17" s="9"/>
      </tp>
      <tp t="s">
        <v>Feb</v>
        <stp/>
        <stp>##V3_BDPV12</stp>
        <stp>SPCS20 Index</stp>
        <stp>OBSERVATION PERIOD</stp>
        <stp>[GMIC Info Template.xlsm]ECO Calendar!R38C12</stp>
        <tr r="L38" s="2"/>
      </tp>
      <tp t="s">
        <v>#N/A Field Not Applicable</v>
        <stp/>
        <stp>##V3_BDPV12</stp>
        <stp>NFP TMOM Index</stp>
        <stp>RELEVANCE VALUE</stp>
        <stp>[GMIC Info Template.xlsm]ECO Calendar!R120C5</stp>
        <tr r="E120" s="2"/>
      </tp>
      <tp>
        <v>52</v>
        <stp/>
        <stp>##V3_BDPV12</stp>
        <stp>USHBMIDX Index</stp>
        <stp>QUOTE PRIOR MID</stp>
        <stp>[GMIC Info Template.xlsm]ECO Calendar!R110C9</stp>
        <tr r="I110" s="2"/>
      </tp>
      <tp>
        <v>74.603200000000001</v>
        <stp/>
        <stp>##V3_BDPV12</stp>
        <stp>FRNTTOTL Index</stp>
        <stp>RELEVANCE VALUE</stp>
        <stp>[GMIC Info Template.xlsm]ECO Calendar!R108C5</stp>
        <tr r="E108" s="2"/>
      </tp>
      <tp>
        <v>25.421210829983991</v>
        <stp/>
        <stp>##V3_BDPV12</stp>
        <stp>MSFT US Equity</stp>
        <stp>PROF MARGIN</stp>
        <stp>[GMIC Info Template.xlsm]Security Analysis!R9C24</stp>
        <tr r="X9" s="13"/>
      </tp>
      <tp t="s">
        <v>12/31/2014</v>
        <stp/>
        <stp>##V3_BDPV12</stp>
        <stp>PCE CHNC Index</stp>
        <stp>PRIOR OBSERVATION DATE</stp>
        <stp>[GMIC Info Template.xlsm]ECO Calendar!R58C14</stp>
        <tr r="N58" s="2"/>
      </tp>
      <tp>
        <v>98.412700000000001</v>
        <stp/>
        <stp>##V3_BDPV12</stp>
        <stp>INJCJC Index</stp>
        <stp>RELEVANCE VALUE</stp>
        <stp>[GMIC Info Template.xlsm]ECO Calendar!R25C5</stp>
        <tr r="E25" s="2"/>
      </tp>
      <tp t="s">
        <v>#N/A Field Not Applicable</v>
        <stp/>
        <stp>##V3_BDPV12</stp>
        <stp>NFP T Index</stp>
        <stp>RELEVANCE VALUE</stp>
        <stp>[GMIC Info Template.xlsm]ECO Calendar!R118C19</stp>
        <tr r="S118" s="2"/>
      </tp>
      <tp>
        <v>1.0502</v>
        <stp/>
        <stp>##V3_BDPV12</stp>
        <stp>CHFUSD CURNCY</stp>
        <stp>PREV CLOSE VAL</stp>
        <stp>[GMIC Info Template.xlsm]Currencies &amp; Commodities!R13C5</stp>
        <tr r="E13" s="3"/>
      </tp>
      <tp t="s">
        <v>Total unemployed, plus all marginally attached workers, plus total employed part time for economic reasons, as a percent of the civilian labor force plus all marginally attached workers. Marginally attached workers are persons who currently are neither working nor looking for work but indicate that they want and are available for a job and have looked for work sometime in the recent past. Discouraged workers, a subset of the marginally attached, have given a job-market related reason for not currently looking for a job. Persons employed part time for economic reasons are those who want and are available for full-time work but have had to settle for a part-time schedule.</v>
        <stp/>
        <stp>##V3_BDPV12</stp>
        <stp>USUDMAER Index</stp>
        <stp>DES NOTES</stp>
        <stp>[GMIC Info Template.xlsm]ECO Calendar!R82C21</stp>
        <tr r="U82" s="2"/>
      </tp>
      <tp t="s">
        <v>#N/A Field Not Applicable</v>
        <stp/>
        <stp>##V3_BDPV12</stp>
        <stp>SPCS20SM Index</stp>
        <stp>DES NOTES</stp>
        <stp>[GMIC Info Template.xlsm]ECO Calendar!R42C21</stp>
        <tr r="U42" s="2"/>
      </tp>
      <tp t="s">
        <v>#N/A Field Not Applicable</v>
        <stp/>
        <stp>##V3_BDPV12</stp>
        <stp>FDIUFDYO Index</stp>
        <stp>DES NOTES</stp>
        <stp>[GMIC Info Template.xlsm]ECO Calendar!R99C21</stp>
        <tr r="U99" s="2"/>
      </tp>
      <tp t="s">
        <v>US CPI Urban Consumers YoY NSA</v>
        <stp/>
        <stp>##V3_BDPV12</stp>
        <stp>CPI YOY Index</stp>
        <stp>NAME</stp>
        <stp>[GMIC Info Template.xlsm]ECO Calendar!R14C6</stp>
        <tr r="F14" s="2"/>
      </tp>
      <tp t="s">
        <v>US Employees on Nonfarm Payrol</v>
        <stp/>
        <stp>##V3_BDPV12</stp>
        <stp>NFP TCH Index</stp>
        <stp>NAME</stp>
        <stp>[GMIC Info Template.xlsm]ECO Calendar!R74C6</stp>
        <tr r="F74" s="2"/>
      </tp>
      <tp t="s">
        <v>YoY% SA</v>
        <stp/>
        <stp>##V3_BDPV12</stp>
        <stp>PCE DEFY Index</stp>
        <stp>SEASONALITY AND TRANSFORMATION</stp>
        <stp>[GMIC Info Template.xlsm]ECO Calendar!R56C11</stp>
        <tr r="K56" s="2"/>
      </tp>
      <tp t="s">
        <v>YoY% SA</v>
        <stp/>
        <stp>##V3_BDPV12</stp>
        <stp>PCE CYOY Index</stp>
        <stp>SEASONALITY AND TRANSFORMATION</stp>
        <stp>[GMIC Info Template.xlsm]ECO Calendar!R55C11</stp>
        <tr r="K55" s="2"/>
      </tp>
      <tp>
        <v>67.460300000000004</v>
        <stp/>
        <stp>##V3_BDPV12</stp>
        <stp>FRNTTNET Index</stp>
        <stp>RELEVANCE VALUE</stp>
        <stp>[GMIC Info Template.xlsm]ECO Calendar!R109C5</stp>
        <tr r="E109" s="2"/>
      </tp>
      <tp t="s">
        <v>#N/A Field Not Applicable</v>
        <stp/>
        <stp>##V3_BDPV12</stp>
        <stp>NFP TYOY Index</stp>
        <stp>RELEVANCE VALUE</stp>
        <stp>[GMIC Info Template.xlsm]ECO Calendar!R121C5</stp>
        <tr r="E121" s="2"/>
      </tp>
      <tp t="s">
        <v>YoY% NSA</v>
        <stp/>
        <stp>##V3_BDPV12</stp>
        <stp>CPI XYOY Index</stp>
        <stp>SEASONALITY AND TRANSFORMATION</stp>
        <stp>[GMIC Info Template.xlsm]ECO Calendar!R15C11</stp>
        <tr r="K15" s="2"/>
      </tp>
      <tp>
        <v>82.539699999999996</v>
        <stp/>
        <stp>##V3_BDPV12</stp>
        <stp>EMPRGBCI Index</stp>
        <stp>RELEVANCE VALUE</stp>
        <stp>[GMIC Info Template.xlsm]ECO Calendar!R107C19</stp>
        <tr r="S107" s="2"/>
      </tp>
      <tp t="s">
        <v>United States</v>
        <stp/>
        <stp>##V3_BDPV12</stp>
        <stp>NFP T Index</stp>
        <stp>REGION OR COUNTRY</stp>
        <stp>[GMIC Info Template.xlsm]ECO Calendar!R118C20</stp>
        <tr r="T118" s="2"/>
      </tp>
      <tp t="s">
        <v>None</v>
        <stp/>
        <stp>##V3_BDPV12</stp>
        <stp>SPCS20Y% Index</stp>
        <stp>SCALING FORMAT</stp>
        <stp>[GMIC Info Template.xlsm]ECO Calendar!R39C10</stp>
        <tr r="J39" s="2"/>
      </tp>
      <tp t="s">
        <v>Adjusted for seasonal variation, for holiday and trading day differences, but not for price changes.</v>
        <stp/>
        <stp>##V3_BDPV12</stp>
        <stp>RSTAXAG% Index</stp>
        <stp>DES NOTES</stp>
        <stp>[GMIC Info Template.xlsm]ECO Calendar!R95C21</stp>
        <tr r="U95" s="2"/>
      </tp>
      <tp t="s">
        <v>Adjusted for seasonal variation, for holiday and trading day differences, but not for price changes.</v>
        <stp/>
        <stp>##V3_BDPV12</stp>
        <stp>RSTAXAGM Index</stp>
        <stp>DES NOTES</stp>
        <stp>[GMIC Info Template.xlsm]ECO Calendar!R96C21</stp>
        <tr r="U96" s="2"/>
      </tp>
      <tp t="s">
        <v>Base year 1982-84=100.  Special indices category.</v>
        <stp/>
        <stp>##V3_BDPV12</stp>
        <stp>CPUPAXFE Index</stp>
        <stp>DES NOTES</stp>
        <stp>[GMIC Info Template.xlsm]ECO Calendar!R16C21</stp>
        <tr r="U16" s="2"/>
      </tp>
      <tp t="s">
        <v>#N/A N/A</v>
        <stp/>
        <stp>##V3_BDPV12</stp>
        <stp>AXP US Equity</stp>
        <stp>GROSS MARGIN</stp>
        <stp>[GMIC Info Template.xlsm]Security Analysis!R33C21</stp>
        <tr r="U33" s="13"/>
      </tp>
      <tp t="s">
        <v>US Employees on Nonfarm Payrol</v>
        <stp/>
        <stp>##V3_BDPV12</stp>
        <stp>NFP PCH Index</stp>
        <stp>NAME</stp>
        <stp>[GMIC Info Template.xlsm]ECO Calendar!R77C6</stp>
        <tr r="F77" s="2"/>
      </tp>
      <tp>
        <v>2.6340699999999999</v>
        <stp/>
        <stp>##V3_BDPV12</stp>
        <stp>MSFT US Equity</stp>
        <stp>TRAIL 12M EPS</stp>
        <stp>[GMIC Info Template.xlsm]Security Analysis!R9C14</stp>
        <tr r="N9" s="13"/>
      </tp>
      <tp>
        <v>-27.367000000000001</v>
        <stp/>
        <stp>##V3_BDPV12</stp>
        <stp>FRNTTOTL Index</stp>
        <stp>QUOTE PRIOR MID</stp>
        <stp>[GMIC Info Template.xlsm]ECO Calendar!R108C9</stp>
        <tr r="I108" s="2"/>
      </tp>
      <tp t="s">
        <v>None</v>
        <stp/>
        <stp>##V3_BDPV12</stp>
        <stp>IMP1CHNG Index</stp>
        <stp>SCALING FORMAT</stp>
        <stp>[GMIC Info Template.xlsm]ECO Calendar!R91C10</stp>
        <tr r="J91" s="2"/>
      </tp>
      <tp>
        <v>47.619</v>
        <stp/>
        <stp>##V3_BDPV12</stp>
        <stp>USHBMIDX Index</stp>
        <stp>RELEVANCE VALUE</stp>
        <stp>[GMIC Info Template.xlsm]ECO Calendar!R110C5</stp>
        <tr r="E110" s="2"/>
      </tp>
      <tp t="s">
        <v>5/22/2015</v>
        <stp/>
        <stp>##V3_BDPV12</stp>
        <stp>CPI XYOY Index</stp>
        <stp>ECO RELEASE DT</stp>
        <stp>[GMIC Info Template.xlsm]ECO Calendar!R15C16</stp>
        <tr r="P15" s="2"/>
      </tp>
      <tp t="s">
        <v>4/30/2015</v>
        <stp/>
        <stp>##V3_BDPV12</stp>
        <stp>PCE DEFY Index</stp>
        <stp>ECO RELEASE DT</stp>
        <stp>[GMIC Info Template.xlsm]ECO Calendar!R56C16</stp>
        <tr r="P56" s="2"/>
      </tp>
      <tp>
        <v>0.19</v>
        <stp/>
        <stp>##V3_BDPV12</stp>
        <stp>NFP TMOM Index</stp>
        <stp>QUOTE PRIOR MID</stp>
        <stp>[GMIC Info Template.xlsm]ECO Calendar!R120C9</stp>
        <tr r="I120" s="2"/>
      </tp>
      <tp>
        <v>31.968260914629234</v>
        <stp/>
        <stp>##V3_BDPV12</stp>
        <stp>MSFT US Equity</stp>
        <stp>OPER MARGIN</stp>
        <stp>[GMIC Info Template.xlsm]Security Analysis!R9C23</stp>
        <tr r="W9" s="13"/>
      </tp>
      <tp t="s">
        <v>4/30/2015</v>
        <stp/>
        <stp>##V3_BDPV12</stp>
        <stp>PCE CYOY Index</stp>
        <stp>ECO RELEASE DT</stp>
        <stp>[GMIC Info Template.xlsm]ECO Calendar!R55C16</stp>
        <tr r="P55" s="2"/>
      </tp>
      <tp>
        <v>61.10917865994174</v>
        <stp/>
        <stp>##V3_BDPV12</stp>
        <stp>KO US Equity</stp>
        <stp>GROSS MARGIN</stp>
        <stp>[GMIC Info Template.xlsm]Security Analysis!R19C21</stp>
        <tr r="U19" s="13"/>
      </tp>
      <tp>
        <v>6.4358458887465204</v>
        <stp/>
        <stp>##V3_BDPV12</stp>
        <stp>XOM US Equity</stp>
        <stp>LT DEBT TO TOT EQY</stp>
        <stp>[GMIC Info Template.xlsm]Security Analysis!R8C25</stp>
        <tr r="Y8" s="13"/>
      </tp>
      <tp t="s">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stp/>
        <stp>##V3_BDPV12</stp>
        <stp>SPCSUSQS Index</stp>
        <stp>DES NOTES</stp>
        <stp>[GMIC Info Template.xlsm]ECO Calendar!R43C21</stp>
        <tr r="U43" s="2"/>
      </tp>
      <tp t="s">
        <v>10:00:00 AM</v>
        <stp/>
        <stp>##V3_BDPV12</stp>
        <stp>USHBMIDX Index</stp>
        <stp>ECO RELEASE TIME</stp>
        <stp>[GMIC Info Template.xlsm]ECO Calendar!R110C18</stp>
        <tr r="R110" s="2"/>
      </tp>
      <tp>
        <v>50.962000000000003</v>
        <stp/>
        <stp>##V3_BDPV12</stp>
        <stp>FRNTTNET Index</stp>
        <stp>QUOTE PRIOR MID</stp>
        <stp>[GMIC Info Template.xlsm]ECO Calendar!R109C9</stp>
        <tr r="I109" s="2"/>
      </tp>
      <tp>
        <v>2.34</v>
        <stp/>
        <stp>##V3_BDPV12</stp>
        <stp>NFP TYOY Index</stp>
        <stp>QUOTE PRIOR MID</stp>
        <stp>[GMIC Info Template.xlsm]ECO Calendar!R121C9</stp>
        <tr r="I121" s="2"/>
      </tp>
      <tp>
        <v>2308</v>
        <stp/>
        <stp>##V3_BDPV12</stp>
        <stp>INJCSP Index</stp>
        <stp>QUOTE PRIOR MID</stp>
        <stp>[GMIC Info Template.xlsm]ECO Calendar!R26C9</stp>
        <tr r="I26" s="2"/>
      </tp>
      <tp>
        <v>37.496760072574375</v>
        <stp/>
        <stp>##V3_BDPV12</stp>
        <stp>DD US Equity</stp>
        <stp>GROSS MARGIN</stp>
        <stp>[GMIC Info Template.xlsm]Security Analysis!R34C21</stp>
        <tr r="U34" s="13"/>
      </tp>
      <tp>
        <v>2874873</v>
        <stp/>
        <stp>##V3_BDPV12</stp>
        <stp>TROV US EQUITY</stp>
        <stp>PX VOLUME</stp>
        <stp>[GMIC Info Template.xlsm]Most Up &amp; Down!R14C14</stp>
        <tr r="N14" s="9"/>
      </tp>
      <tp>
        <v>19.74026504678498</v>
        <stp/>
        <stp>##V3_BDPV12</stp>
        <stp>AAPL US Equity</stp>
        <stp>LT DEBT TO TOT CAP</stp>
        <stp>[GMIC Info Template.xlsm]Security Analysis!R7C26</stp>
        <tr r="Z7" s="13"/>
      </tp>
      <tp t="s">
        <v>9:15:00 AM</v>
        <stp/>
        <stp>##V3_BDPV12</stp>
        <stp>IPMGCHNG Index</stp>
        <stp>ECO RELEASE TIME</stp>
        <stp>[GMIC Info Template.xlsm]ECO Calendar!R106C18</stp>
        <tr r="R106" s="2"/>
      </tp>
      <tp t="s">
        <v>Figures from Jan. 1992 to present have been revised using the North American Industry Classification System (NAICS).  Data prior to Jan. 1992 uses the Standard Industrial Classification.  The NAICS figures make statistics comparable across North America and recognizes the changing makeup of the U.S. economy.  Comparison of figures prior to 1992 with those after 1992 should be made with caution.  Wholesale Trade includes establishments promarily engaged in selling merchandise to retailers: to industrial, commercial institional, farm or professional bsiness users; or to other wholesalers; or acting as agents or brokers in buying merchandise for or selling merchandise to such persons or companies.                 In 2001, figures from January 1992 to present were revised using the North American Industry Classification System (NAICS). For old data series, containing data prior to 1992, please see {MWOSSCHG Index DES&lt;GO&gt;}.</v>
        <stp/>
        <stp>##V3_BDPV12</stp>
        <stp>MWSLCHNG Index</stp>
        <stp>DES NOTES</stp>
        <stp>[GMIC Info Template.xlsm]ECO Calendar!R86C21</stp>
        <tr r="U86" s="2"/>
      </tp>
      <tp t="s">
        <v>As per the U.S. Commerce Departments Bureau of the Census, Median Sales and Average Sales for New One-Family Houses in dollars, as well as housing units sold and units for sale at the end of period are provided at ALLX NHSL &lt;GO&gt; for US totals as well as broken down into regions Northeast, Midwest, South and West.</v>
        <stp/>
        <stp>##V3_BDPV12</stp>
        <stp>NHSLCHNG Index</stp>
        <stp>DES NOTES</stp>
        <stp>[GMIC Info Template.xlsm]ECO Calendar!R30C21</stp>
        <tr r="U30" s="2"/>
      </tp>
      <tp t="s">
        <v>Base year 1982-84=100.  Special indices category.</v>
        <stp/>
        <stp>##V3_BDPV12</stp>
        <stp>CPUPXCHG Index</stp>
        <stp>DES NOTES</stp>
        <stp>[GMIC Info Template.xlsm]ECO Calendar!R13C21</stp>
        <tr r="U13" s="2"/>
      </tp>
      <tp>
        <v>13.626578197474881</v>
        <stp/>
        <stp>##V3_BDPV12</stp>
        <stp>CVX US Equity</stp>
        <stp>GROSS MARGIN</stp>
        <stp>[GMIC Info Template.xlsm]Security Analysis!R16C21</stp>
        <tr r="U16" s="13"/>
      </tp>
      <tp>
        <v>0.1</v>
        <stp/>
        <stp>##V3_BDPV12</stp>
        <stp>IP CHNG Index</stp>
        <stp>QUOTE PRIOR MID</stp>
        <stp>[GMIC Info Template.xlsm]ECO Calendar!R104C9</stp>
        <tr r="I104" s="2"/>
      </tp>
      <tp>
        <v>21.614376760852323</v>
        <stp/>
        <stp>##V3_BDPV12</stp>
        <stp>AAPL US Equity</stp>
        <stp>PROF MARGIN</stp>
        <stp>[GMIC Info Template.xlsm]Security Analysis!R7C24</stp>
        <tr r="X7" s="13"/>
      </tp>
      <tp>
        <v>5.5555599999999998</v>
        <stp/>
        <stp>##V3_BDPV12</stp>
        <stp>FDIUSGUY Index</stp>
        <stp>RELEVANCE VALUE</stp>
        <stp>[GMIC Info Template.xlsm]ECO Calendar!R103C5</stp>
        <tr r="E103" s="2"/>
      </tp>
      <tp t="s">
        <v>US</v>
        <stp/>
        <stp>##V3_BDPV12</stp>
        <stp>INTC US Equity</stp>
        <stp>CNTRY OF RISK</stp>
        <stp>[GMIC Info Template.xlsm]Security Analysis!R23C8</stp>
        <tr r="H23" s="13"/>
      </tp>
      <tp>
        <v>1</v>
        <stp/>
        <stp>##V3_BDPV12</stp>
        <stp>FDIUSGYO Index</stp>
        <stp>QUOTE PRIOR MID</stp>
        <stp>[GMIC Info Template.xlsm]ECO Calendar!R101C9</stp>
        <tr r="I101" s="2"/>
      </tp>
      <tp t="s">
        <v>4/28/2015</v>
        <stp/>
        <stp>##V3_BDPV12</stp>
        <stp>SPCS20Y% Index</stp>
        <stp>ECO RELEASE DT</stp>
        <stp>[GMIC Info Template.xlsm]ECO Calendar!R39C16</stp>
        <tr r="P39" s="2"/>
      </tp>
      <tp t="s">
        <v>#N/A Field Not Applicable</v>
        <stp/>
        <stp>##V3_BDPV12</stp>
        <stp>AWH TOTL Index</stp>
        <stp>DES NOTES</stp>
        <stp>[GMIC Info Template.xlsm]ECO Calendar!R80C21</stp>
        <tr r="U80" s="2"/>
      </tp>
      <tp t="s">
        <v>Please note that this sector represents earnings of all workers; for the average hourly earnings of production or nonsupervisory workers on private non-farm payrolls by industry; please use ALLX USHE, which is BLS' older series that contains further historical data.</v>
        <stp/>
        <stp>##V3_BDPV12</stp>
        <stp>AHE YOY% Index</stp>
        <stp>DES NOTES</stp>
        <stp>[GMIC Info Template.xlsm]ECO Calendar!R79C21</stp>
        <tr r="U79" s="2"/>
      </tp>
      <tp t="s">
        <v>This release is frequently released early. It can come out as early as 9:55am EST. The official release time is 10:00.                                          Base year 1966=100.  A survey of consumer attitudes concerning both the present situation as well as expectations regarding economic conditions conducted by the University of Michigan. For the preliminary release approximately three hundred consumers are surveyed while five hundred are interviewed for the final figure. The level of consumer sentiment is related to the strength of consumer spending. Please note that this report is released twice per month. The first is a preliminary figure while the second is the final (revised) figure. HP only shows the final values for previous months while ECO &lt;GO&gt; includes every release.  This may account for discrepancies between the 'Prior' column and HP.</v>
        <stp/>
        <stp>##V3_BDPV12</stp>
        <stp>CONSCURR Index</stp>
        <stp>DES NOTES</stp>
        <stp>[GMIC Info Template.xlsm]ECO Calendar!R11C21</stp>
        <tr r="U11" s="2"/>
      </tp>
      <tp t="s">
        <v>Value of new construction put in place in the US, adjusted at annual rates. Non-seasonally adjusted figures can be found under {ALLX CNNS &lt;Go&gt;}.</v>
        <stp/>
        <stp>##V3_BDPV12</stp>
        <stp>CNSTTMOM Index</stp>
        <stp>DES NOTES</stp>
        <stp>[GMIC Info Template.xlsm]ECO Calendar!R62C21</stp>
        <tr r="U62" s="2"/>
      </tp>
      <tp t="s">
        <v>None</v>
        <stp/>
        <stp>##V3_BDPV12</stp>
        <stp>CPI XYOY Index</stp>
        <stp>SCALING FORMAT</stp>
        <stp>[GMIC Info Template.xlsm]ECO Calendar!R15C10</stp>
        <tr r="J15" s="2"/>
      </tp>
      <tp t="s">
        <v>5/13/2015</v>
        <stp/>
        <stp>##V3_BDPV12</stp>
        <stp>IMP1CHNG Index</stp>
        <stp>ECO RELEASE DT</stp>
        <stp>[GMIC Info Template.xlsm]ECO Calendar!R91C16</stp>
        <tr r="P91" s="2"/>
      </tp>
      <tp t="s">
        <v>None</v>
        <stp/>
        <stp>##V3_BDPV12</stp>
        <stp>PCE CYOY Index</stp>
        <stp>SCALING FORMAT</stp>
        <stp>[GMIC Info Template.xlsm]ECO Calendar!R55C10</stp>
        <tr r="J55" s="2"/>
      </tp>
      <tp>
        <v>7.1428599999999998</v>
        <stp/>
        <stp>##V3_BDPV12</stp>
        <stp>FDIDSGUM Index</stp>
        <stp>RELEVANCE VALUE</stp>
        <stp>[GMIC Info Template.xlsm]ECO Calendar!R102C5</stp>
        <tr r="E102" s="2"/>
      </tp>
      <tp t="s">
        <v>None</v>
        <stp/>
        <stp>##V3_BDPV12</stp>
        <stp>PCE DEFY Index</stp>
        <stp>SCALING FORMAT</stp>
        <stp>[GMIC Info Template.xlsm]ECO Calendar!R56C10</stp>
        <tr r="J56" s="2"/>
      </tp>
      <tp>
        <v>-0.5</v>
        <stp/>
        <stp>##V3_BDPV12</stp>
        <stp>FDIDSGMO Index</stp>
        <stp>QUOTE PRIOR MID</stp>
        <stp>[GMIC Info Template.xlsm]ECO Calendar!R100C9</stp>
        <tr r="I100" s="2"/>
      </tp>
      <tp>
        <v>2268</v>
        <stp/>
        <stp>##V3_BDPV12</stp>
        <stp>INJCSP Index</stp>
        <stp>PX LAST</stp>
        <stp>[GMIC Info Template.xlsm]ECO Calendar!R26C7</stp>
        <tr r="G26" s="2"/>
      </tp>
      <tp t="s">
        <v>None</v>
        <stp/>
        <stp>##V3_BDPV12</stp>
        <stp>CONSPXMD Index</stp>
        <stp>SCALING FORMAT</stp>
        <stp>[GMIC Info Template.xlsm]ECO Calendar!R9C10</stp>
        <tr r="J9" s="2"/>
      </tp>
      <tp t="s">
        <v>None</v>
        <stp/>
        <stp>##V3_BDPV12</stp>
        <stp>CONSP5MD Index</stp>
        <stp>SCALING FORMAT</stp>
        <stp>[GMIC Info Template.xlsm]ECO Calendar!R8C10</stp>
        <tr r="J8" s="2"/>
      </tp>
      <tp>
        <v>68.254000000000005</v>
        <stp/>
        <stp>##V3_BDPV12</stp>
        <stp>FDIUSGYO Index</stp>
        <stp>RELEVANCE VALUE</stp>
        <stp>[GMIC Info Template.xlsm]ECO Calendar!R101C19</stp>
        <tr r="S101" s="2"/>
      </tp>
      <tp t="s">
        <v>YoY% NSA</v>
        <stp/>
        <stp>##V3_BDPV12</stp>
        <stp>SPCS20Y% Index</stp>
        <stp>SEASONALITY AND TRANSFORMATION</stp>
        <stp>[GMIC Info Template.xlsm]ECO Calendar!R39C11</stp>
        <tr r="K39" s="2"/>
      </tp>
      <tp>
        <v>5.5555599999999998</v>
        <stp/>
        <stp>##V3_BDPV12</stp>
        <stp>FDIUSGUY Index</stp>
        <stp>RELEVANCE VALUE</stp>
        <stp>[GMIC Info Template.xlsm]ECO Calendar!R103C19</stp>
        <tr r="S103" s="2"/>
      </tp>
      <tp>
        <v>7.1428599999999998</v>
        <stp/>
        <stp>##V3_BDPV12</stp>
        <stp>FDIDSGUM Index</stp>
        <stp>RELEVANCE VALUE</stp>
        <stp>[GMIC Info Template.xlsm]ECO Calendar!R102C19</stp>
        <tr r="S102" s="2"/>
      </tp>
      <tp>
        <v>69.047600000000003</v>
        <stp/>
        <stp>##V3_BDPV12</stp>
        <stp>FDIDSGMO Index</stp>
        <stp>RELEVANCE VALUE</stp>
        <stp>[GMIC Info Template.xlsm]ECO Calendar!R100C19</stp>
        <tr r="S100" s="2"/>
      </tp>
      <tp>
        <v>2268852</v>
        <stp/>
        <stp>##V3_BDPV12</stp>
        <stp>VPCO US EQUITY</stp>
        <stp>PX VOLUME</stp>
        <stp>[GMIC Info Template.xlsm]Most Up &amp; Down!R12C14</stp>
        <tr r="N12" s="9"/>
      </tp>
      <tp t="s">
        <v>GDP equals the total income of everyone in the economy or the total expenditure on the economy's goods and services.  GDP includes only the value of final goods and services.  Chain weighted (Real) GDP measures the value of goods and services at constant dollar prices.  The base year changes continuously over time.  For example, 1995 prices measure real growth from 1995-1996.  The figures are then linked to form a 'chain' that can compare goods and services in any two years.  Chain weighted figures never let prices get too far out of date. The GDP data is released with an Advanced Release, then a Second Release, followed  by the Third Release.                                                                     History is stored independently for quarterly and yearly frequencies.           HP values for these frequencies may not match each other. Note that when only one frequency is stored in history, for the other frequencies, history is derived from that of the stored frequency.  For</v>
        <stp/>
        <stp>##V3_BDPV12</stp>
        <stp>GDP CQOQ Index</stp>
        <stp>DES NOTES</stp>
        <stp>[GMIC Info Template.xlsm]ECO Calendar!R48C21</stp>
        <tr r="U48" s="2"/>
      </tp>
      <tp t="s">
        <v>The pending home sales index (PHSI) tracks the number of home resales under contract.  The majority of pending home sales become existing homes sales one or two months later and therefore, this index can be used to predict actual home sales activity.</v>
        <stp/>
        <stp>##V3_BDPV12</stp>
        <stp>USPHTMOM Index</stp>
        <stp>DES NOTES</stp>
        <stp>[GMIC Info Template.xlsm]ECO Calendar!R46C21</stp>
        <tr r="U46" s="2"/>
      </tp>
      <tp t="s">
        <v>#N/A N/A</v>
        <stp/>
        <stp>##V3_BDPV12</stp>
        <stp>CONSPXMD Index</stp>
        <stp>BN SURVEY MEDIAN</stp>
        <stp>[GMIC Info Template.xlsm]ECO Calendar!R9C8</stp>
        <tr r="H9" s="2"/>
      </tp>
      <tp>
        <v>27.116743471582183</v>
        <stp/>
        <stp>##V3_BDPV12</stp>
        <stp>UTX US Equity</stp>
        <stp>GROSS MARGIN</stp>
        <stp>[GMIC Info Template.xlsm]Security Analysis!R28C21</stp>
        <tr r="U28" s="13"/>
      </tp>
      <tp t="s">
        <v>#N/A Field Not Applicable</v>
        <stp/>
        <stp>##V3_BDPV12</stp>
        <stp>CONCCYOY Index</stp>
        <stp>ECO RELEASE TIME</stp>
        <stp>[GMIC Info Template.xlsm]ECO Calendar!R122C18</stp>
        <tr r="R122" s="2"/>
      </tp>
      <tp t="s">
        <v>The pending home sales index (PHSI) tracks the number of home resales under contract.  The majority of pending home sales become existing homes sales one or two months later and therefore, this index can be used to predict actual home sales activity.                                                                      Total NSA year-over-year percent change.</v>
        <stp/>
        <stp>##V3_BDPV12</stp>
        <stp>USPHTYOY Index</stp>
        <stp>DES NOTES</stp>
        <stp>[GMIC Info Template.xlsm]ECO Calendar!R47C21</stp>
        <tr r="U47" s="2"/>
      </tp>
      <tp t="s">
        <v>None</v>
        <stp/>
        <stp>##V3_BDPV12</stp>
        <stp>CONSSENT Index</stp>
        <stp>SCALING FORMAT</stp>
        <stp>[GMIC Info Template.xlsm]ECO Calendar!R7C10</stp>
        <tr r="J7" s="2"/>
      </tp>
      <tp>
        <v>68.254000000000005</v>
        <stp/>
        <stp>##V3_BDPV12</stp>
        <stp>FDIUSGYO Index</stp>
        <stp>RELEVANCE VALUE</stp>
        <stp>[GMIC Info Template.xlsm]ECO Calendar!R101C5</stp>
        <tr r="E101" s="2"/>
      </tp>
      <tp t="s">
        <v>MoM% NSA</v>
        <stp/>
        <stp>##V3_BDPV12</stp>
        <stp>IMP1CHNG Index</stp>
        <stp>SEASONALITY AND TRANSFORMATION</stp>
        <stp>[GMIC Info Template.xlsm]ECO Calendar!R91C11</stp>
        <tr r="K91" s="2"/>
      </tp>
      <tp>
        <v>28.722339232473537</v>
        <stp/>
        <stp>##V3_BDPV12</stp>
        <stp>AAPL US Equity</stp>
        <stp>OPER MARGIN</stp>
        <stp>[GMIC Info Template.xlsm]Security Analysis!R7C23</stp>
        <tr r="W7" s="13"/>
      </tp>
      <tp t="s">
        <v>1/31/2015</v>
        <stp/>
        <stp>##V3_BDPV12</stp>
        <stp>CGSHXAI% Index</stp>
        <stp>PRIOR OBSERVATION DATE</stp>
        <stp>[GMIC Info Template.xlsm]ECO Calendar!R34C14</stp>
        <tr r="N34" s="2"/>
      </tp>
      <tp>
        <v>0.7</v>
        <stp/>
        <stp>##V3_BDPV12</stp>
        <stp>FDIUSGUY Index</stp>
        <stp>QUOTE PRIOR MID</stp>
        <stp>[GMIC Info Template.xlsm]ECO Calendar!R103C9</stp>
        <tr r="I103" s="2"/>
      </tp>
      <tp t="s">
        <v>1/31/2015</v>
        <stp/>
        <stp>##V3_BDPV12</stp>
        <stp>PCE CMOM Index</stp>
        <stp>PRIOR OBSERVATION DATE</stp>
        <stp>[GMIC Info Template.xlsm]ECO Calendar!R54C14</stp>
        <tr r="N54" s="2"/>
      </tp>
      <tp>
        <v>88.888900000000007</v>
        <stp/>
        <stp>##V3_BDPV12</stp>
        <stp>IP CHNG Index</stp>
        <stp>RELEVANCE VALUE</stp>
        <stp>[GMIC Info Template.xlsm]ECO Calendar!R104C5</stp>
        <tr r="E104" s="2"/>
      </tp>
      <tp t="s">
        <v>1/31/2015</v>
        <stp/>
        <stp>##V3_BDPV12</stp>
        <stp>PCE DEFM Index</stp>
        <stp>PRIOR OBSERVATION DATE</stp>
        <stp>[GMIC Info Template.xlsm]ECO Calendar!R57C14</stp>
        <tr r="N57" s="2"/>
      </tp>
      <tp t="s">
        <v>#N/A N/A</v>
        <stp/>
        <stp>##V3_BDPV12</stp>
        <stp>GS US Equity</stp>
        <stp>GROSS MARGIN</stp>
        <stp>[GMIC Info Template.xlsm]Security Analysis!R31C21</stp>
        <tr r="U31" s="13"/>
      </tp>
      <tp>
        <v>36.85111392250915</v>
        <stp/>
        <stp>##V3_BDPV12</stp>
        <stp>GE US Equity</stp>
        <stp>GROSS MARGIN</stp>
        <stp>[GMIC Info Template.xlsm]Security Analysis!R11C21</stp>
        <tr r="U11" s="13"/>
      </tp>
      <tp t="s">
        <v>As of the October 2012 release, a new methodology was stated. The new methodology includes changes to the business sizes reported, additional industries reported, and additional employees and companies used in the sample size.  For the old methodology of the ADP National Employment Report, please see:  {ALLX ADP2&lt;GO&gt;}. The ADP National Employment Report is a measure of nonfarm private employment, based on a subset of aggregated and anonymous payroll data, using approximately 406,000 U.S. business clients and approximately 23 million employees working in all 19 of the major North American Industrial Classification (NAICS) private industrial sectors. The ADP National Employment Report was developed to help meet the need for additional timely and accurate estimates of short-term movements in the national labor market among economists, financial professionals, and government policy-makers.</v>
        <stp/>
        <stp>##V3_BDPV12</stp>
        <stp>ADP CHNG Index</stp>
        <stp>DES NOTES</stp>
        <stp>[GMIC Info Template.xlsm]ECO Calendar!R71C21</stp>
        <tr r="U71" s="2"/>
      </tp>
      <tp t="s">
        <v>Base year 2000=100.</v>
        <stp/>
        <stp>##V3_BDPV12</stp>
        <stp>IMP1CHNG Index</stp>
        <stp>DES NOTES</stp>
        <stp>[GMIC Info Template.xlsm]ECO Calendar!R91C21</stp>
        <tr r="U91" s="2"/>
      </tp>
      <tp t="s">
        <v>#N/A N/A</v>
        <stp/>
        <stp>##V3_BDPV12</stp>
        <stp>CONSP5MD Index</stp>
        <stp>BN SURVEY MEDIAN</stp>
        <stp>[GMIC Info Template.xlsm]ECO Calendar!R8C8</stp>
        <tr r="H8" s="2"/>
      </tp>
      <tp t="s">
        <v>8:30:00 AM</v>
        <stp/>
        <stp>##V3_BDPV12</stp>
        <stp>NHCHSTCH Index</stp>
        <stp>ECO RELEASE TIME</stp>
        <stp>[GMIC Info Template.xlsm]ECO Calendar!R113C18</stp>
        <tr r="R113" s="2"/>
      </tp>
      <tp t="s">
        <v>8:30:00 AM</v>
        <stp/>
        <stp>##V3_BDPV12</stp>
        <stp>NHCHATCH Index</stp>
        <stp>ECO RELEASE TIME</stp>
        <stp>[GMIC Info Template.xlsm]ECO Calendar!R114C18</stp>
        <tr r="R114" s="2"/>
      </tp>
      <tp t="s">
        <v>#N/A Field Not Applicable</v>
        <stp/>
        <stp>##V3_BDPV12</stp>
        <stp>MPMIUSSA Index</stp>
        <stp>DES NOTES</stp>
        <stp>[GMIC Info Template.xlsm]ECO Calendar!R36C21</stp>
        <tr r="U36" s="2"/>
      </tp>
      <tp>
        <v>69.047600000000003</v>
        <stp/>
        <stp>##V3_BDPV12</stp>
        <stp>FDIDSGMO Index</stp>
        <stp>RELEVANCE VALUE</stp>
        <stp>[GMIC Info Template.xlsm]ECO Calendar!R100C5</stp>
        <tr r="E100" s="2"/>
      </tp>
      <tp t="s">
        <v>#N/A N/A</v>
        <stp/>
        <stp>##V3_BDPV12</stp>
        <stp>FDIDSGUM Index</stp>
        <stp>QUOTE PRIOR MID</stp>
        <stp>[GMIC Info Template.xlsm]ECO Calendar!R102C9</stp>
        <tr r="I102" s="2"/>
      </tp>
      <tp t="s">
        <v>2/28/2015</v>
        <stp/>
        <stp>##V3_BDPV12</stp>
        <stp>AWH TOTL Index</stp>
        <stp>PRIOR OBSERVATION DATE</stp>
        <stp>[GMIC Info Template.xlsm]ECO Calendar!R80C14</stp>
        <tr r="N80" s="2"/>
      </tp>
      <tp>
        <v>23158</v>
        <stp/>
        <stp>##V3_BDPV12</stp>
        <stp>PBIB US EQUITY</stp>
        <stp>PX VOLUME</stp>
        <stp>[GMIC Info Template.xlsm]Most Up &amp; Down!R28C14</stp>
        <tr r="N28" s="9"/>
      </tp>
      <tp>
        <v>60.300210715723182</v>
        <stp/>
        <stp>##V3_BDPV12</stp>
        <stp>MRK US Equity</stp>
        <stp>GROSS MARGIN</stp>
        <stp>[GMIC Info Template.xlsm]Security Analysis!R20C21</stp>
        <tr r="U20" s="13"/>
      </tp>
      <tp t="s">
        <v>ISM Manufacturing release is published on the first business day of every month. ISM Non Manufacturing release is published on the third business day of the    month.  ISM indices compare the changes in various market areas on a month to   month basis.  The ISM index includes prices paid for all purchases including    import purchases and purchases of food and energy excluding crude oil.  The     production index compares current month production with the prior month.  The   new orders index compares current month orders with  the prior  month.  The backlog index compares current month unfilled orders with the prior month.  The same is true for imports and exports.  The inventory index compares current month units on hand with the prior month, not the dollar value.  The employment index   compares current month level of employment within purchasing companies with the prior month.  The supplier deliveries index compares the current month rate at  which orders are filled with the prior m</v>
        <stp/>
        <stp>##V3_BDPV12</stp>
        <stp>NAPMPRIC Index</stp>
        <stp>DES NOTES</stp>
        <stp>[GMIC Info Template.xlsm]ECO Calendar!R63C21</stp>
        <tr r="U63" s="2"/>
      </tp>
      <tp t="s">
        <v>#N/A N/A</v>
        <stp/>
        <stp>##V3_BDPV12</stp>
        <stp>TRV US Equity</stp>
        <stp>GROSS MARGIN</stp>
        <stp>[GMIC Info Template.xlsm]Security Analysis!R36C21</stp>
        <tr r="U36" s="13"/>
      </tp>
      <tp>
        <v>66.352339999999998</v>
        <stp/>
        <stp>##V3_BDPV12</stp>
        <stp>AAPL US Equity</stp>
        <stp>CHG PCT 1YR</stp>
        <stp>[GMIC Info Template.xlsm]Security Analysis!R7C18</stp>
        <tr r="R7" s="13"/>
      </tp>
      <tp>
        <v>50.793700000000001</v>
        <stp/>
        <stp>##V3_BDPV12</stp>
        <stp>SPCS20Y% Index</stp>
        <stp>RELEVANCE VALUE</stp>
        <stp>[GMIC Info Template.xlsm]ECO Calendar!R39C19</stp>
        <tr r="S39" s="2"/>
      </tp>
      <tp>
        <v>29.365100000000002</v>
        <stp/>
        <stp>##V3_BDPV12</stp>
        <stp>SPCS20SM Index</stp>
        <stp>RELEVANCE VALUE</stp>
        <stp>[GMIC Info Template.xlsm]ECO Calendar!R42C19</stp>
        <tr r="S42" s="2"/>
      </tp>
      <tp>
        <v>2499.73</v>
        <stp/>
        <stp>##V3_BDPV12</stp>
        <stp>USDCOP CURNCY</stp>
        <stp>PREV CLOSE VAL</stp>
        <stp>[GMIC Info Template.xlsm]Currencies &amp; Commodities!R14C5</stp>
        <tr r="E14" s="3"/>
      </tp>
      <tp t="s">
        <v>A monthly report on the number of announced corporate layoffs.  These figures are not adjusted for seasonal variations. All figures in {ALLX CHAL&lt;GO&gt;} represent announced layoffs except for {CHALHIRE Index des&lt;GO&gt;}, which displays the month's announced hiring plans. For further information, please visit http://www.challengergray.com/press/press.aspx for their monthly job cuts report.              History is stored independently for monthly, quarterly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v>
        <stp/>
        <stp>##V3_BDPV12</stp>
        <stp>CHALYOY% Index</stp>
        <stp>DES NOTES</stp>
        <stp>[GMIC Info Template.xlsm]ECO Calendar!R72C21</stp>
        <tr r="U72" s="2"/>
      </tp>
      <tp t="s">
        <v>US0378331005</v>
        <stp/>
        <stp>##V3_BDPV12</stp>
        <stp>AAPL US Equity</stp>
        <stp>ID ISIN</stp>
        <stp>[GMIC Info Template.xlsm]Security Analysis!R7C3</stp>
        <tr r="C7" s="13"/>
      </tp>
      <tp>
        <v>1.4962</v>
        <stp/>
        <stp>##V3_BDPV12</stp>
        <stp>GBPUSD CURNCY</stp>
        <stp>PREV CLOSE VAL</stp>
        <stp>[GMIC Info Template.xlsm]Currencies &amp; Commodities!R11C5</stp>
        <tr r="E11" s="3"/>
      </tp>
      <tp t="s">
        <v>Job Openings and Labor Turnover includes the number and rate of job openings,   hires and separations for the nation, by industry and geographic region.</v>
        <stp/>
        <stp>##V3_BDPV12</stp>
        <stp>JOLTTOTL Index</stp>
        <stp>DES NOTES</stp>
        <stp>[GMIC Info Template.xlsm]ECO Calendar!R88C21</stp>
        <tr r="U88" s="2"/>
      </tp>
      <tp t="s">
        <v>QoQ% SAAR</v>
        <stp/>
        <stp>##V3_BDPV12</stp>
        <stp>GDP CQOQ Index</stp>
        <stp>SEASONALITY AND TRANSFORMATION</stp>
        <stp>[GMIC Info Template.xlsm]ECO Calendar!R48C11</stp>
        <tr r="K48" s="2"/>
      </tp>
      <tp t="s">
        <v>1/31/2015</v>
        <stp/>
        <stp>##V3_BDPV12</stp>
        <stp>CGNOXAI% Index</stp>
        <stp>PRIOR OBSERVATION DATE</stp>
        <stp>[GMIC Info Template.xlsm]ECO Calendar!R33C14</stp>
        <tr r="N33" s="2"/>
      </tp>
      <tp t="s">
        <v>QoQ% SAAR</v>
        <stp/>
        <stp>##V3_BDPV12</stp>
        <stp>GDP PIQQ Index</stp>
        <stp>SEASONALITY AND TRANSFORMATION</stp>
        <stp>[GMIC Info Template.xlsm]ECO Calendar!R49C11</stp>
        <tr r="K49" s="2"/>
      </tp>
      <tp>
        <v>78.571399999999997</v>
        <stp/>
        <stp>##V3_BDPV12</stp>
        <stp>OUTFGAF Index</stp>
        <stp>RELEVANCE VALUE</stp>
        <stp>[GMIC Info Template.xlsm]ECO Calendar!R116C5</stp>
        <tr r="E116" s="2"/>
      </tp>
      <tp t="s">
        <v>#N/A Field Not Applicable</v>
        <stp/>
        <stp>##V3_BDPV12</stp>
        <stp>NFP TYCH Index</stp>
        <stp>RELEVANCE VALUE</stp>
        <stp>[GMIC Info Template.xlsm]ECO Calendar!R119C5</stp>
        <tr r="E119" s="2"/>
      </tp>
      <tp>
        <v>15.435975408210489</v>
        <stp/>
        <stp>##V3_BDPV12</stp>
        <stp>BA US Equity</stp>
        <stp>GROSS MARGIN</stp>
        <stp>[GMIC Info Template.xlsm]Security Analysis!R27C21</stp>
        <tr r="U27" s="13"/>
      </tp>
      <tp t="s">
        <v>NFIB Research Foundation has collected Small Business Economic Trends Data with Quarterly surveys since 1973 and monthly surveys since 1986. The sample is drawn from the membership files of the National Federation of Independent Business (NFIB). Archived Survey reports can be found on the NFIB website: &lt;http://www.nfib.com/research-foundation/small-business-economic-trends-sbet-archive&gt;&lt;P&gt;The term "small business" is defined as an independent (not publicly-held or held by an entity that is publicly-held), for-profit enterprise that employs between 1 and 250 people, not including the owners.</v>
        <stp/>
        <stp>##V3_BDPV12</stp>
        <stp>SBOITOTL Index</stp>
        <stp>DES NOTES</stp>
        <stp>[GMIC Info Template.xlsm]ECO Calendar!R90C21</stp>
        <tr r="U90" s="2"/>
      </tp>
      <tp t="s">
        <v>#N/A N/A</v>
        <stp/>
        <stp>##V3_BDPV12</stp>
        <stp>JPM US Equity</stp>
        <stp>GROSS MARGIN</stp>
        <stp>[GMIC Info Template.xlsm]Security Analysis!R13C21</stp>
        <tr r="U13" s="13"/>
      </tp>
      <tp t="s">
        <v>Adjusted for seasonal variation, for holiday and trading day differences, but not for price changes.</v>
        <stp/>
        <stp>##V3_BDPV12</stp>
        <stp>RSTAXMOM Index</stp>
        <stp>DES NOTES</stp>
        <stp>[GMIC Info Template.xlsm]ECO Calendar!R94C21</stp>
        <tr r="U94" s="2"/>
      </tp>
      <tp t="s">
        <v>4/29/2015</v>
        <stp/>
        <stp>##V3_BDPV12</stp>
        <stp>GDP CQOQ Index</stp>
        <stp>ECO RELEASE DT</stp>
        <stp>[GMIC Info Template.xlsm]ECO Calendar!R48C16</stp>
        <tr r="P48" s="2"/>
      </tp>
      <tp t="s">
        <v>US Employees on Nonfarm Payrolls Total Net Change SA From Year Ago</v>
        <stp/>
        <stp>##V3_BDPV12</stp>
        <stp>NFP TYCH Index</stp>
        <stp>Long Comp Name</stp>
        <stp>[GMIC Info Template.xlsm]ECO Calendar!R119C3</stp>
        <tr r="C119" s="2"/>
      </tp>
      <tp t="s">
        <v>2/28/2015</v>
        <stp/>
        <stp>##V3_BDPV12</stp>
        <stp>CHALYOY% Index</stp>
        <stp>PRIOR OBSERVATION DATE</stp>
        <stp>[GMIC Info Template.xlsm]ECO Calendar!R72C14</stp>
        <tr r="N72" s="2"/>
      </tp>
      <tp t="s">
        <v>4/29/2015</v>
        <stp/>
        <stp>##V3_BDPV12</stp>
        <stp>GDP PIQQ Index</stp>
        <stp>ECO RELEASE DT</stp>
        <stp>[GMIC Info Template.xlsm]ECO Calendar!R49C16</stp>
        <tr r="P49" s="2"/>
      </tp>
      <tp>
        <v>3428601</v>
        <stp/>
        <stp>##V3_BDPV12</stp>
        <stp>SPPR US EQUITY</stp>
        <stp>PX VOLUME</stp>
        <stp>[GMIC Info Template.xlsm]Most Up &amp; Down!R10C14</stp>
        <tr r="N10" s="9"/>
      </tp>
      <tp>
        <v>1587331</v>
        <stp/>
        <stp>##V3_BDPV12</stp>
        <stp>SZYM US EQUITY</stp>
        <stp>PX VOLUME</stp>
        <stp>[GMIC Info Template.xlsm]Most Up &amp; Down!R30C14</stp>
        <tr r="N30" s="9"/>
      </tp>
      <tp t="s">
        <v>Figures from Jan. 1992 to present have been revised using the                   North American Industry Classification System (NAICS). Data                     prior to Jan. 1992 uses the Standard Industrial Classification.                 The NAICS figures make statistics comparable across North                       America and recognizes the changing makeup of the U.S. economy.                 Comparison of figures prior to 1992 with those after 1992                       should be made with caution.</v>
        <stp/>
        <stp>##V3_BDPV12</stp>
        <stp>CGSHXAI% Index</stp>
        <stp>DES NOTES</stp>
        <stp>[GMIC Info Template.xlsm]ECO Calendar!R34C21</stp>
        <tr r="U34" s="2"/>
      </tp>
      <tp>
        <v>46062</v>
        <stp/>
        <stp>##V3_BDPV12</stp>
        <stp>OSN US EQUITY</stp>
        <stp>PX VOLUME</stp>
        <stp>[GMIC Info Template.xlsm]Most Up &amp; Down!R16C14</stp>
        <tr r="N16" s="9"/>
      </tp>
      <tp t="s">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stp/>
        <stp>##V3_BDPV12</stp>
        <stp>SPCS20Y% Index</stp>
        <stp>DES NOTES</stp>
        <stp>[GMIC Info Template.xlsm]ECO Calendar!R39C21</stp>
        <tr r="U39" s="2"/>
      </tp>
      <tp t="s">
        <v>8:30:00 AM</v>
        <stp/>
        <stp>##V3_BDPV12</stp>
        <stp>FDIDSGMO Index</stp>
        <stp>ECO RELEASE TIME</stp>
        <stp>[GMIC Info Template.xlsm]ECO Calendar!R100C18</stp>
        <tr r="R100" s="2"/>
      </tp>
      <tp t="s">
        <v>Personal income is the income received by persons from all sources, that is, from participation in production, from both government and business transfer payments, and from government interest, persons consist of individuals, nonprofit institutions that primarily serve individuals, private noninsured welfare funds, and private trust funds.  Personal income is calculated as the sum of wage and salary disbursements, other labor income, propiertors' income with inventory valuation and capital consumption adjustments, rental income of persons with capital. Consumption adjustments, personal dividend income, personal interest income, and transfer payments to persons, less personal contributions for social insurance.  Disposable personal income is personal income less tax &amp; non-tax payments.     Personal income is the income received by persons from all sources, that is, from participation in production, from both government and business transfer payments, and from government interest. 'Perso</v>
        <stp/>
        <stp>##V3_BDPV12</stp>
        <stp>PITLCHNG Index</stp>
        <stp>DES NOTES</stp>
        <stp>[GMIC Info Template.xlsm]ECO Calendar!R52C21</stp>
        <tr r="U52" s="2"/>
      </tp>
      <tp t="s">
        <v>#N/A Field Not Applicable</v>
        <stp/>
        <stp>##V3_BDPV12</stp>
        <stp>INJCJCNS Index</stp>
        <stp>ECO RELEASE TIME</stp>
        <stp>[GMIC Info Template.xlsm]ECO Calendar!R117C18</stp>
        <tr r="R117" s="2"/>
      </tp>
      <tp>
        <v>5</v>
        <stp/>
        <stp>##V3_BDPV12</stp>
        <stp>OUTFGAF Index</stp>
        <stp>QUOTE PRIOR MID</stp>
        <stp>[GMIC Info Template.xlsm]ECO Calendar!R116C9</stp>
        <tr r="I116" s="2"/>
      </tp>
      <tp>
        <v>3227</v>
        <stp/>
        <stp>##V3_BDPV12</stp>
        <stp>NFP TYCH Index</stp>
        <stp>QUOTE PRIOR MID</stp>
        <stp>[GMIC Info Template.xlsm]ECO Calendar!R119C9</stp>
        <tr r="I119" s="2"/>
      </tp>
      <tp t="s">
        <v>12/31/2014</v>
        <stp/>
        <stp>##V3_BDPV12</stp>
        <stp>HPIMMOM% Index</stp>
        <stp>PRIOR OBSERVATION DATE</stp>
        <stp>[GMIC Info Template.xlsm]ECO Calendar!R21C14</stp>
        <tr r="N21" s="2"/>
      </tp>
      <tp>
        <v>1203.0999999999999</v>
        <stp/>
        <stp>##V3_BDPV12</stp>
        <stp>GCA COMDTY</stp>
        <stp>PREV CLOSE VAL</stp>
        <stp>[GMIC Info Template.xlsm]Currencies &amp; Commodities!R17C5</stp>
        <tr r="E17" s="3"/>
      </tp>
      <tp t="s">
        <v>1/31/2015</v>
        <stp/>
        <stp>##V3_BDPV12</stp>
        <stp>PCE CRCH Index</stp>
        <stp>PRIOR OBSERVATION DATE</stp>
        <stp>[GMIC Info Template.xlsm]ECO Calendar!R53C14</stp>
        <tr r="N53" s="2"/>
      </tp>
      <tp>
        <v>18.362700015120652</v>
        <stp/>
        <stp>##V3_BDPV12</stp>
        <stp>MSFT US Equity</stp>
        <stp>LT DEBT TO TOT CAP</stp>
        <stp>[GMIC Info Template.xlsm]Security Analysis!R9C26</stp>
        <tr r="Z9" s="13"/>
      </tp>
      <tp t="s">
        <v>US</v>
        <stp/>
        <stp>##V3_BDPV12</stp>
        <stp>XOM US Equity</stp>
        <stp>COUNTRY</stp>
        <stp>[GMIC Info Template.xlsm]Security Analysis!R8C7</stp>
        <tr r="G8" s="13"/>
      </tp>
      <tp>
        <v>25.624262305133595</v>
        <stp/>
        <stp>##V3_BDPV12</stp>
        <stp>UNH US Equity</stp>
        <stp>GROSS MARGIN</stp>
        <stp>[GMIC Info Template.xlsm]Security Analysis!R26C21</stp>
        <tr r="U26" s="13"/>
      </tp>
      <tp>
        <v>69.39903943173104</v>
        <stp/>
        <stp>##V3_BDPV12</stp>
        <stp>JNJ US Equity</stp>
        <stp>GROSS MARGIN</stp>
        <stp>[GMIC Info Template.xlsm]Security Analysis!R10C21</stp>
        <tr r="U10" s="13"/>
      </tp>
      <tp>
        <v>-0.2</v>
        <stp/>
        <stp>##V3_BDPV12</stp>
        <stp>IPMGCHNG Index</stp>
        <stp>QUOTE PRIOR MID</stp>
        <stp>[GMIC Info Template.xlsm]ECO Calendar!R106C9</stp>
        <tr r="I106" s="2"/>
      </tp>
      <tp t="s">
        <v>Units/Persons SA</v>
        <stp/>
        <stp>##V3_BDPV12</stp>
        <stp>AWH TOTL Index</stp>
        <stp>SEASONALITY AND TRANSFORMATION</stp>
        <stp>[GMIC Info Template.xlsm]ECO Calendar!R80C11</stp>
        <tr r="K80" s="2"/>
      </tp>
      <tp>
        <v>7.420000074207783</v>
        <stp/>
        <stp>##V3_BDPV12</stp>
        <stp>AAPL US Equity</stp>
        <stp>TRAIL 12M EPS</stp>
        <stp>[GMIC Info Template.xlsm]Security Analysis!R7C14</stp>
        <tr r="N7" s="13"/>
      </tp>
      <tp t="s">
        <v>9:00:00 AM</v>
        <stp/>
        <stp>##V3_BDPV12</stp>
        <stp>SPCS20Y% Index</stp>
        <stp>ECO RELEASE TIME</stp>
        <stp>[GMIC Info Template.xlsm]ECO Calendar!R39C18</stp>
        <tr r="R39" s="2"/>
      </tp>
      <tp t="s">
        <v>9:00:00 AM</v>
        <stp/>
        <stp>##V3_BDPV12</stp>
        <stp>SPCS20SM Index</stp>
        <stp>ECO RELEASE TIME</stp>
        <stp>[GMIC Info Template.xlsm]ECO Calendar!R42C18</stp>
        <tr r="R42" s="2"/>
      </tp>
      <tp t="s">
        <v>12/31/2014</v>
        <stp/>
        <stp>##V3_BDPV12</stp>
        <stp>SPCS20Y% Index</stp>
        <stp>PRIOR OBSERVATION DATE</stp>
        <stp>[GMIC Info Template.xlsm]ECO Calendar!R39C14</stp>
        <tr r="N39" s="2"/>
      </tp>
      <tp>
        <v>62.222200000000001</v>
        <stp/>
        <stp>##V3_BDPV12</stp>
        <stp>CPTICHNG Index</stp>
        <stp>RELEVANCE VALUE</stp>
        <stp>[GMIC Info Template.xlsm]ECO Calendar!R105C19</stp>
        <tr r="S105" s="2"/>
      </tp>
      <tp>
        <v>12.698399999999999</v>
        <stp/>
        <stp>##V3_BDPV12</stp>
        <stp>IPMGCHNG Index</stp>
        <stp>RELEVANCE VALUE</stp>
        <stp>[GMIC Info Template.xlsm]ECO Calendar!R106C19</stp>
        <tr r="S106" s="2"/>
      </tp>
      <tp t="s">
        <v>Seasonally adjusted at annual rates.                                            History is stored independently for quarterly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 on.</v>
        <stp/>
        <stp>##V3_BDPV12</stp>
        <stp>GDPCTOT% Index</stp>
        <stp>DES NOTES</stp>
        <stp>[GMIC Info Template.xlsm]ECO Calendar!R50C21</stp>
        <tr r="U50" s="2"/>
      </tp>
      <tp t="s">
        <v>Monthly purchase-only home price index change.&lt;br&gt;The HPI is a broad measure of the movement of single-family house prices. It serves as a timely, accurate indicator of house price trends at various geographic levels. It also provides housing economists with an analytical tool that is useful for estimating changes in the rates of mortgage defaults, prepayments and housing affordability in specific geographic areas. The HPI is a measure designed to capture changes in the value of single-family houses in the U.S. as a whole, in various regions and in smaller areas. The HPI is published by the Federal Housing Finance Agency (FHFA).</v>
        <stp/>
        <stp>##V3_BDPV12</stp>
        <stp>HPIMMOM% Index</stp>
        <stp>DES NOTES</stp>
        <stp>[GMIC Info Template.xlsm]ECO Calendar!R21C21</stp>
        <tr r="U21" s="2"/>
      </tp>
      <tp t="s">
        <v>S&amp;P/Case-Shiller Composite-20</v>
        <stp/>
        <stp>##V3_BDPV12</stp>
        <stp>SPCS20SM Index</stp>
        <stp>NAME</stp>
        <stp>[GMIC Info Template.xlsm]ECO Calendar!R42C6</stp>
        <tr r="F42" s="2"/>
      </tp>
      <tp>
        <v>35804</v>
        <stp/>
        <stp>##V3_BDPV12</stp>
        <stp>MOKO US EQUITY</stp>
        <stp>PX VOLUME</stp>
        <stp>[GMIC Info Template.xlsm]Most Up &amp; Down!R13C14</stp>
        <tr r="N13" s="9"/>
      </tp>
      <tp t="s">
        <v>9:15:00 AM</v>
        <stp/>
        <stp>##V3_BDPV12</stp>
        <stp>CPTICHNG Index</stp>
        <stp>ECO RELEASE TIME</stp>
        <stp>[GMIC Info Template.xlsm]ECO Calendar!R105C18</stp>
        <tr r="R105" s="2"/>
      </tp>
      <tp t="s">
        <v>#N/A Field Not Applicable</v>
        <stp/>
        <stp>##V3_BDPV12</stp>
        <stp>FDIDFDMO Index</stp>
        <stp>DES NOTES</stp>
        <stp>[GMIC Info Template.xlsm]ECO Calendar!R98C21</stp>
        <tr r="U98" s="2"/>
      </tp>
      <tp t="s">
        <v>4:00:00 PM</v>
        <stp/>
        <stp>##V3_BDPV12</stp>
        <stp>FRNTTOTL Index</stp>
        <stp>ECO RELEASE TIME</stp>
        <stp>[GMIC Info Template.xlsm]ECO Calendar!R108C18</stp>
        <tr r="R108" s="2"/>
      </tp>
      <tp t="s">
        <v>9:45:00 AM</v>
        <stp/>
        <stp>##V3_BDPV12</stp>
        <stp>COMFBTWR Index</stp>
        <stp>ECO RELEASE TIME</stp>
        <stp>[GMIC Info Template.xlsm]ECO Calendar!R115C18</stp>
        <tr r="R115" s="2"/>
      </tp>
      <tp t="s">
        <v>2/28/2015</v>
        <stp/>
        <stp>##V3_BDPV12</stp>
        <stp>IMP1CHNG Index</stp>
        <stp>PRIOR OBSERVATION DATE</stp>
        <stp>[GMIC Info Template.xlsm]ECO Calendar!R91C14</stp>
        <tr r="N91" s="2"/>
      </tp>
      <tp>
        <v>1102</v>
        <stp/>
        <stp>##V3_BDPV12</stp>
        <stp>NHSPATOT Index</stp>
        <stp>QUOTE PRIOR MID</stp>
        <stp>[GMIC Info Template.xlsm]ECO Calendar!R112C9</stp>
        <tr r="I112" s="2"/>
      </tp>
      <tp t="s">
        <v>MoM% SA</v>
        <stp/>
        <stp>##V3_BDPV12</stp>
        <stp>PCE DEFM Index</stp>
        <stp>SEASONALITY AND TRANSFORMATION</stp>
        <stp>[GMIC Info Template.xlsm]ECO Calendar!R57C11</stp>
        <tr r="K57" s="2"/>
      </tp>
      <tp t="s">
        <v>MoM% SA</v>
        <stp/>
        <stp>##V3_BDPV12</stp>
        <stp>PCE CMOM Index</stp>
        <stp>SEASONALITY AND TRANSFORMATION</stp>
        <stp>[GMIC Info Template.xlsm]ECO Calendar!R54C11</stp>
        <tr r="K54" s="2"/>
      </tp>
      <tp t="s">
        <v>MoM% SA</v>
        <stp/>
        <stp>##V3_BDPV12</stp>
        <stp>CGSHXAI% Index</stp>
        <stp>SEASONALITY AND TRANSFORMATION</stp>
        <stp>[GMIC Info Template.xlsm]ECO Calendar!R34C11</stp>
        <tr r="K34" s="2"/>
      </tp>
      <tp>
        <v>43.650799999999997</v>
        <stp/>
        <stp>##V3_BDPV12</stp>
        <stp>COMFBTWR Index</stp>
        <stp>RELEVANCE VALUE</stp>
        <stp>[GMIC Info Template.xlsm]ECO Calendar!R115C19</stp>
        <tr r="S115" s="2"/>
      </tp>
      <tp t="s">
        <v>Base Year 1982-84=100.  The CPI represents changes in prices of all goods and services purchased for consumption by urban households.  User fees (such as water and sewer service) and sales and excise taxes paid by the consumer are also included.  Income taxes and investment items (i.e. stocks, bonds, and life insurance) are not included.  CPI for urban consumers, includes expenditures by urban wage earners and clerical workers, professional, managerial,and technical workers,the self-employed, short-term workers, the unemployed, retirees and others not in the labor force.  This represents about 80% of the total U.S. population. &lt;P&gt;This calculation uses CPI INDX Index =&gt; ((Current Month  - Prior Month)/ Prior Month))*100; the value is then rounded to 1 decimal place.</v>
        <stp/>
        <stp>##V3_BDPV12</stp>
        <stp>CPI CHNG Index</stp>
        <stp>DES NOTES</stp>
        <stp>[GMIC Info Template.xlsm]ECO Calendar!R12C21</stp>
        <tr r="U12" s="2"/>
      </tp>
      <tp t="s">
        <v>Leading Index   1. Average weekly hours, manufacturing {LEI AVGW Index &lt;go&gt;}  0.27472. Average weekly initial jobless claims {LEI WKIJ  Index &lt;go&gt;}  0.0340 3. Manufacturing new orders, consumer goods and materials {LEI NWCN Index &lt;go&gt;} 0.0815   4. ISM new orders, consumer {LEI ISM  Index &lt;go&gt;} 0.1606   5. Manufacturers' new orders, nondefense capital {LEI MNO Index &lt;go&gt;}0.0390    6. Building permits, new private housing units {LEI BP  Index &lt;go&gt;} 0.0316    7. Stock prices, 500 common stocks {LEI STKP  Index &lt;go&gt;} 0.0392     8. Leading Credit {LEI LCI  Index &lt;go&gt;}  0.0829      9. Interest rate spread {LEI IRTE  Index &lt;go&gt;}  0.1090              10.Average consumer expectations {LEI ACE  Index &lt;go&gt;}.   0.1475</v>
        <stp/>
        <stp>##V3_BDPV12</stp>
        <stp>LEI CHNG Index</stp>
        <stp>DES NOTES</stp>
        <stp>[GMIC Info Template.xlsm]ECO Calendar!R18C21</stp>
        <tr r="U18" s="2"/>
      </tp>
      <tp>
        <v>1563307</v>
        <stp/>
        <stp>##V3_BDPV12</stp>
        <stp>NVDQ US EQUITY</stp>
        <stp>PX VOLUME</stp>
        <stp>[GMIC Info Template.xlsm]Most Up &amp; Down!R27C14</stp>
        <tr r="N27" s="9"/>
      </tp>
      <tp t="s">
        <v>Figures from Feb. 1992 to present have been revised using the North American Industry Classification System (NAICS).  Data prior to Jan. 1992 uses the Standard Industrial Classification.  The NAICS figures make statistics comparable across North America and recognizes the changing makeup of the U.S. economy.  Comparison of figures prior to 1992 with those after 1992 should be made with caution.</v>
        <stp/>
        <stp>##V3_BDPV12</stp>
        <stp>CGNOXAI% Index</stp>
        <stp>DES NOTES</stp>
        <stp>[GMIC Info Template.xlsm]ECO Calendar!R33C21</stp>
        <tr r="U33" s="2"/>
      </tp>
      <tp t="s">
        <v>Figures from Jan. 1992 to present have been revised and reclassified into new categories.  Comparison of figures prior to 1992 with those after 1992 should be made with caution.                                                               2 Month Lag.</v>
        <stp/>
        <stp>##V3_BDPV12</stp>
        <stp>MTIBCHNG Index</stp>
        <stp>DES NOTES</stp>
        <stp>[GMIC Info Template.xlsm]ECO Calendar!R97C21</stp>
        <tr r="U97" s="2"/>
      </tp>
      <tp t="s">
        <v>Total includes single-family homes, townhomes, condominiums and co-ops, sales are based on closings. Foreclosed homes are only counted in the inventory if the bank is working with a realtor. Foreclosed homes that sell via auction are not included. This index shows the monthly supply.</v>
        <stp/>
        <stp>##V3_BDPV12</stp>
        <stp>ETSLTOTL Index</stp>
        <stp>DES NOTES</stp>
        <stp>[GMIC Info Template.xlsm]ECO Calendar!R22C21</stp>
        <tr r="U22" s="2"/>
      </tp>
      <tp t="s">
        <v>2/28/2015</v>
        <stp/>
        <stp>##V3_BDPV12</stp>
        <stp>CFNAI Index</stp>
        <stp>CR OBSERVATION DATE</stp>
        <stp>[GMIC Info Template.xlsm]ECO Calendar!R19C13</stp>
        <tr r="M19" s="2"/>
      </tp>
      <tp t="s">
        <v>This sector comes from the Wholesale trade report from the Census Bureau.       Figures from Jan. 1992 to present have been revised using the North American Industry Classification System (NAICS).  Data prior to Jan. 1992 uses the Standard Industrial Classification.  The NAICS figures make statistics comparable across North America and recognizes the changing makeup of the U.S. economy.  For old data series, containing data prior to 1992, please see {MWOSCHNG Index DES&lt;GO&gt;}.</v>
        <stp/>
        <stp>##V3_BDPV12</stp>
        <stp>MWINCHNG Index</stp>
        <stp>DES NOTES</stp>
        <stp>[GMIC Info Template.xlsm]ECO Calendar!R85C21</stp>
        <tr r="U85" s="2"/>
      </tp>
      <tp t="s">
        <v>US Industrial Production MoM 2007=100 SA</v>
        <stp/>
        <stp>##V3_BDPV12</stp>
        <stp>IP CHNG Index</stp>
        <stp>Long Comp Name</stp>
        <stp>[GMIC Info Template.xlsm]ECO Calendar!R104C3</stp>
        <tr r="C104" s="2"/>
      </tp>
      <tp>
        <v>12.698399999999999</v>
        <stp/>
        <stp>##V3_BDPV12</stp>
        <stp>IPMGCHNG Index</stp>
        <stp>RELEVANCE VALUE</stp>
        <stp>[GMIC Info Template.xlsm]ECO Calendar!R106C5</stp>
        <tr r="E106" s="2"/>
      </tp>
      <tp t="s">
        <v>4/24/2015</v>
        <stp/>
        <stp>##V3_BDPV12</stp>
        <stp>CGSHXAI% Index</stp>
        <stp>ECO RELEASE DT</stp>
        <stp>[GMIC Info Template.xlsm]ECO Calendar!R34C16</stp>
        <tr r="P34" s="2"/>
      </tp>
      <tp t="s">
        <v>4/30/2015</v>
        <stp/>
        <stp>##V3_BDPV12</stp>
        <stp>PCE DEFM Index</stp>
        <stp>ECO RELEASE DT</stp>
        <stp>[GMIC Info Template.xlsm]ECO Calendar!R57C16</stp>
        <tr r="P57" s="2"/>
      </tp>
      <tp t="s">
        <v>4/30/2015</v>
        <stp/>
        <stp>##V3_BDPV12</stp>
        <stp>PCE CMOM Index</stp>
        <stp>ECO RELEASE DT</stp>
        <stp>[GMIC Info Template.xlsm]ECO Calendar!R54C16</stp>
        <tr r="P54" s="2"/>
      </tp>
      <tp>
        <v>13.704400779932371</v>
        <stp/>
        <stp>##V3_BDPV12</stp>
        <stp>INTC US Equity</stp>
        <stp>PE RATIO</stp>
        <stp>[GMIC Info Template.xlsm]Security Analysis!R23C19</stp>
        <tr r="S23" s="13"/>
      </tp>
      <tp>
        <v>47.619</v>
        <stp/>
        <stp>##V3_BDPV12</stp>
        <stp>USHBMIDX Index</stp>
        <stp>RELEVANCE VALUE</stp>
        <stp>[GMIC Info Template.xlsm]ECO Calendar!R110C19</stp>
        <tr r="S110" s="2"/>
      </tp>
      <tp t="s">
        <v>Personal consumption expenditures by major type of product.</v>
        <stp/>
        <stp>##V3_BDPV12</stp>
        <stp>PCE CRCH Index</stp>
        <stp>DES NOTES</stp>
        <stp>[GMIC Info Template.xlsm]ECO Calendar!R53C21</stp>
        <tr r="U53" s="2"/>
      </tp>
      <tp t="s">
        <v>This index gets reported to two decimals to show more precision than the headline figure, CPUPXCHG &lt;Index&gt;. The CPI Core shows all items less food and energy.  The CPI represents changes in prices of all goods and services purchased for consumption by urban households.  User fees (such as water and sewer service) and sales and excise taxes paid by the consumer are also included.  Income taxes and investment items (i.e. stocks, bonds, and life insurance) are not included.  CPI for urban consumers, includes expenditures by urban wage earners and clerical workers, professional, managerial, and technical workers, the self-employed, short-term workers, the unemployed, retirees and others not in the labor force.  This represents about 80% of the total U.S. population.</v>
        <stp/>
        <stp>##V3_BDPV12</stp>
        <stp>CPI XYOY Index</stp>
        <stp>DES NOTES</stp>
        <stp>[GMIC Info Template.xlsm]ECO Calendar!R15C21</stp>
        <tr r="U15" s="2"/>
      </tp>
      <tp>
        <v>48.314006473712325</v>
        <stp/>
        <stp>##V3_BDPV12</stp>
        <stp>MMM US Equity</stp>
        <stp>GROSS MARGIN</stp>
        <stp>[GMIC Info Template.xlsm]Security Analysis!R29C21</stp>
        <tr r="U29" s="13"/>
      </tp>
      <tp t="s">
        <v>ECON Flash Indices. Historical data cannot be stored as per the source.         Investors Business Daily and TechnoMetrica Market Intelligence index of U.S. economic optimism.  This index only exists so that the number can be flashed on ECO US &lt;Go&gt;.  We cannot store historical data for this index.  A reading over 50 indicates a postive outlook while a reading below 50 signals a negative outlook.</v>
        <stp/>
        <stp>##V3_BDPV12</stp>
        <stp>ECONUSIB Index</stp>
        <stp>DES NOTES</stp>
        <stp>[GMIC Info Template.xlsm]ECO Calendar!R70C21</stp>
        <tr r="U70" s="2"/>
      </tp>
      <tp>
        <v>24.825440491216945</v>
        <stp/>
        <stp>##V3_BDPV12</stp>
        <stp>WMT US Equity</stp>
        <stp>GROSS MARGIN</stp>
        <stp>[GMIC Info Template.xlsm]Security Analysis!R12C21</stp>
        <tr r="U12" s="13"/>
      </tp>
      <tp>
        <v>78.571399999999997</v>
        <stp/>
        <stp>##V3_BDPV12</stp>
        <stp>OUTFGAF Index</stp>
        <stp>RELEVANCE VALUE</stp>
        <stp>[GMIC Info Template.xlsm]ECO Calendar!R116C19</stp>
        <tr r="S116" s="2"/>
      </tp>
      <tp t="s">
        <v>None</v>
        <stp/>
        <stp>##V3_BDPV12</stp>
        <stp>PCE CHNC Index</stp>
        <stp>SCALING FORMAT</stp>
        <stp>[GMIC Info Template.xlsm]ECO Calendar!R58C10</stp>
        <tr r="J58" s="2"/>
      </tp>
      <tp>
        <v>62.777799999999999</v>
        <stp/>
        <stp>##V3_BDPV12</stp>
        <stp>NHSPATOT Index</stp>
        <stp>RELEVANCE VALUE</stp>
        <stp>[GMIC Info Template.xlsm]ECO Calendar!R112C5</stp>
        <tr r="E112" s="2"/>
      </tp>
      <tp t="s">
        <v>5/8/2015</v>
        <stp/>
        <stp>##V3_BDPV12</stp>
        <stp>AWH TOTL Index</stp>
        <stp>ECO RELEASE DT</stp>
        <stp>[GMIC Info Template.xlsm]ECO Calendar!R80C16</stp>
        <tr r="P80" s="2"/>
      </tp>
      <tp>
        <v>74.603200000000001</v>
        <stp/>
        <stp>##V3_BDPV12</stp>
        <stp>FRNTTOTL Index</stp>
        <stp>RELEVANCE VALUE</stp>
        <stp>[GMIC Info Template.xlsm]ECO Calendar!R108C19</stp>
        <tr r="S108" s="2"/>
      </tp>
      <tp t="s">
        <v>ATHX    UR</v>
        <stp/>
        <stp>##V3_BDSV12</stp>
        <stp>CCMP Index</stp>
        <stp>INDX_MOST_DOWN</stp>
        <stp>[GMIC Info Template.xlsm]Most Up &amp; Down!R22C2</stp>
        <stp>Aggregate=n</stp>
        <stp>cols=6;rows=10</stp>
        <tr r="B22" s="9"/>
      </tp>
      <tp t="s">
        <v>#N/A Field Not Applicable</v>
        <stp/>
        <stp>##V3_BDPV12</stp>
        <stp>NFP TMOM Index</stp>
        <stp>ECO RELEASE TIME</stp>
        <stp>[GMIC Info Template.xlsm]ECO Calendar!R120C18</stp>
        <tr r="R120" s="2"/>
      </tp>
      <tp t="s">
        <v>#N/A Field Not Applicable</v>
        <stp/>
        <stp>##V3_BDPV12</stp>
        <stp>NFP TYOY Index</stp>
        <stp>ECO RELEASE TIME</stp>
        <stp>[GMIC Info Template.xlsm]ECO Calendar!R121C18</stp>
        <tr r="R121" s="2"/>
      </tp>
      <tp t="s">
        <v>This index tracks the percent change for GDP price index and is seasonally adjusted at annual rates.</v>
        <stp/>
        <stp>##V3_BDPV12</stp>
        <stp>GDP PIQQ Index</stp>
        <stp>DES NOTES</stp>
        <stp>[GMIC Info Template.xlsm]ECO Calendar!R49C21</stp>
        <tr r="U49" s="2"/>
      </tp>
      <tp t="s">
        <v>#N/A N/A</v>
        <stp/>
        <stp>##V3_BDPV12</stp>
        <stp>CONSSENT Index</stp>
        <stp>BN SURVEY MEDIAN</stp>
        <stp>[GMIC Info Template.xlsm]ECO Calendar!R7C8</stp>
        <tr r="H7" s="2"/>
      </tp>
      <tp t="s">
        <v>S&amp;P/Case-Shiller Composite-20 Home Price Index Not Seasonally Adjusted</v>
        <stp/>
        <stp>##V3_BDPV12</stp>
        <stp>SPCS20 Index</stp>
        <stp>Long Comp Name</stp>
        <stp>[GMIC Info Template.xlsm]ECO Calendar!R38C3</stp>
        <tr r="C38" s="2"/>
      </tp>
      <tp t="s">
        <v>MoM% SA</v>
        <stp/>
        <stp>##V3_BDPV12</stp>
        <stp>HPIMMOM% Index</stp>
        <stp>SEASONALITY AND TRANSFORMATION</stp>
        <stp>[GMIC Info Template.xlsm]ECO Calendar!R21C11</stp>
        <tr r="K21" s="2"/>
      </tp>
      <tp t="s">
        <v>None</v>
        <stp/>
        <stp>##V3_BDPV12</stp>
        <stp>RSTAXAG% Index</stp>
        <stp>SCALING FORMAT</stp>
        <stp>[GMIC Info Template.xlsm]ECO Calendar!R95C10</stp>
        <tr r="J95" s="2"/>
      </tp>
      <tp t="s">
        <v>MoM% SA</v>
        <stp/>
        <stp>##V3_BDPV12</stp>
        <stp>PCE CRCH Index</stp>
        <stp>SEASONALITY AND TRANSFORMATION</stp>
        <stp>[GMIC Info Template.xlsm]ECO Calendar!R53C11</stp>
        <tr r="K53" s="2"/>
      </tp>
      <tp>
        <v>89.682500000000005</v>
        <stp/>
        <stp>##V3_BDPV12</stp>
        <stp>NHSPSTOT Index</stp>
        <stp>RELEVANCE VALUE</stp>
        <stp>[GMIC Info Template.xlsm]ECO Calendar!R111C19</stp>
        <tr r="S111" s="2"/>
      </tp>
      <tp>
        <v>62.777799999999999</v>
        <stp/>
        <stp>##V3_BDPV12</stp>
        <stp>NHSPATOT Index</stp>
        <stp>RELEVANCE VALUE</stp>
        <stp>[GMIC Info Template.xlsm]ECO Calendar!R112C19</stp>
        <tr r="S112" s="2"/>
      </tp>
      <tp>
        <v>68.888900000000007</v>
        <stp/>
        <stp>##V3_BDPV12</stp>
        <stp>INJCSP Index</stp>
        <stp>RELEVANCE VALUE</stp>
        <stp>[GMIC Info Template.xlsm]ECO Calendar!R26C5</stp>
        <tr r="E26" s="2"/>
      </tp>
      <tp>
        <v>30.1587</v>
        <stp/>
        <stp>##V3_BDPV12</stp>
        <stp>NHCHSTCH Index</stp>
        <stp>RELEVANCE VALUE</stp>
        <stp>[GMIC Info Template.xlsm]ECO Calendar!R113C19</stp>
        <tr r="S113" s="2"/>
      </tp>
      <tp>
        <v>26.984100000000002</v>
        <stp/>
        <stp>##V3_BDPV12</stp>
        <stp>NHCHATCH Index</stp>
        <stp>RELEVANCE VALUE</stp>
        <stp>[GMIC Info Template.xlsm]ECO Calendar!R114C19</stp>
        <tr r="S114" s="2"/>
      </tp>
      <tp>
        <v>67.460300000000004</v>
        <stp/>
        <stp>##V3_BDPV12</stp>
        <stp>FRNTTNET Index</stp>
        <stp>RELEVANCE VALUE</stp>
        <stp>[GMIC Info Template.xlsm]ECO Calendar!R109C19</stp>
        <tr r="S109" s="2"/>
      </tp>
      <tp>
        <v>322372</v>
        <stp/>
        <stp>##V3_BDPV12</stp>
        <stp>IPDN US EQUITY</stp>
        <stp>PX VOLUME</stp>
        <stp>[GMIC Info Template.xlsm]Most Up &amp; Down!R23C14</stp>
        <tr r="N23" s="9"/>
      </tp>
      <tp t="s">
        <v>The underlying series for ''planned purchases'' (autos, homes, and major appliances) and ''vacation intentions'' showed larger increases in November 2010 levels, primarily due to sample design differences. These level shifts will be treated as breaks, and there will be no historial revisions. Neither series is included in or has any impact on the Consumer Confidence Index.The switch to the Census X-12 seasonal adjustment program produced only minor differences for both levels and month-to-month changes. As a result, The Conference Board did not find it necessary to undertake a full historical revision of the CCI time series based on the seasonal adjustment method. The restated data for November 2010, December 2010 and January 2011 (preliminary data) are based on the prior seasonal adjustment method.                                                                      This index is an average of responses to the following questions:               1. Respondents appraisal of current busi</v>
        <stp/>
        <stp>##V3_BDPV12</stp>
        <stp>CONCCONF Index</stp>
        <stp>DES NOTES</stp>
        <stp>[GMIC Info Template.xlsm]ECO Calendar!R44C21</stp>
        <tr r="U44" s="2"/>
      </tp>
      <tp t="s">
        <v>The underlying series for ''planned purchases'' (autos, homes, and major appliances) and ''vacation intentions'' showed larger increases in November 2010 levels, primarily due to sample design differences. These level shifts will be treated as breaks, and there will be no historial revisions. Neither series is included in or has any impact on the Consumer Confidence Index.The switch to the Census X-12 seasonal adjustment program produced only minor differences for both levels and month-to-month changes. As a result, The Conference Board did not find it necessary to undertake a full historical revision of the CCI time series based on the seasonal adjustment method. The restated data for November 2010, December 2010 and January 2011 (preliminary data) are based on the prior seasonal adjustment method.                                                                      This index is an average of responses to the following questions:               1. Respondents appraisal of current busi</v>
        <stp/>
        <stp>##V3_BDPV12</stp>
        <stp>CONCCONF Index</stp>
        <stp>DES NOTES</stp>
        <stp>[GMIC Info Template.xlsm]ECO Calendar!R45C21</stp>
        <tr r="U45" s="2"/>
      </tp>
      <tp t="s">
        <v>Ç                                                                               The Bloomberg Consumer Comfort Index is based on Americans' ratings of the national economy, the buying climate and their personal finances, reported in a four-week rolling average of 1,000 random-sample telephone interviews of about 250 consumers a week aged 18 or over, and is based on a four-week moving average of 1,000 responses. The percentage of households with negative views on the economy, personal finances and buying climate is subtracted from the share with positive outlooks and the difference is divided by 3. The results can range from 100, indicating every participant in the surveyhad a positive response to all three components, to minus 100, signaling all views were negative. The margin of error is 3 percentage points. Conducted continuously since late 1985, the Bloomberg CCI is produced by Langer Research Associates of New York, with field work by SSRS/Social Science Research Solutions of Medi</v>
        <stp/>
        <stp>##V3_BDPV12</stp>
        <stp>COMFCOMF Index</stp>
        <stp>DES NOTES</stp>
        <stp>[GMIC Info Template.xlsm]ECO Calendar!R24C21</stp>
        <tr r="U24" s="2"/>
      </tp>
      <tp t="s">
        <v>From the the Board's H.4.1 statistical release: Factors Affecting Reserve Balances of Depository Institutions and Condition Statement of Federal Reserve Banks. Please note that the Federal Reserve does not release the actual index level, the data in this series represents the average monthly change in LMCI. For more information please see {http://www.federalreserve.gov/econresdata/notes/feds-notes/2014/assessing-the-change-in-labor-market-conditions-20140522.html}</v>
        <stp/>
        <stp>##V3_BDPV12</stp>
        <stp>LMCILMCC Index</stp>
        <stp>DES NOTES</stp>
        <stp>[GMIC Info Template.xlsm]ECO Calendar!R87C21</stp>
        <tr r="U87" s="2"/>
      </tp>
      <tp>
        <v>44.771394654483977</v>
        <stp/>
        <stp>##V3_BDPV12</stp>
        <stp>NKE US Equity</stp>
        <stp>GROSS MARGIN</stp>
        <stp>[GMIC Info Template.xlsm]Security Analysis!R32C21</stp>
        <tr r="U32" s="13"/>
      </tp>
      <tp t="s">
        <v>Please note that semiconductor figures will no longer be included in this series due to a lack of semiconductor manufacturers participation.  In 2001, figures from January 1992 to present were revised using the North American Industry Classification System (NAICS).  Data prior to January 1992 uses the Standard Industrial Classifciation (SIC) so comparisons of figures prior to 1992 with those after 1992 should be made with caution.</v>
        <stp/>
        <stp>##V3_BDPV12</stp>
        <stp>TMNOCHNG Index</stp>
        <stp>DES NOTES</stp>
        <stp>[GMIC Info Template.xlsm]ECO Calendar!R67C21</stp>
        <tr r="U67" s="2"/>
      </tp>
      <tp t="s">
        <v>#N/A Field Not Applicable</v>
        <stp/>
        <stp>##V3_BDPV12</stp>
        <stp>MPMIUSMA Index</stp>
        <stp>DES NOTES</stp>
        <stp>[GMIC Info Template.xlsm]ECO Calendar!R27C21</stp>
        <tr r="U27" s="2"/>
      </tp>
      <tp t="s">
        <v>Type FODG &lt;GO&gt; for more data from the Census Bureau's report on durable goods, manufacturers' shipments, inventories and orders.                                Please note: This index gets revised with the Factory Orders release {ALLX TMNO}. The Durable Goods Order release on ECO reflects the originally reported figures.  Please note that semiconductor figures will no longer be included in this series due to a lack of semiconductor manufacturers participation.  In 2001, figures from January 1992 to present were revised using the North American Industry Classification System (NAICS).  For old data series, containing data prior to 1992, please see {ODGOCHNG Index DES&lt;GO&gt;}.</v>
        <stp/>
        <stp>##V3_BDPV12</stp>
        <stp>DGNOCHNG Index</stp>
        <stp>DES NOTES</stp>
        <stp>[GMIC Info Template.xlsm]ECO Calendar!R31C21</stp>
        <tr r="U31" s="2"/>
      </tp>
      <tp>
        <v>26.984100000000002</v>
        <stp/>
        <stp>##V3_BDPV12</stp>
        <stp>NHCHATCH Index</stp>
        <stp>RELEVANCE VALUE</stp>
        <stp>[GMIC Info Template.xlsm]ECO Calendar!R114C5</stp>
        <tr r="E114" s="2"/>
      </tp>
      <tp t="s">
        <v>4/24/2015</v>
        <stp/>
        <stp>##V3_BDPV12</stp>
        <stp>CGNOXAI% Index</stp>
        <stp>ECO RELEASE DT</stp>
        <stp>[GMIC Info Template.xlsm]ECO Calendar!R33C16</stp>
        <tr r="P33" s="2"/>
      </tp>
      <tp t="s">
        <v>YoY% NSA</v>
        <stp/>
        <stp>##V3_BDPV12</stp>
        <stp>CHALYOY% Index</stp>
        <stp>SEASONALITY AND TRANSFORMATION</stp>
        <stp>[GMIC Info Template.xlsm]ECO Calendar!R72C11</stp>
        <tr r="K72" s="2"/>
      </tp>
      <tp t="s">
        <v>#N/A Field Not Applicable</v>
        <stp/>
        <stp>##V3_BDPV12</stp>
        <stp>NFP TYCH Index</stp>
        <stp>RELEVANCE VALUE</stp>
        <stp>[GMIC Info Template.xlsm]ECO Calendar!R119C19</stp>
        <tr r="S119" s="2"/>
      </tp>
      <tp t="s">
        <v>#N/A Field Not Applicable</v>
        <stp/>
        <stp>##V3_BDPV12</stp>
        <stp>NFP TYOY Index</stp>
        <stp>RELEVANCE VALUE</stp>
        <stp>[GMIC Info Template.xlsm]ECO Calendar!R121C19</stp>
        <tr r="S121" s="2"/>
      </tp>
      <tp t="s">
        <v>Personal consumption expenditures by major type of product.                     To see this index with a base year as 2000, please refer to the ticker PCE DEM0</v>
        <stp/>
        <stp>##V3_BDPV12</stp>
        <stp>PCE DEFM Index</stp>
        <stp>DES NOTES</stp>
        <stp>[GMIC Info Template.xlsm]ECO Calendar!R57C21</stp>
        <tr r="U57" s="2"/>
      </tp>
      <tp t="s">
        <v>US</v>
        <stp/>
        <stp>##V3_BDPV12</stp>
        <stp>MSFT US Equity</stp>
        <stp>COUNTRY</stp>
        <stp>[GMIC Info Template.xlsm]Security Analysis!R9C7</stp>
        <tr r="G9" s="13"/>
      </tp>
      <tp t="s">
        <v>Personal consumption expenditures by major type of product.                     To see this index with a base year as 2000, please refer to the ticker PCE DEY0</v>
        <stp/>
        <stp>##V3_BDPV12</stp>
        <stp>PCE DEFY Index</stp>
        <stp>DES NOTES</stp>
        <stp>[GMIC Info Template.xlsm]ECO Calendar!R56C21</stp>
        <tr r="U56" s="2"/>
      </tp>
      <tp t="s">
        <v>None</v>
        <stp/>
        <stp>##V3_BDPV12</stp>
        <stp>GDPCTOT% Index</stp>
        <stp>SCALING FORMAT</stp>
        <stp>[GMIC Info Template.xlsm]ECO Calendar!R50C10</stp>
        <tr r="J50" s="2"/>
      </tp>
      <tp t="s">
        <v>12/31/2014</v>
        <stp/>
        <stp>##V3_BDPV12</stp>
        <stp>GDP CQOQ Index</stp>
        <stp>PRIOR OBSERVATION DATE</stp>
        <stp>[GMIC Info Template.xlsm]ECO Calendar!R48C14</stp>
        <tr r="N48" s="2"/>
      </tp>
      <tp t="s">
        <v>5/7/2015</v>
        <stp/>
        <stp>##V3_BDPV12</stp>
        <stp>CHALYOY% Index</stp>
        <stp>ECO RELEASE DT</stp>
        <stp>[GMIC Info Template.xlsm]ECO Calendar!R72C16</stp>
        <tr r="P72" s="2"/>
      </tp>
      <tp t="s">
        <v>12/31/2014</v>
        <stp/>
        <stp>##V3_BDPV12</stp>
        <stp>GDP PIQQ Index</stp>
        <stp>PRIOR OBSERVATION DATE</stp>
        <stp>[GMIC Info Template.xlsm]ECO Calendar!R49C14</stp>
        <tr r="N49" s="2"/>
      </tp>
      <tp t="s">
        <v>MoM% SA</v>
        <stp/>
        <stp>##V3_BDPV12</stp>
        <stp>CGNOXAI% Index</stp>
        <stp>SEASONALITY AND TRANSFORMATION</stp>
        <stp>[GMIC Info Template.xlsm]ECO Calendar!R33C11</stp>
        <tr r="K33" s="2"/>
      </tp>
      <tp>
        <v>407196</v>
        <stp/>
        <stp>##V3_BDPV12</stp>
        <stp>KUTV US EQUITY</stp>
        <stp>PX VOLUME</stp>
        <stp>[GMIC Info Template.xlsm]Most Up &amp; Down!R15C14</stp>
        <tr r="N15" s="9"/>
      </tp>
      <tp>
        <v>5.5441634750338986</v>
        <stp/>
        <stp>##V3_BDPV12</stp>
        <stp>XOM US Equity</stp>
        <stp>LT DEBT TO TOT CAP</stp>
        <stp>[GMIC Info Template.xlsm]Security Analysis!R8C26</stp>
        <tr r="Z8" s="13"/>
      </tp>
      <tp t="s">
        <v>8:30:00 AM</v>
        <stp/>
        <stp>##V3_BDPV12</stp>
        <stp>FDIDSGUM Index</stp>
        <stp>ECO RELEASE TIME</stp>
        <stp>[GMIC Info Template.xlsm]ECO Calendar!R102C18</stp>
        <tr r="R102" s="2"/>
      </tp>
      <tp t="s">
        <v>8:30:00 AM</v>
        <stp/>
        <stp>##V3_BDPV12</stp>
        <stp>FDIUSGUY Index</stp>
        <stp>ECO RELEASE TIME</stp>
        <stp>[GMIC Info Template.xlsm]ECO Calendar!R103C18</stp>
        <tr r="R103" s="2"/>
      </tp>
      <tp t="s">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stp/>
        <stp>##V3_BDPV12</stp>
        <stp>SPCSUSAY Index</stp>
        <stp>DES NOTES</stp>
        <stp>[GMIC Info Template.xlsm]ECO Calendar!R40C21</stp>
        <tr r="U40" s="2"/>
      </tp>
      <tp t="s">
        <v>8:30:00 AM</v>
        <stp/>
        <stp>##V3_BDPV12</stp>
        <stp>NHSPSTOT Index</stp>
        <stp>ECO RELEASE TIME</stp>
        <stp>[GMIC Info Template.xlsm]ECO Calendar!R111C18</stp>
        <tr r="R111" s="2"/>
      </tp>
      <tp t="s">
        <v>8:30:00 AM</v>
        <stp/>
        <stp>##V3_BDPV12</stp>
        <stp>NHSPATOT Index</stp>
        <stp>ECO RELEASE TIME</stp>
        <stp>[GMIC Info Template.xlsm]ECO Calendar!R112C18</stp>
        <tr r="R112" s="2"/>
      </tp>
      <tp t="s">
        <v>#N/A Field Not Applicable</v>
        <stp/>
        <stp>##V3_BDPV12</stp>
        <stp>NYPMCURR Index</stp>
        <stp>DES NOTES</stp>
        <stp>[GMIC Info Template.xlsm]ECO Calendar!R66C21</stp>
        <tr r="U66" s="2"/>
      </tp>
      <tp>
        <v>45.875074263003711</v>
        <stp/>
        <stp>##V3_BDPV12</stp>
        <stp>DIS US Equity</stp>
        <stp>GROSS MARGIN</stp>
        <stp>[GMIC Info Template.xlsm]Security Analysis!R18C21</stp>
        <tr r="U18" s="13"/>
      </tp>
      <tp t="s">
        <v>4/22/2015</v>
        <stp/>
        <stp>##V3_BDPV12</stp>
        <stp>HPIMMOM% Index</stp>
        <stp>ECO RELEASE DT</stp>
        <stp>[GMIC Info Template.xlsm]ECO Calendar!R21C16</stp>
        <tr r="P21" s="2"/>
      </tp>
      <tp t="s">
        <v>US Employees on Nonfarm Payrolls Total SA Year Over Year Percent Change</v>
        <stp/>
        <stp>##V3_BDPV12</stp>
        <stp>NFP TYOY Index</stp>
        <stp>Long Comp Name</stp>
        <stp>[GMIC Info Template.xlsm]ECO Calendar!R121C3</stp>
        <tr r="C121" s="2"/>
      </tp>
      <tp>
        <v>4</v>
        <stp/>
        <stp>##V3_BDPV12</stp>
        <stp>NHCHATCH Index</stp>
        <stp>QUOTE PRIOR MID</stp>
        <stp>[GMIC Info Template.xlsm]ECO Calendar!R114C9</stp>
        <tr r="I114" s="2"/>
      </tp>
      <tp t="s">
        <v>None</v>
        <stp/>
        <stp>##V3_BDPV12</stp>
        <stp>LEI CHNG Index</stp>
        <stp>SCALING FORMAT</stp>
        <stp>[GMIC Info Template.xlsm]ECO Calendar!R18C10</stp>
        <tr r="J18" s="2"/>
      </tp>
      <tp t="s">
        <v>Thousand</v>
        <stp/>
        <stp>##V3_BDPV12</stp>
        <stp>ADP CHNG Index</stp>
        <stp>SCALING FORMAT</stp>
        <stp>[GMIC Info Template.xlsm]ECO Calendar!R71C10</stp>
        <tr r="J71" s="2"/>
      </tp>
      <tp t="s">
        <v>None</v>
        <stp/>
        <stp>##V3_BDPV12</stp>
        <stp>CPI CHNG Index</stp>
        <stp>SCALING FORMAT</stp>
        <stp>[GMIC Info Template.xlsm]ECO Calendar!R12C10</stp>
        <tr r="J12" s="2"/>
      </tp>
      <tp t="s">
        <v>4/30/2015</v>
        <stp/>
        <stp>##V3_BDPV12</stp>
        <stp>PCE CRCH Index</stp>
        <stp>ECO RELEASE DT</stp>
        <stp>[GMIC Info Template.xlsm]ECO Calendar!R53C16</stp>
        <tr r="P53" s="2"/>
      </tp>
      <tp>
        <v>282</v>
        <stp/>
        <stp>##V3_BDPV12</stp>
        <stp>INJCJC Index</stp>
        <stp>QUOTE PRIOR MID</stp>
        <stp>[GMIC Info Template.xlsm]ECO Calendar!R25C9</stp>
        <tr r="I25" s="2"/>
      </tp>
      <tp>
        <v>2815922</v>
        <stp/>
        <stp>##V3_BDPV12</stp>
        <stp>DSCO US EQUITY</stp>
        <stp>PX VOLUME</stp>
        <stp>[GMIC Info Template.xlsm]Most Up &amp; Down!R24C14</stp>
        <tr r="N24" s="9"/>
      </tp>
      <tp t="s">
        <v>#N/A Field Not Applicable</v>
        <stp/>
        <stp>##V3_BDPV12</stp>
        <stp>NFP TYCH Index</stp>
        <stp>ECO RELEASE TIME</stp>
        <stp>[GMIC Info Template.xlsm]ECO Calendar!R119C18</stp>
        <tr r="R119" s="2"/>
      </tp>
      <tp>
        <v>25.986355527266536</v>
        <stp/>
        <stp>##V3_BDPV12</stp>
        <stp>AAPL US Equity</stp>
        <stp>LT DEBT TO TOT EQY</stp>
        <stp>[GMIC Info Template.xlsm]Security Analysis!R7C25</stp>
        <tr r="Y7" s="13"/>
      </tp>
      <tp t="s">
        <v>Type FODG &lt;GO&gt; for more data from the Census Bureau's report on durable goods, manufacturers' shipments, inventories and orders.                                Please note: This index gets revised with the Factory Orders release {ALLX TMNO}. The Durable Goods Order release on ECO reflects the originally reported figures.  Please note that semiconductor figures will no longer be included in this series due to a lack of semiconductor manufacturers participation.  In 2001, figures from January 1992 to present were revised using the North American Industry Classification System (NAICS).  Data prior to January 1992 uses the Standard Industrial Classifciation (SIC) so comparisons of figures prior to 1992 with those after 1992 should be made with caution.</v>
        <stp/>
        <stp>##V3_BDPV12</stp>
        <stp>DGNOXTCH Index</stp>
        <stp>DES NOTES</stp>
        <stp>[GMIC Info Template.xlsm]ECO Calendar!R32C21</stp>
        <tr r="U32" s="2"/>
      </tp>
      <tp t="s">
        <v>http://www.bls.gov/cps/smoothed_emp.htm for USEMADJP                            This index's calculation is (USEMTOT index Previous value - USEMTOT index Current Value)</v>
        <stp/>
        <stp>##V3_BDPV12</stp>
        <stp>USEMNCHG Index</stp>
        <stp>DES NOTES</stp>
        <stp>[GMIC Info Template.xlsm]ECO Calendar!R81C21</stp>
        <tr r="U81" s="2"/>
      </tp>
      <tp>
        <v>80.693478479991938</v>
        <stp/>
        <stp>##V3_BDPV12</stp>
        <stp>PFE US Equity</stp>
        <stp>GROSS MARGIN</stp>
        <stp>[GMIC Info Template.xlsm]Security Analysis!R15C21</stp>
        <tr r="U15" s="13"/>
      </tp>
      <tp t="s">
        <v>8:30:00 AM</v>
        <stp/>
        <stp>##V3_BDPV12</stp>
        <stp>EMPRGBCI Index</stp>
        <stp>ECO RELEASE TIME</stp>
        <stp>[GMIC Info Template.xlsm]ECO Calendar!R107C18</stp>
        <tr r="R107" s="2"/>
      </tp>
      <tp t="s">
        <v>5/21/2015</v>
        <stp/>
        <stp>##V3_BDPV12</stp>
        <stp>LEI CHNG Index</stp>
        <stp>ECO RELEASE DT</stp>
        <stp>[GMIC Info Template.xlsm]ECO Calendar!R18C16</stp>
        <tr r="P18" s="2"/>
      </tp>
      <tp>
        <v>9.3436011876204557</v>
        <stp/>
        <stp>##V3_BDPV12</stp>
        <stp>XOM US Equity</stp>
        <stp>OPER MARGIN</stp>
        <stp>[GMIC Info Template.xlsm]Security Analysis!R8C23</stp>
        <tr r="W8" s="13"/>
      </tp>
      <tp t="s">
        <v>None</v>
        <stp/>
        <stp>##V3_BDPV12</stp>
        <stp>PCE CRCH Index</stp>
        <stp>SCALING FORMAT</stp>
        <stp>[GMIC Info Template.xlsm]ECO Calendar!R53C10</stp>
        <tr r="J53" s="2"/>
      </tp>
      <tp>
        <v>51.5</v>
        <stp/>
        <stp>##V3_BDPV12</stp>
        <stp>COMFBTWR Index</stp>
        <stp>QUOTE PRIOR MID</stp>
        <stp>[GMIC Info Template.xlsm]ECO Calendar!R115C9</stp>
        <tr r="I115" s="2"/>
      </tp>
      <tp t="s">
        <v>MoM% SA</v>
        <stp/>
        <stp>##V3_BDPV12</stp>
        <stp>RSTAXAG% Index</stp>
        <stp>SEASONALITY AND TRANSFORMATION</stp>
        <stp>[GMIC Info Template.xlsm]ECO Calendar!R95C11</stp>
        <tr r="K95" s="2"/>
      </tp>
      <tp t="s">
        <v>5/22/2015</v>
        <stp/>
        <stp>##V3_BDPV12</stp>
        <stp>CPI CHNG Index</stp>
        <stp>ECO RELEASE DT</stp>
        <stp>[GMIC Info Template.xlsm]ECO Calendar!R12C16</stp>
        <tr r="P12" s="2"/>
      </tp>
      <tp t="s">
        <v>5/6/2015</v>
        <stp/>
        <stp>##V3_BDPV12</stp>
        <stp>ADP CHNG Index</stp>
        <stp>ECO RELEASE DT</stp>
        <stp>[GMIC Info Template.xlsm]ECO Calendar!R71C16</stp>
        <tr r="P71" s="2"/>
      </tp>
      <tp>
        <v>253.5</v>
        <stp/>
        <stp>##V3_BDPV12</stp>
        <stp>INJCJCNS Index</stp>
        <stp>QUOTE PRIOR MID</stp>
        <stp>[GMIC Info Template.xlsm]ECO Calendar!R117C9</stp>
        <tr r="I117" s="2"/>
      </tp>
      <tp>
        <v>-52.91</v>
        <stp/>
        <stp>##V3_BDPV12</stp>
        <stp>FDDSSD Index</stp>
        <stp>PX LAST</stp>
        <stp>[GMIC Info Template.xlsm]ECO Calendar!R89C7</stp>
        <tr r="G89" s="2"/>
      </tp>
      <tp t="s">
        <v>None</v>
        <stp/>
        <stp>##V3_BDPV12</stp>
        <stp>HPIMMOM% Index</stp>
        <stp>SCALING FORMAT</stp>
        <stp>[GMIC Info Template.xlsm]ECO Calendar!R21C10</stp>
        <tr r="J21" s="2"/>
      </tp>
      <tp>
        <v>-192.327</v>
        <stp/>
        <stp>##V3_BDPV12</stp>
        <stp>FDDSSD Index</stp>
        <stp>QUOTE PRIOR MID</stp>
        <stp>[GMIC Info Template.xlsm]ECO Calendar!R89C9</stp>
        <tr r="I89" s="2"/>
      </tp>
      <tp t="s">
        <v>#N/A N/A</v>
        <stp/>
        <stp>##V3_BDPV12</stp>
        <stp>V US Equity</stp>
        <stp>GROSS MARGIN</stp>
        <stp>[GMIC Info Template.xlsm]Security Analysis!R22C21</stp>
        <tr r="U22" s="13"/>
      </tp>
      <tp>
        <v>211833</v>
        <stp/>
        <stp>##V3_BDPV12</stp>
        <stp>ESCR US EQUITY</stp>
        <stp>PX VOLUME</stp>
        <stp>[GMIC Info Template.xlsm]Most Up &amp; Down!R31C14</stp>
        <tr r="N31" s="9"/>
      </tp>
      <tp>
        <v>1.0806</v>
        <stp/>
        <stp>##V3_BDPV12</stp>
        <stp>EURUSD CURNCY</stp>
        <stp>PREV CLOSE VAL</stp>
        <stp>[GMIC Info Template.xlsm]Currencies &amp; Commodities!R12C5</stp>
        <tr r="E12" s="3"/>
      </tp>
      <tp t="s">
        <v>ECON Flash Indices. Historical data cannot be stored as per the source.         Historical data is not currently stored for this Index, only the current value is stored to update ECO&lt;GO&gt;. This index is based on the original and revised values for {NFP TCH  Index &lt;go&gt;} for the prior two months.</v>
        <stp/>
        <stp>##V3_BDPV12</stp>
        <stp>ECONGECC Index</stp>
        <stp>DES NOTES</stp>
        <stp>[GMIC Info Template.xlsm]ECO Calendar!R84C21</stp>
        <tr r="U84" s="2"/>
      </tp>
      <tp t="s">
        <v>None</v>
        <stp/>
        <stp>##V3_BDPV12</stp>
        <stp>CHALYOY% Index</stp>
        <stp>SCALING FORMAT</stp>
        <stp>[GMIC Info Template.xlsm]ECO Calendar!R72C10</stp>
        <tr r="J72" s="2"/>
      </tp>
      <tp>
        <v>79.016499999999994</v>
        <stp/>
        <stp>##V3_BDPV12</stp>
        <stp>CPTICHNG Index</stp>
        <stp>QUOTE PRIOR MID</stp>
        <stp>[GMIC Info Template.xlsm]ECO Calendar!R105C9</stp>
        <tr r="I105" s="2"/>
      </tp>
      <tp>
        <v>294</v>
        <stp/>
        <stp>##V3_BDPV12</stp>
        <stp>INJCJC Index</stp>
        <stp>PX LAST</stp>
        <stp>[GMIC Info Template.xlsm]ECO Calendar!R25C7</stp>
        <tr r="G25" s="2"/>
      </tp>
      <tp t="s">
        <v>US</v>
        <stp/>
        <stp>##V3_BDPV12</stp>
        <stp>CSCO US Equity</stp>
        <stp>CNTRY OF RISK</stp>
        <stp>[GMIC Info Template.xlsm]Security Analysis!R25C8</stp>
        <tr r="H25" s="13"/>
      </tp>
      <tp t="s">
        <v>4/29/2015</v>
        <stp/>
        <stp>##V3_BDPV12</stp>
        <stp>GDPCTOT% Index</stp>
        <stp>ECO RELEASE DT</stp>
        <stp>[GMIC Info Template.xlsm]ECO Calendar!R50C16</stp>
        <tr r="P50" s="2"/>
      </tp>
      <tp>
        <v>6.9</v>
        <stp/>
        <stp>##V3_BDPV12</stp>
        <stp>EMPRGBCI Index</stp>
        <stp>QUOTE PRIOR MID</stp>
        <stp>[GMIC Info Template.xlsm]ECO Calendar!R107C9</stp>
        <tr r="I107" s="2"/>
      </tp>
      <tp>
        <v>60.708693017729132</v>
        <stp/>
        <stp>##V3_BDPV12</stp>
        <stp>VZ US Equity</stp>
        <stp>GROSS MARGIN</stp>
        <stp>[GMIC Info Template.xlsm]Security Analysis!R17C21</stp>
        <tr r="U17" s="13"/>
      </tp>
      <tp t="s">
        <v>S&amp;P/Case-Shiller Composite-20</v>
        <stp/>
        <stp>##V3_BDPV12</stp>
        <stp>SPCS20Y% Index</stp>
        <stp>NAME</stp>
        <stp>[GMIC Info Template.xlsm]ECO Calendar!R39C6</stp>
        <tr r="F39" s="2"/>
      </tp>
      <tp>
        <v>1110794</v>
        <stp/>
        <stp>##V3_BDPV12</stp>
        <stp>FNRG US EQUITY</stp>
        <stp>PX VOLUME</stp>
        <stp>[GMIC Info Template.xlsm]Most Up &amp; Down!R25C14</stp>
        <tr r="N25" s="9"/>
      </tp>
      <tp t="s">
        <v>MBA has re-benchmarked the index values as of September 16, 2011. To view the new rebenchmarked methodology data (back to January 14, 2011) , please view {ALLX OMBA&lt;GO&gt;}.  MBA Weekly Apps Methodology: {http://www.mortgagebankers.org/files/Research/HistoricalWAS/WASMethodology.pdf} MBA Weekly Apps Frequently Asked Questions: {http://www.mortgagebankers.org/files/Research/HistoricalWAS/WASFAQ.pdf}  This index is a measure of mortgage loan applications for purchases and refinancings.  To track the actual index level use {MBAVBASC &lt;Index&gt;}. There is a break in the series on Sept. 16, 2011 due to an increase in the sample size.</v>
        <stp/>
        <stp>##V3_BDPV12</stp>
        <stp>MBAVCHNG Index</stp>
        <stp>DES NOTES</stp>
        <stp>[GMIC Info Template.xlsm]ECO Calendar!R20C21</stp>
        <tr r="U20" s="2"/>
      </tp>
      <tp>
        <v>88.888900000000007</v>
        <stp/>
        <stp>##V3_BDPV12</stp>
        <stp>IP CHNG Index</stp>
        <stp>RELEVANCE VALUE</stp>
        <stp>[GMIC Info Template.xlsm]ECO Calendar!R104C19</stp>
        <tr r="S104" s="2"/>
      </tp>
      <tp t="s">
        <v>This data began being published on a monthly basis, from quarterly, with the 7/31/01 figures.  Data prior to this is Seasonally Adjusted while going forward all figures are Not Seasonally Adjusted.  Comparisons prior to July 2001 with those after should be made with caution.</v>
        <stp/>
        <stp>##V3_BDPV12</stp>
        <stp>KCLSSACI Index</stp>
        <stp>DES NOTES</stp>
        <stp>[GMIC Info Template.xlsm]ECO Calendar!R28C21</stp>
        <tr r="U28" s="2"/>
      </tp>
      <tp t="s">
        <v>US</v>
        <stp/>
        <stp>##V3_BDPV12</stp>
        <stp>XOM US Equity</stp>
        <stp>CNTRY OF RISK</stp>
        <stp>[GMIC Info Template.xlsm]Security Analysis!R8C8</stp>
        <tr r="H8" s="13"/>
      </tp>
      <tp t="s">
        <v>None</v>
        <stp/>
        <stp>##V3_BDPV12</stp>
        <stp>CGNOXAI% Index</stp>
        <stp>SCALING FORMAT</stp>
        <stp>[GMIC Info Template.xlsm]ECO Calendar!R33C10</stp>
        <tr r="J33" s="2"/>
      </tp>
      <tp t="s">
        <v>#N/A Field Not Applicable</v>
        <stp/>
        <stp>##V3_BDPV12</stp>
        <stp>INJCJCNS Index</stp>
        <stp>RELEVANCE VALUE</stp>
        <stp>[GMIC Info Template.xlsm]ECO Calendar!R117C5</stp>
        <tr r="E117" s="2"/>
      </tp>
      <tp>
        <v>8.915377930327363</v>
        <stp/>
        <stp>##V3_BDPV12</stp>
        <stp>XOM US Equity</stp>
        <stp>PROF MARGIN</stp>
        <stp>[GMIC Info Template.xlsm]Security Analysis!R8C24</stp>
        <tr r="X8" s="13"/>
      </tp>
      <tp>
        <v>43.650799999999997</v>
        <stp/>
        <stp>##V3_BDPV12</stp>
        <stp>COMFBTWR Index</stp>
        <stp>RELEVANCE VALUE</stp>
        <stp>[GMIC Info Template.xlsm]ECO Calendar!R115C5</stp>
        <tr r="E115" s="2"/>
      </tp>
      <tp t="s">
        <v>QoQ% SAAR</v>
        <stp/>
        <stp>##V3_BDPV12</stp>
        <stp>GDPCTOT% Index</stp>
        <stp>SEASONALITY AND TRANSFORMATION</stp>
        <stp>[GMIC Info Template.xlsm]ECO Calendar!R50C11</stp>
        <tr r="K50" s="2"/>
      </tp>
      <tp>
        <v>1125695</v>
        <stp/>
        <stp>##V3_BDPV12</stp>
        <stp>GNMK US EQUITY</stp>
        <stp>PX VOLUME</stp>
        <stp>[GMIC Info Template.xlsm]Most Up &amp; Down!R26C14</stp>
        <tr r="N26" s="9"/>
      </tp>
      <tp t="s">
        <v>US5949181045</v>
        <stp/>
        <stp>##V3_BDPV12</stp>
        <stp>MSFT US Equity</stp>
        <stp>ID ISIN</stp>
        <stp>[GMIC Info Template.xlsm]Security Analysis!R9C3</stp>
        <tr r="C9" s="13"/>
      </tp>
      <tp t="s">
        <v>The underlying data is currently provided by Ward's Automotive Group.Further information on the use of auto unit sales in the preparation of PCE estimates can be found in U.S. Department of Commerce, Bureau of Economic Analysis, Personal Consumption Expenditures, Methodology Paper Series MP-6 (1990).                   This index is the seasonally adjusted annual sales of domestic made light vehicles sold in the US, in Millions. Domestic made light vehicles including cars and light trucks that are manufactured in the US, Canada, and Mexico. These figures are calculated as follows: the monthly sales divided by the SAAR factors (The Seasonally Adjusted Annualized Selling Rate) provided by the Commerce Department. The SAAR factors adjust for seasonal changes in salse and annualize the figures, making comparisons of the monthly data more meaningful. Please see ATSL&lt;GO&gt; for all auto sales statistics. Data prior to 1991 is taken directly from the Commerce Department. Data revisions due to sea</v>
        <stp/>
        <stp>##V3_BDPV12</stp>
        <stp>SAARDTOT Index</stp>
        <stp>DES NOTES</stp>
        <stp>[GMIC Info Template.xlsm]ECO Calendar!R65C21</stp>
        <tr r="U65" s="2"/>
      </tp>
      <tp t="s">
        <v>In June 2003, all figures from the establishment survey were converted from the Standard Industrial Classification (SIC) over to the North American Industry Classification System (NAICS).  As a result, new categories were created and all history was revised.  Please note that only the broader categories will have history dating back prior to 1990.</v>
        <stp/>
        <stp>##V3_BDPV12</stp>
        <stp>USMMMNCH Index</stp>
        <stp>DES NOTES</stp>
        <stp>[GMIC Info Template.xlsm]ECO Calendar!R76C21</stp>
        <tr r="U76" s="2"/>
      </tp>
      <tp t="s">
        <v>#N/A Field Not Applicable</v>
        <stp/>
        <stp>##V3_BDPV12</stp>
        <stp>MPMIUSCA Index</stp>
        <stp>DES NOTES</stp>
        <stp>[GMIC Info Template.xlsm]ECO Calendar!R35C21</stp>
        <tr r="U35" s="2"/>
      </tp>
      <tp t="s">
        <v>8:30:00 AM</v>
        <stp/>
        <stp>##V3_BDPV12</stp>
        <stp>FDIUSGYO Index</stp>
        <stp>ECO RELEASE TIME</stp>
        <stp>[GMIC Info Template.xlsm]ECO Calendar!R101C18</stp>
        <tr r="R101" s="2"/>
      </tp>
      <tp t="s">
        <v>Net Monthly Change SA</v>
        <stp/>
        <stp>##V3_BDPV12</stp>
        <stp>ADP CHNG Index</stp>
        <stp>SEASONALITY AND TRANSFORMATION</stp>
        <stp>[GMIC Info Template.xlsm]ECO Calendar!R71C11</stp>
        <tr r="K71" s="2"/>
      </tp>
      <tp t="s">
        <v>MoM% SA</v>
        <stp/>
        <stp>##V3_BDPV12</stp>
        <stp>CPI CHNG Index</stp>
        <stp>SEASONALITY AND TRANSFORMATION</stp>
        <stp>[GMIC Info Template.xlsm]ECO Calendar!R12C11</stp>
        <tr r="K12" s="2"/>
      </tp>
      <tp>
        <v>82.539699999999996</v>
        <stp/>
        <stp>##V3_BDPV12</stp>
        <stp>EMPRGBCI Index</stp>
        <stp>RELEVANCE VALUE</stp>
        <stp>[GMIC Info Template.xlsm]ECO Calendar!R107C5</stp>
        <tr r="E107" s="2"/>
      </tp>
      <tp t="s">
        <v>5/13/2015</v>
        <stp/>
        <stp>##V3_BDPV12</stp>
        <stp>RSTAXAG% Index</stp>
        <stp>ECO RELEASE DT</stp>
        <stp>[GMIC Info Template.xlsm]ECO Calendar!R95C16</stp>
        <tr r="P95" s="2"/>
      </tp>
      <tp t="s">
        <v>MoM% SA</v>
        <stp/>
        <stp>##V3_BDPV12</stp>
        <stp>LEI CHNG Index</stp>
        <stp>SEASONALITY AND TRANSFORMATION</stp>
        <stp>[GMIC Info Template.xlsm]ECO Calendar!R18C11</stp>
        <tr r="K18" s="2"/>
      </tp>
      <tp>
        <v>62.222200000000001</v>
        <stp/>
        <stp>##V3_BDPV12</stp>
        <stp>CPTICHNG Index</stp>
        <stp>RELEVANCE VALUE</stp>
        <stp>[GMIC Info Template.xlsm]ECO Calendar!R105C5</stp>
        <tr r="E105" s="2"/>
      </tp>
      <tp>
        <v>0.1</v>
        <stp/>
        <stp>##V3_BDPV12</stp>
        <stp>CFNAI Index</stp>
        <stp>BN SURVEY MEDIAN</stp>
        <stp>[GMIC Info Template.xlsm]ECO Calendar!R19C8</stp>
        <tr r="H19" s="2"/>
      </tp>
      <tp>
        <v>6.1978999999999997</v>
        <stp/>
        <stp>##V3_BDPV12</stp>
        <stp>USDCNY CURNCY</stp>
        <stp>PREV CLOSE VAL</stp>
        <stp>[GMIC Info Template.xlsm]Currencies &amp; Commodities!R9C5</stp>
        <tr r="E9" s="3"/>
      </tp>
      <tp>
        <v>48.881558354000632</v>
        <stp/>
        <stp>##V3_BDPV12</stp>
        <stp>PG US Equity</stp>
        <stp>GROSS MARGIN</stp>
        <stp>[GMIC Info Template.xlsm]Security Analysis!R14C21</stp>
        <tr r="U14" s="13"/>
      </tp>
      <tp>
        <v>50.01131550871294</v>
        <stp/>
        <stp>##V3_BDPV12</stp>
        <stp>IBM US Equity</stp>
        <stp>GROSS MARGIN</stp>
        <stp>[GMIC Info Template.xlsm]Security Analysis!R21C21</stp>
        <tr r="U21" s="13"/>
      </tp>
      <tp t="s">
        <v>Base year 2000=100.</v>
        <stp/>
        <stp>##V3_BDPV12</stp>
        <stp>IMP1YOY% Index</stp>
        <stp>DES NOTES</stp>
        <stp>[GMIC Info Template.xlsm]ECO Calendar!R92C21</stp>
        <tr r="U92" s="2"/>
      </tp>
      <tp>
        <v>64.285700000000006</v>
        <stp/>
        <stp>##V3_BDPV12</stp>
        <stp>CFNAI Index</stp>
        <stp>RELEVANCE VALUE</stp>
        <stp>[GMIC Info Template.xlsm]ECO Calendar!R19C5</stp>
        <tr r="E19" s="2"/>
      </tp>
      <tp t="s">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                                                            In June 2003, all figures from the establishment survey were converted from the Standard Industrial Classification (SIC) over to the North American Industry Classification System (NAICS).  As a result, new categories were created and all history was revised.  Please note that only the broader categories will have history dating back prior to 1990.</v>
        <stp/>
        <stp>##V3_BDPV12</stp>
        <stp>NFP T Index</stp>
        <stp>DES NOTES</stp>
        <stp>[GMIC Info Template.xlsm]ECO Calendar!R118C21</stp>
        <tr r="U118" s="2"/>
      </tp>
      <tp t="s">
        <v>None</v>
        <stp/>
        <stp>##V3_BDPV12</stp>
        <stp>AWH TOTL Index</stp>
        <stp>SCALING FORMAT</stp>
        <stp>[GMIC Info Template.xlsm]ECO Calendar!R80C10</stp>
        <tr r="J80" s="2"/>
      </tp>
      <tp t="s">
        <v>4/30/2015</v>
        <stp/>
        <stp>##V3_BDPV12</stp>
        <stp>PCE CHNC Index</stp>
        <stp>ECO RELEASE DT</stp>
        <stp>[GMIC Info Template.xlsm]ECO Calendar!R58C16</stp>
        <tr r="P58" s="2"/>
      </tp>
      <tp t="s">
        <v>#N/A Field Not Applicable</v>
        <stp/>
        <stp>##V3_BDPV12</stp>
        <stp>CONCCYOY Index</stp>
        <stp>RELEVANCE VALUE</stp>
        <stp>[GMIC Info Template.xlsm]ECO Calendar!R122C5</stp>
        <tr r="E122" s="2"/>
      </tp>
      <tp t="s">
        <v>US30231G1022</v>
        <stp/>
        <stp>##V3_BDPV12</stp>
        <stp>XOM US Equity</stp>
        <stp>ID ISIN</stp>
        <stp>[GMIC Info Template.xlsm]Security Analysis!R8C3</stp>
        <tr r="C8" s="13"/>
      </tp>
      <tp>
        <v>26649246</v>
        <stp/>
        <stp>##V3_BDPV12</stp>
        <stp>ATHX US EQUITY</stp>
        <stp>PX VOLUME</stp>
        <stp>[GMIC Info Template.xlsm]Most Up &amp; Down!R22C14</stp>
        <tr r="N22" s="9"/>
      </tp>
      <tp>
        <v>37328122</v>
        <stp/>
        <stp>##V3_BDPV12</stp>
        <stp>AXPW US EQUITY</stp>
        <stp>PX VOLUME</stp>
        <stp>[GMIC Info Template.xlsm]Most Up &amp; Down!R11C14</stp>
        <tr r="N11" s="9"/>
      </tp>
      <tp>
        <v>1.2848999999999999</v>
        <stp/>
        <stp>##V3_BDPV12</stp>
        <stp>USDAUD CURNCY</stp>
        <stp>PREV CLOSE VAL</stp>
        <stp>[GMIC Info Template.xlsm]Currencies &amp; Commodities!R10C5</stp>
        <tr r="E10" s="3"/>
      </tp>
      <tp>
        <v>104167</v>
        <stp/>
        <stp>##V3_BDPV12</stp>
        <stp>ADAT US EQUITY</stp>
        <stp>PX VOLUME</stp>
        <stp>[GMIC Info Template.xlsm]Most Up &amp; Down!R19C14</stp>
        <tr r="N19" s="9"/>
      </tp>
      <tp t="s">
        <v>Please note that this sector represents earnings of all workers; for the average hourly earnings of production or nonsupervisory workers on private non-farm payrolls by industry; please use ALLX USHE, which is BLS' older series that contains further historical data.</v>
        <stp/>
        <stp>##V3_BDPV12</stp>
        <stp>AHE MOM% Index</stp>
        <stp>DES NOTES</stp>
        <stp>[GMIC Info Template.xlsm]ECO Calendar!R78C21</stp>
        <tr r="U78" s="2"/>
      </tp>
      <tp>
        <v>55.433598262472984</v>
        <stp/>
        <stp>##V3_BDPV12</stp>
        <stp>MCD US Equity</stp>
        <stp>GROSS MARGIN</stp>
        <stp>[GMIC Info Template.xlsm]Security Analysis!R30C21</stp>
        <tr r="U30" s="13"/>
      </tp>
      <tp t="s">
        <v>None</v>
        <stp/>
        <stp>##V3_BDPV12</stp>
        <stp>CGSHXAI% Index</stp>
        <stp>SCALING FORMAT</stp>
        <stp>[GMIC Info Template.xlsm]ECO Calendar!R34C10</stp>
        <tr r="J34" s="2"/>
      </tp>
      <tp t="s">
        <v>None</v>
        <stp/>
        <stp>##V3_BDPV12</stp>
        <stp>PCE CMOM Index</stp>
        <stp>SCALING FORMAT</stp>
        <stp>[GMIC Info Template.xlsm]ECO Calendar!R54C10</stp>
        <tr r="J54" s="2"/>
      </tp>
      <tp t="s">
        <v>None</v>
        <stp/>
        <stp>##V3_BDPV12</stp>
        <stp>PCE DEFM Index</stp>
        <stp>SCALING FORMAT</stp>
        <stp>[GMIC Info Template.xlsm]ECO Calendar!R57C10</stp>
        <tr r="J57" s="2"/>
      </tp>
      <tp>
        <v>99.206299999999999</v>
        <stp/>
        <stp>##V3_BDPV12</stp>
        <stp>NFP TCH Index</stp>
        <stp>RELEVANCE VALUE</stp>
        <stp>[GMIC Info Template.xlsm]ECO Calendar!R74C19</stp>
        <tr r="S74" s="2"/>
      </tp>
      <tp>
        <v>63.492100000000001</v>
        <stp/>
        <stp>##V3_BDPV12</stp>
        <stp>CPI YOY Index</stp>
        <stp>RELEVANCE VALUE</stp>
        <stp>[GMIC Info Template.xlsm]ECO Calendar!R14C19</stp>
        <tr r="S14" s="2"/>
      </tp>
      <tp>
        <v>30.952400000000001</v>
        <stp/>
        <stp>##V3_BDPV12</stp>
        <stp>NFP PCH Index</stp>
        <stp>RELEVANCE VALUE</stp>
        <stp>[GMIC Info Template.xlsm]ECO Calendar!R77C19</stp>
        <tr r="S77" s="2"/>
      </tp>
      <tp t="s">
        <v>US</v>
        <stp/>
        <stp>##V3_BDPV12</stp>
        <stp>AAPL US Equity</stp>
        <stp>CNTRY OF RISK</stp>
        <stp>[GMIC Info Template.xlsm]Security Analysis!R7C8</stp>
        <tr r="H7" s="13"/>
      </tp>
      <tp t="s">
        <v>Personal consumption expenditures by major type of product.                     To see this index with a base year as 2000, please refer to the ticker PCE CHN0. Data is MoM of {PCE CHNC Index DES&lt;GO&gt;}.</v>
        <stp/>
        <stp>##V3_BDPV12</stp>
        <stp>PCE CHNC Index</stp>
        <stp>DES NOTES</stp>
        <stp>[GMIC Info Template.xlsm]ECO Calendar!R58C21</stp>
        <tr r="U58" s="2"/>
      </tp>
      <tp>
        <v>26.2</v>
        <stp/>
        <stp>##V3_BDPV12</stp>
        <stp>CONCCYOY Index</stp>
        <stp>QUOTE PRIOR MID</stp>
        <stp>[GMIC Info Template.xlsm]ECO Calendar!R122C9</stp>
        <tr r="I122" s="2"/>
      </tp>
      <tp>
        <v>-13.433579999999999</v>
        <stp/>
        <stp>##V3_BDPV12</stp>
        <stp>XOM US Equity</stp>
        <stp>CHG PCT 1YR</stp>
        <stp>[GMIC Info Template.xlsm]Security Analysis!R8C18</stp>
        <tr r="R8" s="13"/>
      </tp>
      <tp t="s">
        <v>2/28/2015</v>
        <stp/>
        <stp>##V3_BDPV12</stp>
        <stp>CPI XYOY Index</stp>
        <stp>PRIOR OBSERVATION DATE</stp>
        <stp>[GMIC Info Template.xlsm]ECO Calendar!R15C14</stp>
        <tr r="N15" s="2"/>
      </tp>
      <tp t="s">
        <v>1/31/2015</v>
        <stp/>
        <stp>##V3_BDPV12</stp>
        <stp>PCE CYOY Index</stp>
        <stp>PRIOR OBSERVATION DATE</stp>
        <stp>[GMIC Info Template.xlsm]ECO Calendar!R55C14</stp>
        <tr r="N55" s="2"/>
      </tp>
      <tp t="s">
        <v>1/31/2015</v>
        <stp/>
        <stp>##V3_BDPV12</stp>
        <stp>PCE DEFY Index</stp>
        <stp>PRIOR OBSERVATION DATE</stp>
        <stp>[GMIC Info Template.xlsm]ECO Calendar!R56C14</stp>
        <tr r="N56" s="2"/>
      </tp>
      <tp t="s">
        <v>#N/A Field Not Applicable</v>
        <stp/>
        <stp>##V3_BDPV12</stp>
        <stp>CONCCYOY Index</stp>
        <stp>RELEVANCE VALUE</stp>
        <stp>[GMIC Info Template.xlsm]ECO Calendar!R122C19</stp>
        <tr r="S122" s="2"/>
      </tp>
      <tp t="s">
        <v>Personal consumption expenditures by major type of product.</v>
        <stp/>
        <stp>##V3_BDPV12</stp>
        <stp>PCE CMOM Index</stp>
        <stp>DES NOTES</stp>
        <stp>[GMIC Info Template.xlsm]ECO Calendar!R54C21</stp>
        <tr r="U54" s="2"/>
      </tp>
      <tp>
        <v>184488</v>
        <stp/>
        <stp>##V3_BDPV12</stp>
        <stp>CBYL US EQUITY</stp>
        <stp>PX VOLUME</stp>
        <stp>[GMIC Info Template.xlsm]Most Up &amp; Down!R18C14</stp>
        <tr r="N18" s="9"/>
      </tp>
      <tp t="s">
        <v>Personal consumption expenditures by major type of product.</v>
        <stp/>
        <stp>##V3_BDPV12</stp>
        <stp>PCE CYOY Index</stp>
        <stp>DES NOTES</stp>
        <stp>[GMIC Info Template.xlsm]ECO Calendar!R55C21</stp>
        <tr r="U55" s="2"/>
      </tp>
      <tp>
        <v>26.806683096549722</v>
        <stp/>
        <stp>##V3_BDPV12</stp>
        <stp>CAT US Equity</stp>
        <stp>GROSS MARGIN</stp>
        <stp>[GMIC Info Template.xlsm]Security Analysis!R35C21</stp>
        <tr r="U35" s="13"/>
      </tp>
      <tp t="s">
        <v>MoM% SA</v>
        <stp/>
        <stp>##V3_BDPV12</stp>
        <stp>PCE CHNC Index</stp>
        <stp>SEASONALITY AND TRANSFORMATION</stp>
        <stp>[GMIC Info Template.xlsm]ECO Calendar!R58C11</stp>
        <tr r="K58" s="2"/>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161925</xdr:colOff>
          <xdr:row>3</xdr:row>
          <xdr:rowOff>19050</xdr:rowOff>
        </xdr:from>
        <xdr:to>
          <xdr:col>13</xdr:col>
          <xdr:colOff>390525</xdr:colOff>
          <xdr:row>4</xdr:row>
          <xdr:rowOff>85725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419100</xdr:colOff>
          <xdr:row>2</xdr:row>
          <xdr:rowOff>19050</xdr:rowOff>
        </xdr:from>
        <xdr:to>
          <xdr:col>5</xdr:col>
          <xdr:colOff>790575</xdr:colOff>
          <xdr:row>3</xdr:row>
          <xdr:rowOff>76200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a:t>
              </a:r>
            </a:p>
          </xdr:txBody>
        </xdr:sp>
        <xdr:clientData fPrintsWithSheet="0"/>
      </xdr:twoCellAnchor>
    </mc:Choice>
    <mc:Fallback/>
  </mc:AlternateContent>
</xdr:wsDr>
</file>

<file path=xl/tables/table1.xml><?xml version="1.0" encoding="utf-8"?>
<table xmlns="http://schemas.openxmlformats.org/spreadsheetml/2006/main" id="1" name="Table1" displayName="Table1" ref="E1:L138" totalsRowShown="0" headerRowDxfId="11" dataDxfId="10">
  <autoFilter ref="E1:L138"/>
  <sortState ref="E2:L138">
    <sortCondition descending="1" ref="K1:K138"/>
  </sortState>
  <tableColumns count="8">
    <tableColumn id="1" name="Event" dataDxfId="9"/>
    <tableColumn id="2" name="Column1" dataDxfId="8"/>
    <tableColumn id="3" name="Survey" dataDxfId="7"/>
    <tableColumn id="4" name="Actual" dataDxfId="6"/>
    <tableColumn id="5" name="Prior" dataDxfId="5"/>
    <tableColumn id="6" name="Revised" dataDxfId="4"/>
    <tableColumn id="7" name="Relevance" dataDxfId="3"/>
    <tableColumn id="8" name="Ticker"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40"/>
  <sheetViews>
    <sheetView showGridLines="0" topLeftCell="A90" workbookViewId="0">
      <selection activeCell="C128" sqref="C128"/>
    </sheetView>
  </sheetViews>
  <sheetFormatPr defaultColWidth="8.85546875" defaultRowHeight="15" x14ac:dyDescent="0.25"/>
  <cols>
    <col min="1" max="1" width="36.5703125" bestFit="1" customWidth="1"/>
    <col min="2" max="2" width="3.28515625" bestFit="1" customWidth="1"/>
    <col min="3" max="3" width="4.7109375" bestFit="1" customWidth="1"/>
    <col min="5" max="5" width="36.5703125" bestFit="1" customWidth="1"/>
    <col min="6" max="6" width="11" customWidth="1"/>
    <col min="7" max="7" width="9.28515625" bestFit="1" customWidth="1"/>
    <col min="8" max="8" width="8.7109375" customWidth="1"/>
    <col min="9" max="9" width="9.28515625" bestFit="1" customWidth="1"/>
    <col min="10" max="10" width="10.140625" customWidth="1"/>
    <col min="11" max="11" width="12.28515625" customWidth="1"/>
    <col min="12" max="12" width="18" bestFit="1" customWidth="1"/>
  </cols>
  <sheetData>
    <row r="1" spans="1:12" ht="30" x14ac:dyDescent="0.25">
      <c r="A1" s="1" t="s">
        <v>0</v>
      </c>
      <c r="B1" s="1"/>
      <c r="C1" s="1"/>
      <c r="D1" s="1"/>
      <c r="E1" s="1" t="s">
        <v>1</v>
      </c>
      <c r="F1" s="1" t="s">
        <v>436</v>
      </c>
      <c r="G1" s="1" t="s">
        <v>2</v>
      </c>
      <c r="H1" s="1" t="s">
        <v>3</v>
      </c>
      <c r="I1" s="1" t="s">
        <v>4</v>
      </c>
      <c r="J1" s="1" t="s">
        <v>5</v>
      </c>
      <c r="K1" s="1" t="s">
        <v>6</v>
      </c>
      <c r="L1" s="1" t="s">
        <v>7</v>
      </c>
    </row>
    <row r="2" spans="1:12" x14ac:dyDescent="0.25">
      <c r="A2" s="1" t="s">
        <v>8</v>
      </c>
      <c r="B2" s="1" t="s">
        <v>9</v>
      </c>
      <c r="C2" s="1" t="s">
        <v>10</v>
      </c>
      <c r="D2" s="1"/>
      <c r="E2" s="1" t="s">
        <v>170</v>
      </c>
      <c r="F2" s="1" t="s">
        <v>74</v>
      </c>
      <c r="G2" s="1">
        <v>248000</v>
      </c>
      <c r="H2" s="1" t="s">
        <v>13</v>
      </c>
      <c r="I2" s="1">
        <v>295000</v>
      </c>
      <c r="J2" s="1" t="s">
        <v>13</v>
      </c>
      <c r="K2" s="1">
        <v>99.1935</v>
      </c>
      <c r="L2" s="1" t="s">
        <v>171</v>
      </c>
    </row>
    <row r="3" spans="1:12" x14ac:dyDescent="0.25">
      <c r="A3" s="1" t="s">
        <v>8</v>
      </c>
      <c r="B3" s="1" t="s">
        <v>9</v>
      </c>
      <c r="C3" s="1" t="s">
        <v>15</v>
      </c>
      <c r="D3" s="1"/>
      <c r="E3" s="7" t="s">
        <v>147</v>
      </c>
      <c r="F3" s="4">
        <v>42091</v>
      </c>
      <c r="G3" s="1">
        <v>285000</v>
      </c>
      <c r="H3" s="1" t="s">
        <v>13</v>
      </c>
      <c r="I3" s="1">
        <v>282000</v>
      </c>
      <c r="J3" s="1" t="s">
        <v>13</v>
      </c>
      <c r="K3" s="1">
        <v>98.387100000000004</v>
      </c>
      <c r="L3" s="1" t="s">
        <v>148</v>
      </c>
    </row>
    <row r="4" spans="1:12" x14ac:dyDescent="0.25">
      <c r="A4" s="1" t="s">
        <v>8</v>
      </c>
      <c r="B4" s="1" t="s">
        <v>9</v>
      </c>
      <c r="C4" s="1" t="s">
        <v>18</v>
      </c>
      <c r="D4" s="1"/>
      <c r="E4" s="1" t="s">
        <v>147</v>
      </c>
      <c r="F4" s="4">
        <v>42098</v>
      </c>
      <c r="G4" s="1" t="s">
        <v>13</v>
      </c>
      <c r="H4" s="1" t="s">
        <v>13</v>
      </c>
      <c r="I4" s="1" t="s">
        <v>13</v>
      </c>
      <c r="J4" s="1" t="s">
        <v>13</v>
      </c>
      <c r="K4" s="1">
        <v>98.387100000000004</v>
      </c>
      <c r="L4" s="1" t="s">
        <v>148</v>
      </c>
    </row>
    <row r="5" spans="1:12" x14ac:dyDescent="0.25">
      <c r="A5" s="1" t="s">
        <v>8</v>
      </c>
      <c r="B5" s="1" t="s">
        <v>9</v>
      </c>
      <c r="C5" s="1" t="s">
        <v>21</v>
      </c>
      <c r="D5" s="1"/>
      <c r="E5" s="1" t="s">
        <v>147</v>
      </c>
      <c r="F5" s="4">
        <v>42105</v>
      </c>
      <c r="G5" s="1" t="s">
        <v>13</v>
      </c>
      <c r="H5" s="1" t="s">
        <v>13</v>
      </c>
      <c r="I5" s="1" t="s">
        <v>13</v>
      </c>
      <c r="J5" s="1" t="s">
        <v>13</v>
      </c>
      <c r="K5" s="1">
        <v>98.387100000000004</v>
      </c>
      <c r="L5" s="1" t="s">
        <v>148</v>
      </c>
    </row>
    <row r="6" spans="1:12" x14ac:dyDescent="0.25">
      <c r="A6" s="1" t="s">
        <v>24</v>
      </c>
      <c r="B6" s="1" t="s">
        <v>9</v>
      </c>
      <c r="C6" s="1" t="s">
        <v>25</v>
      </c>
      <c r="D6" s="1"/>
      <c r="E6" s="1" t="s">
        <v>147</v>
      </c>
      <c r="F6" s="4">
        <v>42112</v>
      </c>
      <c r="G6" s="1" t="s">
        <v>13</v>
      </c>
      <c r="H6" s="1" t="s">
        <v>13</v>
      </c>
      <c r="I6" s="1" t="s">
        <v>13</v>
      </c>
      <c r="J6" s="1" t="s">
        <v>13</v>
      </c>
      <c r="K6" s="1">
        <v>98.387100000000004</v>
      </c>
      <c r="L6" s="1" t="s">
        <v>148</v>
      </c>
    </row>
    <row r="7" spans="1:12" x14ac:dyDescent="0.25">
      <c r="A7" s="1" t="s">
        <v>24</v>
      </c>
      <c r="B7" s="1" t="s">
        <v>9</v>
      </c>
      <c r="C7" s="1" t="s">
        <v>29</v>
      </c>
      <c r="D7" s="1"/>
      <c r="E7" s="1" t="s">
        <v>11</v>
      </c>
      <c r="F7" s="1" t="s">
        <v>12</v>
      </c>
      <c r="G7" s="2">
        <v>2.4E-2</v>
      </c>
      <c r="H7" s="2">
        <v>2.1999999999999999E-2</v>
      </c>
      <c r="I7" s="2">
        <v>2.1999999999999999E-2</v>
      </c>
      <c r="J7" s="1" t="s">
        <v>13</v>
      </c>
      <c r="K7" s="1">
        <v>96.774199999999993</v>
      </c>
      <c r="L7" s="1" t="s">
        <v>14</v>
      </c>
    </row>
    <row r="8" spans="1:12" x14ac:dyDescent="0.25">
      <c r="A8" s="1" t="s">
        <v>24</v>
      </c>
      <c r="B8" s="1" t="s">
        <v>9</v>
      </c>
      <c r="C8" s="1" t="s">
        <v>32</v>
      </c>
      <c r="D8" s="1"/>
      <c r="E8" s="1" t="s">
        <v>127</v>
      </c>
      <c r="F8" s="1" t="s">
        <v>74</v>
      </c>
      <c r="G8" s="1">
        <v>52.5</v>
      </c>
      <c r="H8" s="1" t="s">
        <v>13</v>
      </c>
      <c r="I8" s="1">
        <v>52.9</v>
      </c>
      <c r="J8" s="1" t="s">
        <v>13</v>
      </c>
      <c r="K8" s="1">
        <v>95.967699999999994</v>
      </c>
      <c r="L8" s="1" t="s">
        <v>128</v>
      </c>
    </row>
    <row r="9" spans="1:12" x14ac:dyDescent="0.25">
      <c r="A9" s="1" t="s">
        <v>24</v>
      </c>
      <c r="B9" s="1" t="s">
        <v>9</v>
      </c>
      <c r="C9" s="1" t="s">
        <v>35</v>
      </c>
      <c r="D9" s="1"/>
      <c r="E9" s="1" t="s">
        <v>105</v>
      </c>
      <c r="F9" s="1" t="s">
        <v>74</v>
      </c>
      <c r="G9" s="1">
        <v>96.4</v>
      </c>
      <c r="H9" s="1" t="s">
        <v>13</v>
      </c>
      <c r="I9" s="1">
        <v>96.4</v>
      </c>
      <c r="J9" s="1" t="s">
        <v>13</v>
      </c>
      <c r="K9" s="1">
        <v>95.161299999999997</v>
      </c>
      <c r="L9" s="1" t="s">
        <v>106</v>
      </c>
    </row>
    <row r="10" spans="1:12" x14ac:dyDescent="0.25">
      <c r="A10" s="1" t="s">
        <v>24</v>
      </c>
      <c r="B10" s="1" t="s">
        <v>9</v>
      </c>
      <c r="C10" s="1" t="s">
        <v>38</v>
      </c>
      <c r="D10" s="1"/>
      <c r="E10" s="1" t="s">
        <v>356</v>
      </c>
      <c r="F10" s="1" t="s">
        <v>74</v>
      </c>
      <c r="G10" s="1" t="s">
        <v>13</v>
      </c>
      <c r="H10" s="1" t="s">
        <v>13</v>
      </c>
      <c r="I10" s="2">
        <v>2E-3</v>
      </c>
      <c r="J10" s="1" t="s">
        <v>13</v>
      </c>
      <c r="K10" s="1">
        <v>94.354799999999997</v>
      </c>
      <c r="L10" s="1" t="s">
        <v>357</v>
      </c>
    </row>
    <row r="11" spans="1:12" x14ac:dyDescent="0.25">
      <c r="A11" s="1" t="s">
        <v>41</v>
      </c>
      <c r="B11" s="1" t="s">
        <v>9</v>
      </c>
      <c r="C11" s="1" t="s">
        <v>42</v>
      </c>
      <c r="D11" s="1"/>
      <c r="E11" s="1" t="s">
        <v>26</v>
      </c>
      <c r="F11" s="1" t="s">
        <v>27</v>
      </c>
      <c r="G11" s="1">
        <v>92</v>
      </c>
      <c r="H11" s="1">
        <v>93</v>
      </c>
      <c r="I11" s="1">
        <v>91.2</v>
      </c>
      <c r="J11" s="1" t="s">
        <v>13</v>
      </c>
      <c r="K11" s="1">
        <v>93.548400000000001</v>
      </c>
      <c r="L11" s="1" t="s">
        <v>28</v>
      </c>
    </row>
    <row r="12" spans="1:12" x14ac:dyDescent="0.25">
      <c r="A12" s="1" t="s">
        <v>41</v>
      </c>
      <c r="B12" s="1" t="s">
        <v>9</v>
      </c>
      <c r="C12" s="1" t="s">
        <v>46</v>
      </c>
      <c r="D12" s="1"/>
      <c r="E12" s="1" t="s">
        <v>26</v>
      </c>
      <c r="F12" s="1" t="s">
        <v>375</v>
      </c>
      <c r="G12" s="1" t="s">
        <v>13</v>
      </c>
      <c r="H12" s="1" t="s">
        <v>13</v>
      </c>
      <c r="I12" s="1">
        <v>93</v>
      </c>
      <c r="J12" s="1" t="s">
        <v>13</v>
      </c>
      <c r="K12" s="1">
        <v>93.548400000000001</v>
      </c>
      <c r="L12" s="1" t="s">
        <v>28</v>
      </c>
    </row>
    <row r="13" spans="1:12" x14ac:dyDescent="0.25">
      <c r="A13" s="1" t="s">
        <v>41</v>
      </c>
      <c r="B13" s="1" t="s">
        <v>9</v>
      </c>
      <c r="C13" s="1" t="s">
        <v>49</v>
      </c>
      <c r="D13" s="1"/>
      <c r="E13" s="1" t="s">
        <v>112</v>
      </c>
      <c r="F13" s="4">
        <v>42090</v>
      </c>
      <c r="G13" s="1" t="s">
        <v>13</v>
      </c>
      <c r="H13" s="1" t="s">
        <v>13</v>
      </c>
      <c r="I13" s="2">
        <v>9.5000000000000001E-2</v>
      </c>
      <c r="J13" s="1" t="s">
        <v>13</v>
      </c>
      <c r="K13" s="1">
        <v>92.741900000000001</v>
      </c>
      <c r="L13" s="1" t="s">
        <v>113</v>
      </c>
    </row>
    <row r="14" spans="1:12" x14ac:dyDescent="0.25">
      <c r="A14" s="1" t="s">
        <v>41</v>
      </c>
      <c r="B14" s="1" t="s">
        <v>9</v>
      </c>
      <c r="C14" s="1" t="s">
        <v>52</v>
      </c>
      <c r="D14" s="1"/>
      <c r="E14" s="1" t="s">
        <v>112</v>
      </c>
      <c r="F14" s="4">
        <v>42097</v>
      </c>
      <c r="G14" s="1" t="s">
        <v>13</v>
      </c>
      <c r="H14" s="1" t="s">
        <v>13</v>
      </c>
      <c r="I14" s="1" t="s">
        <v>13</v>
      </c>
      <c r="J14" s="1" t="s">
        <v>13</v>
      </c>
      <c r="K14" s="1">
        <v>92.741900000000001</v>
      </c>
      <c r="L14" s="1" t="s">
        <v>113</v>
      </c>
    </row>
    <row r="15" spans="1:12" x14ac:dyDescent="0.25">
      <c r="A15" s="1" t="s">
        <v>41</v>
      </c>
      <c r="B15" s="1" t="s">
        <v>9</v>
      </c>
      <c r="C15" s="1" t="s">
        <v>55</v>
      </c>
      <c r="D15" s="1"/>
      <c r="E15" s="1" t="s">
        <v>112</v>
      </c>
      <c r="F15" s="4">
        <v>42104</v>
      </c>
      <c r="G15" s="1" t="s">
        <v>13</v>
      </c>
      <c r="H15" s="1" t="s">
        <v>13</v>
      </c>
      <c r="I15" s="1" t="s">
        <v>13</v>
      </c>
      <c r="J15" s="1" t="s">
        <v>13</v>
      </c>
      <c r="K15" s="1">
        <v>92.741900000000001</v>
      </c>
      <c r="L15" s="1" t="s">
        <v>113</v>
      </c>
    </row>
    <row r="16" spans="1:12" x14ac:dyDescent="0.25">
      <c r="A16" s="1" t="s">
        <v>41</v>
      </c>
      <c r="B16" s="1" t="s">
        <v>9</v>
      </c>
      <c r="C16" s="1" t="s">
        <v>58</v>
      </c>
      <c r="D16" s="1"/>
      <c r="E16" s="1" t="s">
        <v>112</v>
      </c>
      <c r="F16" s="4">
        <v>42111</v>
      </c>
      <c r="G16" s="1" t="s">
        <v>13</v>
      </c>
      <c r="H16" s="1" t="s">
        <v>13</v>
      </c>
      <c r="I16" s="1" t="s">
        <v>13</v>
      </c>
      <c r="J16" s="1" t="s">
        <v>13</v>
      </c>
      <c r="K16" s="1">
        <v>92.741900000000001</v>
      </c>
      <c r="L16" s="1" t="s">
        <v>113</v>
      </c>
    </row>
    <row r="17" spans="1:12" x14ac:dyDescent="0.25">
      <c r="A17" s="1" t="s">
        <v>41</v>
      </c>
      <c r="B17" s="1" t="s">
        <v>9</v>
      </c>
      <c r="C17" s="1" t="s">
        <v>61</v>
      </c>
      <c r="D17" s="1"/>
      <c r="E17" s="1" t="s">
        <v>419</v>
      </c>
      <c r="F17" s="1" t="s">
        <v>74</v>
      </c>
      <c r="G17" s="1" t="s">
        <v>13</v>
      </c>
      <c r="H17" s="1" t="s">
        <v>13</v>
      </c>
      <c r="I17" s="2">
        <v>-1.4E-2</v>
      </c>
      <c r="J17" s="1" t="s">
        <v>13</v>
      </c>
      <c r="K17" s="1">
        <v>91.935500000000005</v>
      </c>
      <c r="L17" s="1" t="s">
        <v>420</v>
      </c>
    </row>
    <row r="18" spans="1:12" x14ac:dyDescent="0.25">
      <c r="A18" s="1" t="s">
        <v>64</v>
      </c>
      <c r="B18" s="1" t="s">
        <v>9</v>
      </c>
      <c r="C18" s="1" t="s">
        <v>65</v>
      </c>
      <c r="D18" s="1"/>
      <c r="E18" s="1" t="s">
        <v>408</v>
      </c>
      <c r="F18" s="1" t="s">
        <v>74</v>
      </c>
      <c r="G18" s="1" t="s">
        <v>13</v>
      </c>
      <c r="H18" s="1" t="s">
        <v>13</v>
      </c>
      <c r="I18" s="1">
        <v>539000</v>
      </c>
      <c r="J18" s="1" t="s">
        <v>13</v>
      </c>
      <c r="K18" s="1">
        <v>91.129000000000005</v>
      </c>
      <c r="L18" s="1" t="s">
        <v>409</v>
      </c>
    </row>
    <row r="19" spans="1:12" x14ac:dyDescent="0.25">
      <c r="A19" s="1" t="s">
        <v>64</v>
      </c>
      <c r="B19" s="1" t="s">
        <v>9</v>
      </c>
      <c r="C19" s="1" t="s">
        <v>68</v>
      </c>
      <c r="D19" s="1"/>
      <c r="E19" s="1" t="s">
        <v>258</v>
      </c>
      <c r="F19" s="1" t="s">
        <v>74</v>
      </c>
      <c r="G19" s="1" t="s">
        <v>13</v>
      </c>
      <c r="H19" s="1" t="s">
        <v>13</v>
      </c>
      <c r="I19" s="2">
        <v>-6.0000000000000001E-3</v>
      </c>
      <c r="J19" s="1" t="s">
        <v>13</v>
      </c>
      <c r="K19" s="1">
        <v>90.322599999999994</v>
      </c>
      <c r="L19" s="1" t="s">
        <v>259</v>
      </c>
    </row>
    <row r="20" spans="1:12" x14ac:dyDescent="0.25">
      <c r="A20" s="1" t="s">
        <v>71</v>
      </c>
      <c r="B20" s="1" t="s">
        <v>9</v>
      </c>
      <c r="C20" s="1" t="s">
        <v>72</v>
      </c>
      <c r="D20" s="1"/>
      <c r="E20" s="1" t="s">
        <v>120</v>
      </c>
      <c r="F20" s="1" t="s">
        <v>27</v>
      </c>
      <c r="G20" s="1">
        <v>55.3</v>
      </c>
      <c r="H20" s="1" t="s">
        <v>13</v>
      </c>
      <c r="I20" s="1">
        <v>55.3</v>
      </c>
      <c r="J20" s="1" t="s">
        <v>13</v>
      </c>
      <c r="K20" s="1">
        <v>90</v>
      </c>
      <c r="L20" s="1" t="s">
        <v>121</v>
      </c>
    </row>
    <row r="21" spans="1:12" x14ac:dyDescent="0.25">
      <c r="A21" s="1" t="s">
        <v>76</v>
      </c>
      <c r="B21" s="1" t="s">
        <v>9</v>
      </c>
      <c r="C21" s="1" t="s">
        <v>77</v>
      </c>
      <c r="D21" s="1"/>
      <c r="E21" s="1" t="s">
        <v>120</v>
      </c>
      <c r="F21" s="1" t="s">
        <v>375</v>
      </c>
      <c r="G21" s="1" t="s">
        <v>13</v>
      </c>
      <c r="H21" s="1" t="s">
        <v>13</v>
      </c>
      <c r="I21" s="1" t="s">
        <v>13</v>
      </c>
      <c r="J21" s="1" t="s">
        <v>13</v>
      </c>
      <c r="K21" s="1">
        <v>90</v>
      </c>
      <c r="L21" s="1" t="s">
        <v>121</v>
      </c>
    </row>
    <row r="22" spans="1:12" x14ac:dyDescent="0.25">
      <c r="A22" s="1" t="s">
        <v>76</v>
      </c>
      <c r="B22" s="1" t="s">
        <v>9</v>
      </c>
      <c r="C22" s="1" t="s">
        <v>80</v>
      </c>
      <c r="D22" s="1"/>
      <c r="E22" s="1" t="s">
        <v>329</v>
      </c>
      <c r="F22" s="1" t="s">
        <v>74</v>
      </c>
      <c r="G22" s="1" t="s">
        <v>13</v>
      </c>
      <c r="H22" s="1" t="s">
        <v>13</v>
      </c>
      <c r="I22" s="1">
        <v>897000</v>
      </c>
      <c r="J22" s="1" t="s">
        <v>13</v>
      </c>
      <c r="K22" s="1">
        <v>89.516099999999994</v>
      </c>
      <c r="L22" s="1" t="s">
        <v>330</v>
      </c>
    </row>
    <row r="23" spans="1:12" x14ac:dyDescent="0.25">
      <c r="A23" s="1" t="s">
        <v>76</v>
      </c>
      <c r="B23" s="1" t="s">
        <v>9</v>
      </c>
      <c r="C23" s="1" t="s">
        <v>84</v>
      </c>
      <c r="D23" s="1"/>
      <c r="E23" s="1" t="s">
        <v>182</v>
      </c>
      <c r="F23" s="1" t="s">
        <v>74</v>
      </c>
      <c r="G23" s="2">
        <v>5.5E-2</v>
      </c>
      <c r="H23" s="1" t="s">
        <v>13</v>
      </c>
      <c r="I23" s="2">
        <v>5.5E-2</v>
      </c>
      <c r="J23" s="1" t="s">
        <v>13</v>
      </c>
      <c r="K23" s="1">
        <v>89.274199999999993</v>
      </c>
      <c r="L23" s="1" t="s">
        <v>183</v>
      </c>
    </row>
    <row r="24" spans="1:12" x14ac:dyDescent="0.25">
      <c r="A24" s="1" t="s">
        <v>76</v>
      </c>
      <c r="B24" s="1" t="s">
        <v>9</v>
      </c>
      <c r="C24" s="1" t="s">
        <v>87</v>
      </c>
      <c r="D24" s="1"/>
      <c r="E24" s="1" t="s">
        <v>305</v>
      </c>
      <c r="F24" s="1" t="s">
        <v>74</v>
      </c>
      <c r="G24" s="1" t="s">
        <v>13</v>
      </c>
      <c r="H24" s="1" t="s">
        <v>13</v>
      </c>
      <c r="I24" s="2">
        <v>1E-3</v>
      </c>
      <c r="J24" s="1" t="s">
        <v>13</v>
      </c>
      <c r="K24" s="1">
        <v>88.709699999999998</v>
      </c>
      <c r="L24" s="1" t="s">
        <v>306</v>
      </c>
    </row>
    <row r="25" spans="1:12" x14ac:dyDescent="0.25">
      <c r="A25" s="1" t="s">
        <v>76</v>
      </c>
      <c r="B25" s="1" t="s">
        <v>9</v>
      </c>
      <c r="C25" s="1" t="s">
        <v>90</v>
      </c>
      <c r="D25" s="1"/>
      <c r="E25" s="1" t="s">
        <v>395</v>
      </c>
      <c r="F25" s="1" t="s">
        <v>74</v>
      </c>
      <c r="G25" s="1" t="s">
        <v>13</v>
      </c>
      <c r="H25" s="1" t="s">
        <v>13</v>
      </c>
      <c r="I25" s="5">
        <v>4880000</v>
      </c>
      <c r="J25" s="1" t="s">
        <v>13</v>
      </c>
      <c r="K25" s="1">
        <v>87.903199999999998</v>
      </c>
      <c r="L25" s="1" t="s">
        <v>396</v>
      </c>
    </row>
    <row r="26" spans="1:12" x14ac:dyDescent="0.25">
      <c r="A26" s="1" t="s">
        <v>76</v>
      </c>
      <c r="B26" s="1" t="s">
        <v>9</v>
      </c>
      <c r="C26" s="1" t="s">
        <v>93</v>
      </c>
      <c r="D26" s="1"/>
      <c r="E26" s="1" t="s">
        <v>270</v>
      </c>
      <c r="F26" s="1" t="s">
        <v>74</v>
      </c>
      <c r="G26" s="1" t="s">
        <v>13</v>
      </c>
      <c r="H26" s="1" t="s">
        <v>13</v>
      </c>
      <c r="I26" s="2">
        <v>-5.0000000000000001E-3</v>
      </c>
      <c r="J26" s="1" t="s">
        <v>13</v>
      </c>
      <c r="K26" s="1">
        <v>87.096800000000002</v>
      </c>
      <c r="L26" s="1" t="s">
        <v>271</v>
      </c>
    </row>
    <row r="27" spans="1:12" x14ac:dyDescent="0.25">
      <c r="A27" s="1" t="s">
        <v>76</v>
      </c>
      <c r="B27" s="1" t="s">
        <v>9</v>
      </c>
      <c r="C27" s="1" t="s">
        <v>96</v>
      </c>
      <c r="D27" s="1"/>
      <c r="E27" s="1" t="s">
        <v>164</v>
      </c>
      <c r="F27" s="1" t="s">
        <v>44</v>
      </c>
      <c r="G27" s="2">
        <v>-4.0000000000000001E-3</v>
      </c>
      <c r="H27" s="1" t="s">
        <v>13</v>
      </c>
      <c r="I27" s="2">
        <v>-2E-3</v>
      </c>
      <c r="J27" s="1" t="s">
        <v>13</v>
      </c>
      <c r="K27" s="1">
        <v>86.290300000000002</v>
      </c>
      <c r="L27" s="1" t="s">
        <v>165</v>
      </c>
    </row>
    <row r="28" spans="1:12" x14ac:dyDescent="0.25">
      <c r="A28" s="1" t="s">
        <v>99</v>
      </c>
      <c r="B28" s="1" t="s">
        <v>9</v>
      </c>
      <c r="C28" s="1" t="s">
        <v>100</v>
      </c>
      <c r="D28" s="1"/>
      <c r="E28" s="1" t="s">
        <v>43</v>
      </c>
      <c r="F28" s="1" t="s">
        <v>44</v>
      </c>
      <c r="G28" s="2">
        <v>3.0000000000000001E-3</v>
      </c>
      <c r="H28" s="1" t="s">
        <v>13</v>
      </c>
      <c r="I28" s="2">
        <v>3.0000000000000001E-3</v>
      </c>
      <c r="J28" s="1" t="s">
        <v>13</v>
      </c>
      <c r="K28" s="1">
        <v>85.483900000000006</v>
      </c>
      <c r="L28" s="1" t="s">
        <v>45</v>
      </c>
    </row>
    <row r="29" spans="1:12" x14ac:dyDescent="0.25">
      <c r="A29" s="1" t="s">
        <v>103</v>
      </c>
      <c r="B29" s="1" t="s">
        <v>9</v>
      </c>
      <c r="C29" s="1" t="s">
        <v>104</v>
      </c>
      <c r="D29" s="1"/>
      <c r="E29" s="1" t="s">
        <v>47</v>
      </c>
      <c r="F29" s="1" t="s">
        <v>44</v>
      </c>
      <c r="G29" s="2">
        <v>2E-3</v>
      </c>
      <c r="H29" s="1" t="s">
        <v>13</v>
      </c>
      <c r="I29" s="2">
        <v>-2E-3</v>
      </c>
      <c r="J29" s="1" t="s">
        <v>13</v>
      </c>
      <c r="K29" s="1">
        <v>85.483900000000006</v>
      </c>
      <c r="L29" s="1" t="s">
        <v>48</v>
      </c>
    </row>
    <row r="30" spans="1:12" x14ac:dyDescent="0.25">
      <c r="A30" s="1" t="s">
        <v>107</v>
      </c>
      <c r="B30" s="1" t="s">
        <v>9</v>
      </c>
      <c r="C30" s="1" t="s">
        <v>108</v>
      </c>
      <c r="D30" s="1"/>
      <c r="E30" s="1" t="s">
        <v>153</v>
      </c>
      <c r="F30" s="1" t="s">
        <v>44</v>
      </c>
      <c r="G30" s="5">
        <v>-41300000000</v>
      </c>
      <c r="H30" s="1" t="s">
        <v>13</v>
      </c>
      <c r="I30" s="5">
        <v>-41800000000</v>
      </c>
      <c r="J30" s="1" t="s">
        <v>13</v>
      </c>
      <c r="K30" s="1">
        <v>84.677400000000006</v>
      </c>
      <c r="L30" s="1" t="s">
        <v>154</v>
      </c>
    </row>
    <row r="31" spans="1:12" x14ac:dyDescent="0.25">
      <c r="A31" s="1" t="s">
        <v>110</v>
      </c>
      <c r="B31" s="1" t="s">
        <v>9</v>
      </c>
      <c r="C31" s="1" t="s">
        <v>111</v>
      </c>
      <c r="D31" s="1"/>
      <c r="E31" s="1" t="s">
        <v>378</v>
      </c>
      <c r="F31" s="1" t="s">
        <v>74</v>
      </c>
      <c r="G31" s="1" t="s">
        <v>13</v>
      </c>
      <c r="H31" s="1" t="s">
        <v>13</v>
      </c>
      <c r="I31" s="2">
        <v>2E-3</v>
      </c>
      <c r="J31" s="1" t="s">
        <v>13</v>
      </c>
      <c r="K31" s="1">
        <v>83.870999999999995</v>
      </c>
      <c r="L31" s="1" t="s">
        <v>379</v>
      </c>
    </row>
    <row r="32" spans="1:12" x14ac:dyDescent="0.25">
      <c r="A32" s="1" t="s">
        <v>114</v>
      </c>
      <c r="B32" s="1" t="s">
        <v>9</v>
      </c>
      <c r="C32" s="1" t="s">
        <v>115</v>
      </c>
      <c r="D32" s="1"/>
      <c r="E32" s="1" t="s">
        <v>116</v>
      </c>
      <c r="F32" s="1" t="s">
        <v>74</v>
      </c>
      <c r="G32" s="1">
        <v>225000</v>
      </c>
      <c r="H32" s="1" t="s">
        <v>13</v>
      </c>
      <c r="I32" s="1">
        <v>212000</v>
      </c>
      <c r="J32" s="1" t="s">
        <v>13</v>
      </c>
      <c r="K32" s="1">
        <v>83.064499999999995</v>
      </c>
      <c r="L32" s="1" t="s">
        <v>117</v>
      </c>
    </row>
    <row r="33" spans="1:12" x14ac:dyDescent="0.25">
      <c r="A33" s="1" t="s">
        <v>118</v>
      </c>
      <c r="B33" s="1" t="s">
        <v>9</v>
      </c>
      <c r="C33" s="1" t="s">
        <v>119</v>
      </c>
      <c r="D33" s="1"/>
      <c r="E33" s="1" t="s">
        <v>301</v>
      </c>
      <c r="F33" s="1" t="s">
        <v>219</v>
      </c>
      <c r="G33" s="1" t="s">
        <v>13</v>
      </c>
      <c r="H33" s="1" t="s">
        <v>13</v>
      </c>
      <c r="I33" s="1">
        <v>6.9</v>
      </c>
      <c r="J33" s="1" t="s">
        <v>13</v>
      </c>
      <c r="K33" s="1">
        <v>82.258099999999999</v>
      </c>
      <c r="L33" s="1" t="s">
        <v>302</v>
      </c>
    </row>
    <row r="34" spans="1:12" x14ac:dyDescent="0.25">
      <c r="A34" s="1" t="s">
        <v>122</v>
      </c>
      <c r="B34" s="1" t="s">
        <v>9</v>
      </c>
      <c r="C34" s="1" t="s">
        <v>123</v>
      </c>
      <c r="D34" s="1"/>
      <c r="E34" s="1" t="s">
        <v>101</v>
      </c>
      <c r="F34" s="1" t="s">
        <v>74</v>
      </c>
      <c r="G34" s="1">
        <v>51.8</v>
      </c>
      <c r="H34" s="1" t="s">
        <v>13</v>
      </c>
      <c r="I34" s="1">
        <v>45.8</v>
      </c>
      <c r="J34" s="1" t="s">
        <v>13</v>
      </c>
      <c r="K34" s="1">
        <v>81.451599999999999</v>
      </c>
      <c r="L34" s="1" t="s">
        <v>102</v>
      </c>
    </row>
    <row r="35" spans="1:12" x14ac:dyDescent="0.25">
      <c r="A35" s="1" t="s">
        <v>122</v>
      </c>
      <c r="B35" s="1" t="s">
        <v>9</v>
      </c>
      <c r="C35" s="1" t="s">
        <v>126</v>
      </c>
      <c r="D35" s="1"/>
      <c r="E35" s="1" t="s">
        <v>240</v>
      </c>
      <c r="F35" s="1" t="s">
        <v>44</v>
      </c>
      <c r="G35" s="2">
        <v>1E-3</v>
      </c>
      <c r="H35" s="1" t="s">
        <v>13</v>
      </c>
      <c r="I35" s="2">
        <v>3.0000000000000001E-3</v>
      </c>
      <c r="J35" s="1" t="s">
        <v>13</v>
      </c>
      <c r="K35" s="1">
        <v>80.645200000000003</v>
      </c>
      <c r="L35" s="1" t="s">
        <v>241</v>
      </c>
    </row>
    <row r="36" spans="1:12" x14ac:dyDescent="0.25">
      <c r="A36" s="1" t="s">
        <v>122</v>
      </c>
      <c r="B36" s="1" t="s">
        <v>9</v>
      </c>
      <c r="C36" s="1" t="s">
        <v>129</v>
      </c>
      <c r="D36" s="1"/>
      <c r="E36" s="1" t="s">
        <v>124</v>
      </c>
      <c r="F36" s="1" t="s">
        <v>44</v>
      </c>
      <c r="G36" s="2">
        <v>-1E-3</v>
      </c>
      <c r="H36" s="1" t="s">
        <v>13</v>
      </c>
      <c r="I36" s="2">
        <v>-1.0999999999999999E-2</v>
      </c>
      <c r="J36" s="1" t="s">
        <v>13</v>
      </c>
      <c r="K36" s="1">
        <v>79.838700000000003</v>
      </c>
      <c r="L36" s="1" t="s">
        <v>125</v>
      </c>
    </row>
    <row r="37" spans="1:12" x14ac:dyDescent="0.25">
      <c r="A37" s="1" t="s">
        <v>132</v>
      </c>
      <c r="B37" s="1" t="s">
        <v>9</v>
      </c>
      <c r="C37" s="1" t="s">
        <v>133</v>
      </c>
      <c r="D37" s="1"/>
      <c r="E37" s="1" t="s">
        <v>247</v>
      </c>
      <c r="F37" s="1" t="s">
        <v>74</v>
      </c>
      <c r="G37" s="2">
        <v>-6.0000000000000001E-3</v>
      </c>
      <c r="H37" s="1" t="s">
        <v>13</v>
      </c>
      <c r="I37" s="2">
        <v>4.0000000000000001E-3</v>
      </c>
      <c r="J37" s="1" t="s">
        <v>13</v>
      </c>
      <c r="K37" s="1">
        <v>79.032300000000006</v>
      </c>
      <c r="L37" s="1" t="s">
        <v>248</v>
      </c>
    </row>
    <row r="38" spans="1:12" x14ac:dyDescent="0.25">
      <c r="A38" s="1" t="s">
        <v>132</v>
      </c>
      <c r="B38" s="1" t="s">
        <v>9</v>
      </c>
      <c r="C38" s="1" t="s">
        <v>136</v>
      </c>
      <c r="D38" s="1"/>
      <c r="E38" s="1" t="s">
        <v>349</v>
      </c>
      <c r="F38" s="1" t="s">
        <v>219</v>
      </c>
      <c r="G38" s="1" t="s">
        <v>13</v>
      </c>
      <c r="H38" s="1" t="s">
        <v>13</v>
      </c>
      <c r="I38" s="1">
        <v>5</v>
      </c>
      <c r="J38" s="1" t="s">
        <v>13</v>
      </c>
      <c r="K38" s="1">
        <v>78.225800000000007</v>
      </c>
      <c r="L38" s="1" t="s">
        <v>350</v>
      </c>
    </row>
    <row r="39" spans="1:12" x14ac:dyDescent="0.25">
      <c r="A39" s="1" t="s">
        <v>139</v>
      </c>
      <c r="B39" s="1" t="s">
        <v>9</v>
      </c>
      <c r="C39" s="1" t="s">
        <v>140</v>
      </c>
      <c r="D39" s="1"/>
      <c r="E39" s="1" t="s">
        <v>19</v>
      </c>
      <c r="F39" s="1" t="s">
        <v>12</v>
      </c>
      <c r="G39" s="2">
        <v>1E-3</v>
      </c>
      <c r="H39" s="2">
        <v>1E-3</v>
      </c>
      <c r="I39" s="2">
        <v>1E-3</v>
      </c>
      <c r="J39" s="1" t="s">
        <v>13</v>
      </c>
      <c r="K39" s="1">
        <v>77.419399999999996</v>
      </c>
      <c r="L39" s="1" t="s">
        <v>20</v>
      </c>
    </row>
    <row r="40" spans="1:12" x14ac:dyDescent="0.25">
      <c r="A40" s="1" t="s">
        <v>143</v>
      </c>
      <c r="B40" s="1" t="s">
        <v>9</v>
      </c>
      <c r="C40" s="1" t="s">
        <v>144</v>
      </c>
      <c r="D40" s="1"/>
      <c r="E40" s="1" t="s">
        <v>66</v>
      </c>
      <c r="F40" s="1" t="s">
        <v>44</v>
      </c>
      <c r="G40" s="2">
        <v>4.0000000000000001E-3</v>
      </c>
      <c r="H40" s="1" t="s">
        <v>13</v>
      </c>
      <c r="I40" s="2">
        <v>1.7000000000000001E-2</v>
      </c>
      <c r="J40" s="1" t="s">
        <v>13</v>
      </c>
      <c r="K40" s="1">
        <v>77.419399999999996</v>
      </c>
      <c r="L40" s="1" t="s">
        <v>67</v>
      </c>
    </row>
    <row r="41" spans="1:12" x14ac:dyDescent="0.25">
      <c r="A41" s="1" t="s">
        <v>143</v>
      </c>
      <c r="B41" s="1" t="s">
        <v>9</v>
      </c>
      <c r="C41" s="1" t="s">
        <v>146</v>
      </c>
      <c r="D41" s="1"/>
      <c r="E41" s="1" t="s">
        <v>214</v>
      </c>
      <c r="F41" s="1" t="s">
        <v>74</v>
      </c>
      <c r="G41" s="1">
        <v>56.7</v>
      </c>
      <c r="H41" s="1" t="s">
        <v>13</v>
      </c>
      <c r="I41" s="1">
        <v>56.9</v>
      </c>
      <c r="J41" s="1" t="s">
        <v>13</v>
      </c>
      <c r="K41" s="1">
        <v>76.612899999999996</v>
      </c>
      <c r="L41" s="1" t="s">
        <v>215</v>
      </c>
    </row>
    <row r="42" spans="1:12" x14ac:dyDescent="0.25">
      <c r="A42" s="1" t="s">
        <v>143</v>
      </c>
      <c r="B42" s="1" t="s">
        <v>9</v>
      </c>
      <c r="C42" s="1" t="s">
        <v>149</v>
      </c>
      <c r="D42" s="1"/>
      <c r="E42" s="1" t="s">
        <v>254</v>
      </c>
      <c r="F42" s="1" t="s">
        <v>74</v>
      </c>
      <c r="G42" s="5">
        <v>-46500000000</v>
      </c>
      <c r="H42" s="1" t="s">
        <v>13</v>
      </c>
      <c r="I42" s="1" t="s">
        <v>13</v>
      </c>
      <c r="J42" s="1" t="s">
        <v>13</v>
      </c>
      <c r="K42" s="1">
        <v>75.8065</v>
      </c>
      <c r="L42" s="1" t="s">
        <v>255</v>
      </c>
    </row>
    <row r="43" spans="1:12" x14ac:dyDescent="0.25">
      <c r="A43" s="1" t="s">
        <v>143</v>
      </c>
      <c r="B43" s="1" t="s">
        <v>9</v>
      </c>
      <c r="C43" s="1" t="s">
        <v>152</v>
      </c>
      <c r="D43" s="1"/>
      <c r="E43" s="1" t="s">
        <v>359</v>
      </c>
      <c r="F43" s="1" t="s">
        <v>74</v>
      </c>
      <c r="G43" s="1" t="s">
        <v>13</v>
      </c>
      <c r="H43" s="1" t="s">
        <v>13</v>
      </c>
      <c r="I43" s="2">
        <v>2E-3</v>
      </c>
      <c r="J43" s="1" t="s">
        <v>13</v>
      </c>
      <c r="K43" s="1">
        <v>75.483900000000006</v>
      </c>
      <c r="L43" s="1" t="s">
        <v>360</v>
      </c>
    </row>
    <row r="44" spans="1:12" x14ac:dyDescent="0.25">
      <c r="A44" s="1" t="s">
        <v>155</v>
      </c>
      <c r="B44" s="1" t="s">
        <v>9</v>
      </c>
      <c r="C44" s="1" t="s">
        <v>156</v>
      </c>
      <c r="D44" s="1"/>
      <c r="E44" s="1" t="s">
        <v>322</v>
      </c>
      <c r="F44" s="1" t="s">
        <v>44</v>
      </c>
      <c r="G44" s="1" t="s">
        <v>13</v>
      </c>
      <c r="H44" s="1" t="s">
        <v>13</v>
      </c>
      <c r="I44" s="5">
        <v>-27200000000</v>
      </c>
      <c r="J44" s="1" t="s">
        <v>13</v>
      </c>
      <c r="K44" s="1">
        <v>74.1935</v>
      </c>
      <c r="L44" s="1" t="s">
        <v>323</v>
      </c>
    </row>
    <row r="45" spans="1:12" x14ac:dyDescent="0.25">
      <c r="A45" s="1" t="s">
        <v>155</v>
      </c>
      <c r="B45" s="1" t="s">
        <v>9</v>
      </c>
      <c r="C45" s="1" t="s">
        <v>159</v>
      </c>
      <c r="D45" s="1"/>
      <c r="E45" s="1" t="s">
        <v>422</v>
      </c>
      <c r="F45" s="1" t="s">
        <v>74</v>
      </c>
      <c r="G45" s="1" t="s">
        <v>13</v>
      </c>
      <c r="H45" s="1" t="s">
        <v>13</v>
      </c>
      <c r="I45" s="2">
        <v>-4.0000000000000001E-3</v>
      </c>
      <c r="J45" s="1" t="s">
        <v>13</v>
      </c>
      <c r="K45" s="1">
        <v>73.548400000000001</v>
      </c>
      <c r="L45" s="1" t="s">
        <v>423</v>
      </c>
    </row>
    <row r="46" spans="1:12" x14ac:dyDescent="0.25">
      <c r="A46" s="1" t="s">
        <v>162</v>
      </c>
      <c r="B46" s="1" t="s">
        <v>9</v>
      </c>
      <c r="C46" s="1" t="s">
        <v>163</v>
      </c>
      <c r="D46" s="1"/>
      <c r="E46" s="1" t="s">
        <v>130</v>
      </c>
      <c r="F46" s="1" t="s">
        <v>74</v>
      </c>
      <c r="G46" s="1">
        <v>38</v>
      </c>
      <c r="H46" s="1" t="s">
        <v>13</v>
      </c>
      <c r="I46" s="1">
        <v>35</v>
      </c>
      <c r="J46" s="1" t="s">
        <v>13</v>
      </c>
      <c r="K46" s="1">
        <v>72.580600000000004</v>
      </c>
      <c r="L46" s="1" t="s">
        <v>131</v>
      </c>
    </row>
    <row r="47" spans="1:12" x14ac:dyDescent="0.25">
      <c r="A47" s="1" t="s">
        <v>162</v>
      </c>
      <c r="B47" s="1" t="s">
        <v>9</v>
      </c>
      <c r="C47" s="1" t="s">
        <v>166</v>
      </c>
      <c r="D47" s="1"/>
      <c r="E47" s="1" t="s">
        <v>391</v>
      </c>
      <c r="F47" s="1" t="s">
        <v>44</v>
      </c>
      <c r="G47" s="1" t="s">
        <v>13</v>
      </c>
      <c r="H47" s="1" t="s">
        <v>13</v>
      </c>
      <c r="I47" s="2">
        <v>3.0000000000000001E-3</v>
      </c>
      <c r="J47" s="1" t="s">
        <v>13</v>
      </c>
      <c r="K47" s="1">
        <v>70.967699999999994</v>
      </c>
      <c r="L47" s="1" t="s">
        <v>392</v>
      </c>
    </row>
    <row r="48" spans="1:12" x14ac:dyDescent="0.25">
      <c r="A48" s="1" t="s">
        <v>168</v>
      </c>
      <c r="B48" s="1" t="s">
        <v>9</v>
      </c>
      <c r="C48" s="1" t="s">
        <v>169</v>
      </c>
      <c r="D48" s="1"/>
      <c r="E48" s="1" t="s">
        <v>279</v>
      </c>
      <c r="F48" s="1" t="s">
        <v>74</v>
      </c>
      <c r="G48" s="1" t="s">
        <v>13</v>
      </c>
      <c r="H48" s="1" t="s">
        <v>13</v>
      </c>
      <c r="I48" s="2">
        <v>-6.0000000000000001E-3</v>
      </c>
      <c r="J48" s="1" t="s">
        <v>13</v>
      </c>
      <c r="K48" s="1">
        <v>70.161299999999997</v>
      </c>
      <c r="L48" s="1" t="s">
        <v>280</v>
      </c>
    </row>
    <row r="49" spans="1:12" x14ac:dyDescent="0.25">
      <c r="A49" s="1" t="s">
        <v>168</v>
      </c>
      <c r="B49" s="1" t="s">
        <v>9</v>
      </c>
      <c r="C49" s="1" t="s">
        <v>172</v>
      </c>
      <c r="D49" s="1"/>
      <c r="E49" s="1" t="s">
        <v>204</v>
      </c>
      <c r="F49" s="1" t="s">
        <v>27</v>
      </c>
      <c r="G49" s="1" t="s">
        <v>13</v>
      </c>
      <c r="H49" s="1" t="s">
        <v>13</v>
      </c>
      <c r="I49" s="1">
        <v>58.5</v>
      </c>
      <c r="J49" s="1" t="s">
        <v>13</v>
      </c>
      <c r="K49" s="1">
        <v>70</v>
      </c>
      <c r="L49" s="1" t="s">
        <v>205</v>
      </c>
    </row>
    <row r="50" spans="1:12" x14ac:dyDescent="0.25">
      <c r="A50" s="1" t="s">
        <v>168</v>
      </c>
      <c r="B50" s="1" t="s">
        <v>9</v>
      </c>
      <c r="C50" s="1" t="s">
        <v>175</v>
      </c>
      <c r="D50" s="1"/>
      <c r="E50" s="1" t="s">
        <v>207</v>
      </c>
      <c r="F50" s="1" t="s">
        <v>27</v>
      </c>
      <c r="G50" s="1" t="s">
        <v>13</v>
      </c>
      <c r="H50" s="1" t="s">
        <v>13</v>
      </c>
      <c r="I50" s="1">
        <v>58.6</v>
      </c>
      <c r="J50" s="1" t="s">
        <v>13</v>
      </c>
      <c r="K50" s="1">
        <v>70</v>
      </c>
      <c r="L50" s="1" t="s">
        <v>208</v>
      </c>
    </row>
    <row r="51" spans="1:12" x14ac:dyDescent="0.25">
      <c r="A51" s="1" t="s">
        <v>168</v>
      </c>
      <c r="B51" s="1" t="s">
        <v>9</v>
      </c>
      <c r="C51" s="1" t="s">
        <v>178</v>
      </c>
      <c r="D51" s="1"/>
      <c r="E51" s="1" t="s">
        <v>204</v>
      </c>
      <c r="F51" s="1" t="s">
        <v>375</v>
      </c>
      <c r="G51" s="1" t="s">
        <v>13</v>
      </c>
      <c r="H51" s="1" t="s">
        <v>13</v>
      </c>
      <c r="I51" s="1" t="s">
        <v>13</v>
      </c>
      <c r="J51" s="1" t="s">
        <v>13</v>
      </c>
      <c r="K51" s="1">
        <v>70</v>
      </c>
      <c r="L51" s="1" t="s">
        <v>205</v>
      </c>
    </row>
    <row r="52" spans="1:12" x14ac:dyDescent="0.25">
      <c r="A52" s="1" t="s">
        <v>168</v>
      </c>
      <c r="B52" s="1" t="s">
        <v>9</v>
      </c>
      <c r="C52" s="1" t="s">
        <v>181</v>
      </c>
      <c r="D52" s="1"/>
      <c r="E52" s="1" t="s">
        <v>207</v>
      </c>
      <c r="F52" s="1" t="s">
        <v>375</v>
      </c>
      <c r="G52" s="1" t="s">
        <v>13</v>
      </c>
      <c r="H52" s="1" t="s">
        <v>13</v>
      </c>
      <c r="I52" s="1" t="s">
        <v>13</v>
      </c>
      <c r="J52" s="1" t="s">
        <v>13</v>
      </c>
      <c r="K52" s="1">
        <v>70</v>
      </c>
      <c r="L52" s="1" t="s">
        <v>208</v>
      </c>
    </row>
    <row r="53" spans="1:12" x14ac:dyDescent="0.25">
      <c r="A53" s="1" t="s">
        <v>168</v>
      </c>
      <c r="B53" s="1" t="s">
        <v>9</v>
      </c>
      <c r="C53" s="1" t="s">
        <v>184</v>
      </c>
      <c r="D53" s="1"/>
      <c r="E53" s="1" t="s">
        <v>179</v>
      </c>
      <c r="F53" s="1" t="s">
        <v>74</v>
      </c>
      <c r="G53" s="1">
        <v>10000</v>
      </c>
      <c r="H53" s="1" t="s">
        <v>13</v>
      </c>
      <c r="I53" s="1">
        <v>8000</v>
      </c>
      <c r="J53" s="1" t="s">
        <v>13</v>
      </c>
      <c r="K53" s="1">
        <v>69.435500000000005</v>
      </c>
      <c r="L53" s="1" t="s">
        <v>180</v>
      </c>
    </row>
    <row r="54" spans="1:12" x14ac:dyDescent="0.25">
      <c r="A54" s="1" t="s">
        <v>168</v>
      </c>
      <c r="B54" s="1" t="s">
        <v>9</v>
      </c>
      <c r="C54" s="1" t="s">
        <v>187</v>
      </c>
      <c r="D54" s="1"/>
      <c r="E54" s="1" t="s">
        <v>150</v>
      </c>
      <c r="F54" s="4">
        <v>42084</v>
      </c>
      <c r="G54" s="5">
        <v>2405000</v>
      </c>
      <c r="H54" s="1" t="s">
        <v>13</v>
      </c>
      <c r="I54" s="5">
        <v>2416000</v>
      </c>
      <c r="J54" s="1" t="s">
        <v>13</v>
      </c>
      <c r="K54" s="1">
        <v>68.870999999999995</v>
      </c>
      <c r="L54" s="1" t="s">
        <v>151</v>
      </c>
    </row>
    <row r="55" spans="1:12" x14ac:dyDescent="0.25">
      <c r="A55" s="1" t="s">
        <v>168</v>
      </c>
      <c r="B55" s="1" t="s">
        <v>9</v>
      </c>
      <c r="C55" s="1" t="s">
        <v>190</v>
      </c>
      <c r="D55" s="1"/>
      <c r="E55" s="1" t="s">
        <v>150</v>
      </c>
      <c r="F55" s="4">
        <v>42091</v>
      </c>
      <c r="G55" s="1" t="s">
        <v>13</v>
      </c>
      <c r="H55" s="1" t="s">
        <v>13</v>
      </c>
      <c r="I55" s="1" t="s">
        <v>13</v>
      </c>
      <c r="J55" s="1" t="s">
        <v>13</v>
      </c>
      <c r="K55" s="1">
        <v>68.870999999999995</v>
      </c>
      <c r="L55" s="1" t="s">
        <v>151</v>
      </c>
    </row>
    <row r="56" spans="1:12" x14ac:dyDescent="0.25">
      <c r="A56" s="1" t="s">
        <v>168</v>
      </c>
      <c r="B56" s="1" t="s">
        <v>9</v>
      </c>
      <c r="C56" s="1" t="s">
        <v>193</v>
      </c>
      <c r="D56" s="1"/>
      <c r="E56" s="1" t="s">
        <v>150</v>
      </c>
      <c r="F56" s="4">
        <v>42098</v>
      </c>
      <c r="G56" s="1" t="s">
        <v>13</v>
      </c>
      <c r="H56" s="1" t="s">
        <v>13</v>
      </c>
      <c r="I56" s="1" t="s">
        <v>13</v>
      </c>
      <c r="J56" s="1" t="s">
        <v>13</v>
      </c>
      <c r="K56" s="1">
        <v>68.870999999999995</v>
      </c>
      <c r="L56" s="1" t="s">
        <v>151</v>
      </c>
    </row>
    <row r="57" spans="1:12" x14ac:dyDescent="0.25">
      <c r="A57" s="1" t="s">
        <v>168</v>
      </c>
      <c r="B57" s="1" t="s">
        <v>9</v>
      </c>
      <c r="C57" s="1" t="s">
        <v>196</v>
      </c>
      <c r="D57" s="1"/>
      <c r="E57" s="1" t="s">
        <v>150</v>
      </c>
      <c r="F57" s="4">
        <v>42105</v>
      </c>
      <c r="G57" s="1" t="s">
        <v>13</v>
      </c>
      <c r="H57" s="1" t="s">
        <v>13</v>
      </c>
      <c r="I57" s="1" t="s">
        <v>13</v>
      </c>
      <c r="J57" s="1" t="s">
        <v>13</v>
      </c>
      <c r="K57" s="1">
        <v>68.870999999999995</v>
      </c>
      <c r="L57" s="1" t="s">
        <v>151</v>
      </c>
    </row>
    <row r="58" spans="1:12" x14ac:dyDescent="0.25">
      <c r="A58" s="1" t="s">
        <v>168</v>
      </c>
      <c r="B58" s="1" t="s">
        <v>9</v>
      </c>
      <c r="C58" s="1" t="s">
        <v>199</v>
      </c>
      <c r="D58" s="1"/>
      <c r="E58" s="1" t="s">
        <v>273</v>
      </c>
      <c r="F58" s="1" t="s">
        <v>74</v>
      </c>
      <c r="G58" s="1" t="s">
        <v>13</v>
      </c>
      <c r="H58" s="1" t="s">
        <v>13</v>
      </c>
      <c r="I58" s="2">
        <v>-5.0000000000000001E-3</v>
      </c>
      <c r="J58" s="1" t="s">
        <v>13</v>
      </c>
      <c r="K58" s="1">
        <v>68.548400000000001</v>
      </c>
      <c r="L58" s="1" t="s">
        <v>274</v>
      </c>
    </row>
    <row r="59" spans="1:12" x14ac:dyDescent="0.25">
      <c r="A59" s="1" t="s">
        <v>202</v>
      </c>
      <c r="B59" s="1" t="s">
        <v>9</v>
      </c>
      <c r="C59" s="1" t="s">
        <v>203</v>
      </c>
      <c r="D59" s="1"/>
      <c r="E59" s="1" t="s">
        <v>16</v>
      </c>
      <c r="F59" s="1" t="s">
        <v>12</v>
      </c>
      <c r="G59" s="2">
        <v>4.3999999999999997E-2</v>
      </c>
      <c r="H59" s="2">
        <v>4.3999999999999997E-2</v>
      </c>
      <c r="I59" s="2">
        <v>4.2000000000000003E-2</v>
      </c>
      <c r="J59" s="1" t="s">
        <v>13</v>
      </c>
      <c r="K59" s="1">
        <v>67.741900000000001</v>
      </c>
      <c r="L59" s="1" t="s">
        <v>17</v>
      </c>
    </row>
    <row r="60" spans="1:12" x14ac:dyDescent="0.25">
      <c r="A60" s="1" t="s">
        <v>202</v>
      </c>
      <c r="B60" s="1" t="s">
        <v>9</v>
      </c>
      <c r="C60" s="1" t="s">
        <v>206</v>
      </c>
      <c r="D60" s="1"/>
      <c r="E60" s="1" t="s">
        <v>22</v>
      </c>
      <c r="F60" s="1" t="s">
        <v>12</v>
      </c>
      <c r="G60" s="2">
        <v>1.0999999999999999E-2</v>
      </c>
      <c r="H60" s="2">
        <v>1.0999999999999999E-2</v>
      </c>
      <c r="I60" s="2">
        <v>1.0999999999999999E-2</v>
      </c>
      <c r="J60" s="1" t="s">
        <v>13</v>
      </c>
      <c r="K60" s="1">
        <v>67.741900000000001</v>
      </c>
      <c r="L60" s="1" t="s">
        <v>23</v>
      </c>
    </row>
    <row r="61" spans="1:12" x14ac:dyDescent="0.25">
      <c r="A61" s="1" t="s">
        <v>209</v>
      </c>
      <c r="B61" s="1" t="s">
        <v>9</v>
      </c>
      <c r="C61" s="1" t="s">
        <v>210</v>
      </c>
      <c r="D61" s="1"/>
      <c r="E61" s="1" t="s">
        <v>282</v>
      </c>
      <c r="F61" s="1" t="s">
        <v>74</v>
      </c>
      <c r="G61" s="1" t="s">
        <v>13</v>
      </c>
      <c r="H61" s="1" t="s">
        <v>13</v>
      </c>
      <c r="I61" s="3">
        <v>0.01</v>
      </c>
      <c r="J61" s="1" t="s">
        <v>13</v>
      </c>
      <c r="K61" s="1">
        <v>67.741900000000001</v>
      </c>
      <c r="L61" s="1" t="s">
        <v>283</v>
      </c>
    </row>
    <row r="62" spans="1:12" x14ac:dyDescent="0.25">
      <c r="A62" s="1" t="s">
        <v>209</v>
      </c>
      <c r="B62" s="1" t="s">
        <v>9</v>
      </c>
      <c r="C62" s="1" t="s">
        <v>213</v>
      </c>
      <c r="D62" s="1"/>
      <c r="E62" s="1" t="s">
        <v>325</v>
      </c>
      <c r="F62" s="1" t="s">
        <v>44</v>
      </c>
      <c r="G62" s="1" t="s">
        <v>13</v>
      </c>
      <c r="H62" s="1" t="s">
        <v>13</v>
      </c>
      <c r="I62" s="5">
        <v>88300000000</v>
      </c>
      <c r="J62" s="1" t="s">
        <v>13</v>
      </c>
      <c r="K62" s="1">
        <v>66.935500000000005</v>
      </c>
      <c r="L62" s="1" t="s">
        <v>326</v>
      </c>
    </row>
    <row r="63" spans="1:12" x14ac:dyDescent="0.25">
      <c r="A63" s="1" t="s">
        <v>216</v>
      </c>
      <c r="B63" s="1" t="s">
        <v>9</v>
      </c>
      <c r="C63" s="1" t="s">
        <v>217</v>
      </c>
      <c r="D63" s="1"/>
      <c r="E63" s="1" t="s">
        <v>157</v>
      </c>
      <c r="F63" s="4">
        <v>42092</v>
      </c>
      <c r="G63" s="1" t="s">
        <v>13</v>
      </c>
      <c r="H63" s="1" t="s">
        <v>13</v>
      </c>
      <c r="I63" s="1">
        <v>45.5</v>
      </c>
      <c r="J63" s="1" t="s">
        <v>13</v>
      </c>
      <c r="K63" s="1">
        <v>65.322599999999994</v>
      </c>
      <c r="L63" s="1" t="s">
        <v>158</v>
      </c>
    </row>
    <row r="64" spans="1:12" x14ac:dyDescent="0.25">
      <c r="A64" s="1" t="s">
        <v>216</v>
      </c>
      <c r="B64" s="1" t="s">
        <v>9</v>
      </c>
      <c r="C64" s="1" t="s">
        <v>221</v>
      </c>
      <c r="D64" s="1"/>
      <c r="E64" s="1" t="s">
        <v>157</v>
      </c>
      <c r="F64" s="4">
        <v>42099</v>
      </c>
      <c r="G64" s="1" t="s">
        <v>13</v>
      </c>
      <c r="H64" s="1" t="s">
        <v>13</v>
      </c>
      <c r="I64" s="1" t="s">
        <v>13</v>
      </c>
      <c r="J64" s="1" t="s">
        <v>13</v>
      </c>
      <c r="K64" s="1">
        <v>65.322599999999994</v>
      </c>
      <c r="L64" s="1" t="s">
        <v>158</v>
      </c>
    </row>
    <row r="65" spans="1:12" x14ac:dyDescent="0.25">
      <c r="A65" s="1" t="s">
        <v>224</v>
      </c>
      <c r="B65" s="1" t="s">
        <v>9</v>
      </c>
      <c r="C65" s="1" t="s">
        <v>225</v>
      </c>
      <c r="D65" s="1"/>
      <c r="E65" s="1" t="s">
        <v>157</v>
      </c>
      <c r="F65" s="4">
        <v>42106</v>
      </c>
      <c r="G65" s="1" t="s">
        <v>13</v>
      </c>
      <c r="H65" s="1" t="s">
        <v>13</v>
      </c>
      <c r="I65" s="1" t="s">
        <v>13</v>
      </c>
      <c r="J65" s="1" t="s">
        <v>13</v>
      </c>
      <c r="K65" s="1">
        <v>65.322599999999994</v>
      </c>
      <c r="L65" s="1" t="s">
        <v>158</v>
      </c>
    </row>
    <row r="66" spans="1:12" x14ac:dyDescent="0.25">
      <c r="A66" s="1" t="s">
        <v>228</v>
      </c>
      <c r="B66" s="1" t="s">
        <v>9</v>
      </c>
      <c r="C66" s="1" t="s">
        <v>229</v>
      </c>
      <c r="D66" s="1"/>
      <c r="E66" s="1" t="s">
        <v>157</v>
      </c>
      <c r="F66" s="4">
        <v>42113</v>
      </c>
      <c r="G66" s="1" t="s">
        <v>13</v>
      </c>
      <c r="H66" s="1" t="s">
        <v>13</v>
      </c>
      <c r="I66" s="1" t="s">
        <v>13</v>
      </c>
      <c r="J66" s="1" t="s">
        <v>13</v>
      </c>
      <c r="K66" s="1">
        <v>65.322599999999994</v>
      </c>
      <c r="L66" s="1" t="s">
        <v>158</v>
      </c>
    </row>
    <row r="67" spans="1:12" x14ac:dyDescent="0.25">
      <c r="A67" s="1" t="s">
        <v>230</v>
      </c>
      <c r="B67" s="1" t="s">
        <v>9</v>
      </c>
      <c r="C67" s="1" t="s">
        <v>231</v>
      </c>
      <c r="D67" s="1"/>
      <c r="E67" s="1" t="s">
        <v>73</v>
      </c>
      <c r="F67" s="1" t="s">
        <v>74</v>
      </c>
      <c r="G67" s="1">
        <v>-9</v>
      </c>
      <c r="H67" s="1" t="s">
        <v>13</v>
      </c>
      <c r="I67" s="1">
        <v>-11.2</v>
      </c>
      <c r="J67" s="1" t="s">
        <v>13</v>
      </c>
      <c r="K67" s="1">
        <v>64.516099999999994</v>
      </c>
      <c r="L67" s="1" t="s">
        <v>75</v>
      </c>
    </row>
    <row r="68" spans="1:12" x14ac:dyDescent="0.25">
      <c r="A68" s="1" t="s">
        <v>233</v>
      </c>
      <c r="B68" s="1" t="s">
        <v>9</v>
      </c>
      <c r="C68" s="1" t="s">
        <v>234</v>
      </c>
      <c r="D68" s="1"/>
      <c r="E68" s="1" t="s">
        <v>73</v>
      </c>
      <c r="F68" s="1" t="s">
        <v>219</v>
      </c>
      <c r="G68" s="1" t="s">
        <v>13</v>
      </c>
      <c r="H68" s="1" t="s">
        <v>13</v>
      </c>
      <c r="I68" s="1" t="s">
        <v>13</v>
      </c>
      <c r="J68" s="1" t="s">
        <v>13</v>
      </c>
      <c r="K68" s="1">
        <v>64.516099999999994</v>
      </c>
      <c r="L68" s="1" t="s">
        <v>75</v>
      </c>
    </row>
    <row r="69" spans="1:12" x14ac:dyDescent="0.25">
      <c r="A69" s="1" t="s">
        <v>233</v>
      </c>
      <c r="B69" s="1" t="s">
        <v>9</v>
      </c>
      <c r="C69" s="1" t="s">
        <v>235</v>
      </c>
      <c r="D69" s="1"/>
      <c r="E69" s="1" t="s">
        <v>385</v>
      </c>
      <c r="F69" s="1" t="s">
        <v>74</v>
      </c>
      <c r="G69" s="1" t="s">
        <v>13</v>
      </c>
      <c r="H69" s="1" t="s">
        <v>13</v>
      </c>
      <c r="I69" s="1">
        <v>-0.11</v>
      </c>
      <c r="J69" s="1" t="s">
        <v>13</v>
      </c>
      <c r="K69" s="1">
        <v>63.709699999999998</v>
      </c>
      <c r="L69" s="1" t="s">
        <v>386</v>
      </c>
    </row>
    <row r="70" spans="1:12" x14ac:dyDescent="0.25">
      <c r="A70" s="1" t="s">
        <v>236</v>
      </c>
      <c r="B70" s="1" t="s">
        <v>9</v>
      </c>
      <c r="C70" s="1" t="s">
        <v>237</v>
      </c>
      <c r="D70" s="1"/>
      <c r="E70" s="1" t="s">
        <v>261</v>
      </c>
      <c r="F70" s="1" t="s">
        <v>74</v>
      </c>
      <c r="G70" s="1" t="s">
        <v>13</v>
      </c>
      <c r="H70" s="1" t="s">
        <v>13</v>
      </c>
      <c r="I70" s="2">
        <v>-1E-3</v>
      </c>
      <c r="J70" s="1" t="s">
        <v>13</v>
      </c>
      <c r="K70" s="1">
        <v>63.2258</v>
      </c>
      <c r="L70" s="1" t="s">
        <v>262</v>
      </c>
    </row>
    <row r="71" spans="1:12" x14ac:dyDescent="0.25">
      <c r="A71" s="1" t="s">
        <v>238</v>
      </c>
      <c r="B71" s="1" t="s">
        <v>9</v>
      </c>
      <c r="C71" s="1" t="s">
        <v>239</v>
      </c>
      <c r="D71" s="1"/>
      <c r="E71" s="1" t="s">
        <v>362</v>
      </c>
      <c r="F71" s="1" t="s">
        <v>74</v>
      </c>
      <c r="G71" s="1" t="s">
        <v>13</v>
      </c>
      <c r="H71" s="1" t="s">
        <v>13</v>
      </c>
      <c r="I71" s="3">
        <v>0</v>
      </c>
      <c r="J71" s="1" t="s">
        <v>13</v>
      </c>
      <c r="K71" s="1">
        <v>62.903199999999998</v>
      </c>
      <c r="L71" s="1" t="s">
        <v>363</v>
      </c>
    </row>
    <row r="72" spans="1:12" x14ac:dyDescent="0.25">
      <c r="A72" s="1" t="s">
        <v>238</v>
      </c>
      <c r="B72" s="1" t="s">
        <v>9</v>
      </c>
      <c r="C72" s="1" t="s">
        <v>242</v>
      </c>
      <c r="D72" s="1"/>
      <c r="E72" s="1" t="s">
        <v>335</v>
      </c>
      <c r="F72" s="1" t="s">
        <v>74</v>
      </c>
      <c r="G72" s="1" t="s">
        <v>13</v>
      </c>
      <c r="H72" s="1" t="s">
        <v>13</v>
      </c>
      <c r="I72" s="5">
        <v>1092000</v>
      </c>
      <c r="J72" s="5">
        <v>1102000</v>
      </c>
      <c r="K72" s="1">
        <v>62.661299999999997</v>
      </c>
      <c r="L72" s="1" t="s">
        <v>336</v>
      </c>
    </row>
    <row r="73" spans="1:12" x14ac:dyDescent="0.25">
      <c r="A73" s="1" t="s">
        <v>245</v>
      </c>
      <c r="B73" s="1" t="s">
        <v>9</v>
      </c>
      <c r="C73" s="1" t="s">
        <v>246</v>
      </c>
      <c r="D73" s="1"/>
      <c r="E73" s="1" t="s">
        <v>264</v>
      </c>
      <c r="F73" s="1" t="s">
        <v>74</v>
      </c>
      <c r="G73" s="1" t="s">
        <v>13</v>
      </c>
      <c r="H73" s="1" t="s">
        <v>13</v>
      </c>
      <c r="I73" s="2">
        <v>-2E-3</v>
      </c>
      <c r="J73" s="1" t="s">
        <v>13</v>
      </c>
      <c r="K73" s="1">
        <v>62.096800000000002</v>
      </c>
      <c r="L73" s="1" t="s">
        <v>265</v>
      </c>
    </row>
    <row r="74" spans="1:12" x14ac:dyDescent="0.25">
      <c r="A74" s="1" t="s">
        <v>245</v>
      </c>
      <c r="B74" s="1" t="s">
        <v>9</v>
      </c>
      <c r="C74" s="1" t="s">
        <v>249</v>
      </c>
      <c r="D74" s="1"/>
      <c r="E74" s="1" t="s">
        <v>308</v>
      </c>
      <c r="F74" s="1" t="s">
        <v>74</v>
      </c>
      <c r="G74" s="1" t="s">
        <v>13</v>
      </c>
      <c r="H74" s="1" t="s">
        <v>13</v>
      </c>
      <c r="I74" s="2">
        <v>0.78900000000000003</v>
      </c>
      <c r="J74" s="1" t="s">
        <v>13</v>
      </c>
      <c r="K74" s="1">
        <v>62.096800000000002</v>
      </c>
      <c r="L74" s="1" t="s">
        <v>309</v>
      </c>
    </row>
    <row r="75" spans="1:12" x14ac:dyDescent="0.25">
      <c r="A75" s="1" t="s">
        <v>252</v>
      </c>
      <c r="B75" s="1" t="s">
        <v>9</v>
      </c>
      <c r="C75" s="1" t="s">
        <v>253</v>
      </c>
      <c r="D75" s="1"/>
      <c r="E75" s="1" t="s">
        <v>289</v>
      </c>
      <c r="F75" s="1" t="s">
        <v>74</v>
      </c>
      <c r="G75" s="1" t="s">
        <v>13</v>
      </c>
      <c r="H75" s="1" t="s">
        <v>13</v>
      </c>
      <c r="I75" s="1">
        <v>98</v>
      </c>
      <c r="J75" s="1" t="s">
        <v>13</v>
      </c>
      <c r="K75" s="1">
        <v>61.290300000000002</v>
      </c>
      <c r="L75" s="1" t="s">
        <v>290</v>
      </c>
    </row>
    <row r="76" spans="1:12" x14ac:dyDescent="0.25">
      <c r="A76" s="1" t="s">
        <v>256</v>
      </c>
      <c r="B76" s="1" t="s">
        <v>9</v>
      </c>
      <c r="C76" s="1" t="s">
        <v>257</v>
      </c>
      <c r="D76" s="1"/>
      <c r="E76" s="1" t="s">
        <v>59</v>
      </c>
      <c r="F76" s="1" t="s">
        <v>44</v>
      </c>
      <c r="G76" s="2">
        <v>1E-3</v>
      </c>
      <c r="H76" s="1" t="s">
        <v>13</v>
      </c>
      <c r="I76" s="2">
        <v>1E-3</v>
      </c>
      <c r="J76" s="1" t="s">
        <v>13</v>
      </c>
      <c r="K76" s="1">
        <v>59.838700000000003</v>
      </c>
      <c r="L76" s="1" t="s">
        <v>60</v>
      </c>
    </row>
    <row r="77" spans="1:12" x14ac:dyDescent="0.25">
      <c r="A77" s="1" t="s">
        <v>256</v>
      </c>
      <c r="B77" s="1" t="s">
        <v>9</v>
      </c>
      <c r="C77" s="1" t="s">
        <v>260</v>
      </c>
      <c r="D77" s="1"/>
      <c r="E77" s="1" t="s">
        <v>425</v>
      </c>
      <c r="F77" s="1" t="s">
        <v>74</v>
      </c>
      <c r="G77" s="1" t="s">
        <v>13</v>
      </c>
      <c r="H77" s="1" t="s">
        <v>13</v>
      </c>
      <c r="I77" s="2">
        <v>-1.4E-2</v>
      </c>
      <c r="J77" s="1" t="s">
        <v>13</v>
      </c>
      <c r="K77" s="1">
        <v>59.677399999999999</v>
      </c>
      <c r="L77" s="1" t="s">
        <v>426</v>
      </c>
    </row>
    <row r="78" spans="1:12" x14ac:dyDescent="0.25">
      <c r="A78" s="1" t="s">
        <v>256</v>
      </c>
      <c r="B78" s="1" t="s">
        <v>9</v>
      </c>
      <c r="C78" s="1" t="s">
        <v>263</v>
      </c>
      <c r="D78" s="1"/>
      <c r="E78" s="1" t="s">
        <v>428</v>
      </c>
      <c r="F78" s="1" t="s">
        <v>74</v>
      </c>
      <c r="G78" s="1" t="s">
        <v>13</v>
      </c>
      <c r="H78" s="1" t="s">
        <v>13</v>
      </c>
      <c r="I78" s="2">
        <v>2E-3</v>
      </c>
      <c r="J78" s="1" t="s">
        <v>13</v>
      </c>
      <c r="K78" s="1">
        <v>58.871000000000002</v>
      </c>
      <c r="L78" s="1" t="s">
        <v>429</v>
      </c>
    </row>
    <row r="79" spans="1:12" x14ac:dyDescent="0.25">
      <c r="A79" s="1" t="s">
        <v>256</v>
      </c>
      <c r="B79" s="1" t="s">
        <v>9</v>
      </c>
      <c r="C79" s="1" t="s">
        <v>266</v>
      </c>
      <c r="D79" s="1"/>
      <c r="E79" s="1" t="s">
        <v>88</v>
      </c>
      <c r="F79" s="1" t="s">
        <v>82</v>
      </c>
      <c r="G79" s="1">
        <v>172.9</v>
      </c>
      <c r="H79" s="1" t="s">
        <v>13</v>
      </c>
      <c r="I79" s="1">
        <v>173.02</v>
      </c>
      <c r="J79" s="1" t="s">
        <v>13</v>
      </c>
      <c r="K79" s="1">
        <v>55.645200000000003</v>
      </c>
      <c r="L79" s="1" t="s">
        <v>89</v>
      </c>
    </row>
    <row r="80" spans="1:12" x14ac:dyDescent="0.25">
      <c r="A80" s="1" t="s">
        <v>256</v>
      </c>
      <c r="B80" s="1" t="s">
        <v>9</v>
      </c>
      <c r="C80" s="1" t="s">
        <v>269</v>
      </c>
      <c r="D80" s="1"/>
      <c r="E80" s="1" t="s">
        <v>398</v>
      </c>
      <c r="F80" s="1" t="s">
        <v>74</v>
      </c>
      <c r="G80" s="1" t="s">
        <v>13</v>
      </c>
      <c r="H80" s="1" t="s">
        <v>13</v>
      </c>
      <c r="I80" s="2">
        <v>1.2E-2</v>
      </c>
      <c r="J80" s="1" t="s">
        <v>13</v>
      </c>
      <c r="K80" s="1">
        <v>53.2258</v>
      </c>
      <c r="L80" s="1" t="s">
        <v>399</v>
      </c>
    </row>
    <row r="81" spans="1:12" x14ac:dyDescent="0.25">
      <c r="A81" s="1" t="s">
        <v>256</v>
      </c>
      <c r="B81" s="1" t="s">
        <v>9</v>
      </c>
      <c r="C81" s="1" t="s">
        <v>272</v>
      </c>
      <c r="D81" s="1"/>
      <c r="E81" s="1" t="s">
        <v>411</v>
      </c>
      <c r="F81" s="1" t="s">
        <v>74</v>
      </c>
      <c r="G81" s="1" t="s">
        <v>13</v>
      </c>
      <c r="H81" s="1" t="s">
        <v>13</v>
      </c>
      <c r="I81" s="2">
        <v>7.8E-2</v>
      </c>
      <c r="J81" s="1" t="s">
        <v>13</v>
      </c>
      <c r="K81" s="1">
        <v>51.612900000000003</v>
      </c>
      <c r="L81" s="1" t="s">
        <v>412</v>
      </c>
    </row>
    <row r="82" spans="1:12" x14ac:dyDescent="0.25">
      <c r="A82" s="1" t="s">
        <v>256</v>
      </c>
      <c r="B82" s="1" t="s">
        <v>9</v>
      </c>
      <c r="C82" s="1" t="s">
        <v>275</v>
      </c>
      <c r="D82" s="1"/>
      <c r="E82" s="1" t="s">
        <v>85</v>
      </c>
      <c r="F82" s="1" t="s">
        <v>82</v>
      </c>
      <c r="G82" s="2">
        <v>4.5999999999999999E-2</v>
      </c>
      <c r="H82" s="1" t="s">
        <v>13</v>
      </c>
      <c r="I82" s="2">
        <v>4.4600000000000001E-2</v>
      </c>
      <c r="J82" s="1" t="s">
        <v>13</v>
      </c>
      <c r="K82" s="1">
        <v>50.8065</v>
      </c>
      <c r="L82" s="1" t="s">
        <v>86</v>
      </c>
    </row>
    <row r="83" spans="1:12" x14ac:dyDescent="0.25">
      <c r="A83" s="1" t="s">
        <v>256</v>
      </c>
      <c r="B83" s="1" t="s">
        <v>9</v>
      </c>
      <c r="C83" s="1" t="s">
        <v>278</v>
      </c>
      <c r="D83" s="1"/>
      <c r="E83" s="1" t="s">
        <v>365</v>
      </c>
      <c r="F83" s="1" t="s">
        <v>74</v>
      </c>
      <c r="G83" s="1" t="s">
        <v>13</v>
      </c>
      <c r="H83" s="1" t="s">
        <v>13</v>
      </c>
      <c r="I83" s="2">
        <v>1.7000000000000001E-2</v>
      </c>
      <c r="J83" s="1" t="s">
        <v>13</v>
      </c>
      <c r="K83" s="1">
        <v>50</v>
      </c>
      <c r="L83" s="1" t="s">
        <v>366</v>
      </c>
    </row>
    <row r="84" spans="1:12" x14ac:dyDescent="0.25">
      <c r="A84" s="1" t="s">
        <v>256</v>
      </c>
      <c r="B84" s="1" t="s">
        <v>9</v>
      </c>
      <c r="C84" s="1" t="s">
        <v>281</v>
      </c>
      <c r="D84" s="1"/>
      <c r="E84" s="1" t="s">
        <v>315</v>
      </c>
      <c r="F84" s="1" t="s">
        <v>219</v>
      </c>
      <c r="G84" s="1" t="s">
        <v>13</v>
      </c>
      <c r="H84" s="1" t="s">
        <v>13</v>
      </c>
      <c r="I84" s="1">
        <v>53</v>
      </c>
      <c r="J84" s="1" t="s">
        <v>13</v>
      </c>
      <c r="K84" s="1">
        <v>46.7742</v>
      </c>
      <c r="L84" s="1" t="s">
        <v>316</v>
      </c>
    </row>
    <row r="85" spans="1:12" x14ac:dyDescent="0.25">
      <c r="A85" s="1" t="s">
        <v>256</v>
      </c>
      <c r="B85" s="1" t="s">
        <v>9</v>
      </c>
      <c r="C85" s="1" t="s">
        <v>284</v>
      </c>
      <c r="D85" s="1"/>
      <c r="E85" s="1" t="s">
        <v>134</v>
      </c>
      <c r="F85" s="1" t="s">
        <v>74</v>
      </c>
      <c r="G85" s="5">
        <v>16900000</v>
      </c>
      <c r="H85" s="1" t="s">
        <v>13</v>
      </c>
      <c r="I85" s="5">
        <v>16160000</v>
      </c>
      <c r="J85" s="1" t="s">
        <v>13</v>
      </c>
      <c r="K85" s="1">
        <v>45.967700000000001</v>
      </c>
      <c r="L85" s="1" t="s">
        <v>135</v>
      </c>
    </row>
    <row r="86" spans="1:12" x14ac:dyDescent="0.25">
      <c r="A86" s="1" t="s">
        <v>287</v>
      </c>
      <c r="B86" s="1" t="s">
        <v>9</v>
      </c>
      <c r="C86" s="1" t="s">
        <v>288</v>
      </c>
      <c r="D86" s="1"/>
      <c r="E86" s="1" t="s">
        <v>226</v>
      </c>
      <c r="F86" s="1" t="s">
        <v>44</v>
      </c>
      <c r="G86" s="5">
        <v>14250000000</v>
      </c>
      <c r="H86" s="1" t="s">
        <v>13</v>
      </c>
      <c r="I86" s="5">
        <v>11562000000</v>
      </c>
      <c r="J86" s="1" t="s">
        <v>13</v>
      </c>
      <c r="K86" s="1">
        <v>45.161299999999997</v>
      </c>
      <c r="L86" s="1" t="s">
        <v>227</v>
      </c>
    </row>
    <row r="87" spans="1:12" x14ac:dyDescent="0.25">
      <c r="A87" s="1" t="s">
        <v>291</v>
      </c>
      <c r="B87" s="1" t="s">
        <v>9</v>
      </c>
      <c r="C87" s="1" t="s">
        <v>292</v>
      </c>
      <c r="D87" s="1"/>
      <c r="E87" s="1" t="s">
        <v>62</v>
      </c>
      <c r="F87" s="1" t="s">
        <v>44</v>
      </c>
      <c r="G87" s="2">
        <v>1.2999999999999999E-2</v>
      </c>
      <c r="H87" s="1" t="s">
        <v>13</v>
      </c>
      <c r="I87" s="2">
        <v>1.2999999999999999E-2</v>
      </c>
      <c r="J87" s="1" t="s">
        <v>13</v>
      </c>
      <c r="K87" s="1">
        <v>43.548400000000001</v>
      </c>
      <c r="L87" s="1" t="s">
        <v>63</v>
      </c>
    </row>
    <row r="88" spans="1:12" x14ac:dyDescent="0.25">
      <c r="A88" s="1" t="s">
        <v>291</v>
      </c>
      <c r="B88" s="1" t="s">
        <v>9</v>
      </c>
      <c r="C88" s="1" t="s">
        <v>295</v>
      </c>
      <c r="D88" s="1"/>
      <c r="E88" s="1" t="s">
        <v>293</v>
      </c>
      <c r="F88" s="1" t="s">
        <v>44</v>
      </c>
      <c r="G88" s="1" t="s">
        <v>13</v>
      </c>
      <c r="H88" s="1" t="s">
        <v>13</v>
      </c>
      <c r="I88" s="3">
        <v>0</v>
      </c>
      <c r="J88" s="1" t="s">
        <v>13</v>
      </c>
      <c r="K88" s="1">
        <v>42.741900000000001</v>
      </c>
      <c r="L88" s="1" t="s">
        <v>294</v>
      </c>
    </row>
    <row r="89" spans="1:12" x14ac:dyDescent="0.25">
      <c r="A89" s="1" t="s">
        <v>297</v>
      </c>
      <c r="B89" s="1" t="s">
        <v>9</v>
      </c>
      <c r="C89" s="1" t="s">
        <v>298</v>
      </c>
      <c r="D89" s="1"/>
      <c r="E89" s="1" t="s">
        <v>345</v>
      </c>
      <c r="F89" s="1" t="s">
        <v>219</v>
      </c>
      <c r="G89" s="1" t="s">
        <v>13</v>
      </c>
      <c r="H89" s="1" t="s">
        <v>13</v>
      </c>
      <c r="I89" s="1">
        <v>51.5</v>
      </c>
      <c r="J89" s="1" t="s">
        <v>13</v>
      </c>
      <c r="K89" s="1">
        <v>41.128999999999998</v>
      </c>
      <c r="L89" s="1" t="s">
        <v>346</v>
      </c>
    </row>
    <row r="90" spans="1:12" x14ac:dyDescent="0.25">
      <c r="A90" s="1" t="s">
        <v>299</v>
      </c>
      <c r="B90" s="1" t="s">
        <v>9</v>
      </c>
      <c r="C90" s="1" t="s">
        <v>300</v>
      </c>
      <c r="D90" s="1"/>
      <c r="E90" s="1" t="s">
        <v>56</v>
      </c>
      <c r="F90" s="1" t="s">
        <v>44</v>
      </c>
      <c r="G90" s="2">
        <v>3.0000000000000001E-3</v>
      </c>
      <c r="H90" s="1" t="s">
        <v>13</v>
      </c>
      <c r="I90" s="2">
        <v>2E-3</v>
      </c>
      <c r="J90" s="1" t="s">
        <v>13</v>
      </c>
      <c r="K90" s="1">
        <v>40.322600000000001</v>
      </c>
      <c r="L90" s="1" t="s">
        <v>57</v>
      </c>
    </row>
    <row r="91" spans="1:12" x14ac:dyDescent="0.25">
      <c r="A91" s="1" t="s">
        <v>303</v>
      </c>
      <c r="B91" s="1" t="s">
        <v>9</v>
      </c>
      <c r="C91" s="1" t="s">
        <v>304</v>
      </c>
      <c r="D91" s="1"/>
      <c r="E91" s="1" t="s">
        <v>371</v>
      </c>
      <c r="F91" s="1" t="s">
        <v>74</v>
      </c>
      <c r="G91" s="1" t="s">
        <v>13</v>
      </c>
      <c r="H91" s="1" t="s">
        <v>13</v>
      </c>
      <c r="I91" s="1">
        <v>240.24700000000001</v>
      </c>
      <c r="J91" s="1" t="s">
        <v>13</v>
      </c>
      <c r="K91" s="1">
        <v>39.516100000000002</v>
      </c>
      <c r="L91" s="1" t="s">
        <v>372</v>
      </c>
    </row>
    <row r="92" spans="1:12" x14ac:dyDescent="0.25">
      <c r="A92" s="1" t="s">
        <v>303</v>
      </c>
      <c r="B92" s="1" t="s">
        <v>9</v>
      </c>
      <c r="C92" s="1" t="s">
        <v>307</v>
      </c>
      <c r="D92" s="1"/>
      <c r="E92" s="1" t="s">
        <v>137</v>
      </c>
      <c r="F92" s="1" t="s">
        <v>74</v>
      </c>
      <c r="G92" s="5">
        <v>13500000</v>
      </c>
      <c r="H92" s="1" t="s">
        <v>13</v>
      </c>
      <c r="I92" s="5">
        <v>12870000</v>
      </c>
      <c r="J92" s="1" t="s">
        <v>13</v>
      </c>
      <c r="K92" s="1">
        <v>38.709699999999998</v>
      </c>
      <c r="L92" s="1" t="s">
        <v>138</v>
      </c>
    </row>
    <row r="93" spans="1:12" x14ac:dyDescent="0.25">
      <c r="A93" s="1" t="s">
        <v>303</v>
      </c>
      <c r="B93" s="1" t="s">
        <v>9</v>
      </c>
      <c r="C93" s="1" t="s">
        <v>310</v>
      </c>
      <c r="D93" s="1"/>
      <c r="E93" s="1" t="s">
        <v>141</v>
      </c>
      <c r="F93" s="1" t="s">
        <v>74</v>
      </c>
      <c r="G93" s="1" t="s">
        <v>13</v>
      </c>
      <c r="H93" s="1" t="s">
        <v>13</v>
      </c>
      <c r="I93" s="2">
        <v>0.20899999999999999</v>
      </c>
      <c r="J93" s="1" t="s">
        <v>13</v>
      </c>
      <c r="K93" s="1">
        <v>37.096800000000002</v>
      </c>
      <c r="L93" s="1" t="s">
        <v>142</v>
      </c>
    </row>
    <row r="94" spans="1:12" x14ac:dyDescent="0.25">
      <c r="A94" s="1" t="s">
        <v>313</v>
      </c>
      <c r="B94" s="1" t="s">
        <v>9</v>
      </c>
      <c r="C94" s="1" t="s">
        <v>314</v>
      </c>
      <c r="D94" s="1"/>
      <c r="E94" s="1" t="s">
        <v>368</v>
      </c>
      <c r="F94" s="1" t="s">
        <v>74</v>
      </c>
      <c r="G94" s="1" t="s">
        <v>13</v>
      </c>
      <c r="H94" s="1" t="s">
        <v>13</v>
      </c>
      <c r="I94" s="1">
        <v>234.72200000000001</v>
      </c>
      <c r="J94" s="1" t="s">
        <v>13</v>
      </c>
      <c r="K94" s="1">
        <v>36.290300000000002</v>
      </c>
      <c r="L94" s="1" t="s">
        <v>369</v>
      </c>
    </row>
    <row r="95" spans="1:12" x14ac:dyDescent="0.25">
      <c r="A95" s="1" t="s">
        <v>317</v>
      </c>
      <c r="B95" s="1" t="s">
        <v>9</v>
      </c>
      <c r="C95" s="1" t="s">
        <v>318</v>
      </c>
      <c r="D95" s="1"/>
      <c r="E95" s="1" t="s">
        <v>78</v>
      </c>
      <c r="F95" s="1" t="s">
        <v>74</v>
      </c>
      <c r="G95" s="1">
        <v>51.5</v>
      </c>
      <c r="H95" s="1" t="s">
        <v>13</v>
      </c>
      <c r="I95" s="1">
        <v>50.32</v>
      </c>
      <c r="J95" s="1" t="s">
        <v>13</v>
      </c>
      <c r="K95" s="1">
        <v>35.483899999999998</v>
      </c>
      <c r="L95" s="1" t="s">
        <v>79</v>
      </c>
    </row>
    <row r="96" spans="1:12" x14ac:dyDescent="0.25">
      <c r="A96" s="1" t="s">
        <v>320</v>
      </c>
      <c r="B96" s="1" t="s">
        <v>9</v>
      </c>
      <c r="C96" s="1" t="s">
        <v>321</v>
      </c>
      <c r="D96" s="1"/>
      <c r="E96" s="1" t="s">
        <v>250</v>
      </c>
      <c r="F96" s="1" t="s">
        <v>74</v>
      </c>
      <c r="G96" s="1" t="s">
        <v>13</v>
      </c>
      <c r="H96" s="1" t="s">
        <v>13</v>
      </c>
      <c r="I96" s="2">
        <v>-9.4E-2</v>
      </c>
      <c r="J96" s="1" t="s">
        <v>13</v>
      </c>
      <c r="K96" s="1">
        <v>34.677399999999999</v>
      </c>
      <c r="L96" s="1" t="s">
        <v>251</v>
      </c>
    </row>
    <row r="97" spans="1:12" x14ac:dyDescent="0.25">
      <c r="A97" s="1" t="s">
        <v>320</v>
      </c>
      <c r="B97" s="1" t="s">
        <v>9</v>
      </c>
      <c r="C97" s="1" t="s">
        <v>324</v>
      </c>
      <c r="D97" s="1"/>
      <c r="E97" s="1" t="s">
        <v>94</v>
      </c>
      <c r="F97" s="1" t="s">
        <v>82</v>
      </c>
      <c r="G97" s="1" t="s">
        <v>13</v>
      </c>
      <c r="H97" s="1" t="s">
        <v>13</v>
      </c>
      <c r="I97" s="2">
        <v>4.6199999999999998E-2</v>
      </c>
      <c r="J97" s="1" t="s">
        <v>13</v>
      </c>
      <c r="K97" s="1">
        <v>33.871000000000002</v>
      </c>
      <c r="L97" s="1" t="s">
        <v>95</v>
      </c>
    </row>
    <row r="98" spans="1:12" x14ac:dyDescent="0.25">
      <c r="A98" s="1" t="s">
        <v>327</v>
      </c>
      <c r="B98" s="1" t="s">
        <v>9</v>
      </c>
      <c r="C98" s="1" t="s">
        <v>328</v>
      </c>
      <c r="D98" s="1"/>
      <c r="E98" s="1" t="s">
        <v>97</v>
      </c>
      <c r="F98" s="1" t="s">
        <v>82</v>
      </c>
      <c r="G98" s="1" t="s">
        <v>13</v>
      </c>
      <c r="H98" s="1" t="s">
        <v>13</v>
      </c>
      <c r="I98" s="1">
        <v>166.82</v>
      </c>
      <c r="J98" s="1" t="s">
        <v>13</v>
      </c>
      <c r="K98" s="1">
        <v>32.258099999999999</v>
      </c>
      <c r="L98" s="1" t="s">
        <v>98</v>
      </c>
    </row>
    <row r="99" spans="1:12" x14ac:dyDescent="0.25">
      <c r="A99" s="1" t="s">
        <v>327</v>
      </c>
      <c r="B99" s="1" t="s">
        <v>9</v>
      </c>
      <c r="C99" s="1" t="s">
        <v>331</v>
      </c>
      <c r="D99" s="1"/>
      <c r="E99" s="1" t="s">
        <v>69</v>
      </c>
      <c r="F99" s="1" t="s">
        <v>44</v>
      </c>
      <c r="G99" s="2">
        <v>8.6999999999999994E-2</v>
      </c>
      <c r="H99" s="1" t="s">
        <v>13</v>
      </c>
      <c r="I99" s="2">
        <v>6.5000000000000002E-2</v>
      </c>
      <c r="J99" s="1" t="s">
        <v>13</v>
      </c>
      <c r="K99" s="1">
        <v>30.645199999999999</v>
      </c>
      <c r="L99" s="1" t="s">
        <v>70</v>
      </c>
    </row>
    <row r="100" spans="1:12" x14ac:dyDescent="0.25">
      <c r="A100" s="1" t="s">
        <v>327</v>
      </c>
      <c r="B100" s="1" t="s">
        <v>9</v>
      </c>
      <c r="C100" s="1" t="s">
        <v>334</v>
      </c>
      <c r="D100" s="1"/>
      <c r="E100" s="1" t="s">
        <v>176</v>
      </c>
      <c r="F100" s="1" t="s">
        <v>74</v>
      </c>
      <c r="G100" s="1">
        <v>240000</v>
      </c>
      <c r="H100" s="1" t="s">
        <v>13</v>
      </c>
      <c r="I100" s="1">
        <v>288000</v>
      </c>
      <c r="J100" s="1" t="s">
        <v>13</v>
      </c>
      <c r="K100" s="1">
        <v>29.838699999999999</v>
      </c>
      <c r="L100" s="1" t="s">
        <v>177</v>
      </c>
    </row>
    <row r="101" spans="1:12" x14ac:dyDescent="0.25">
      <c r="A101" s="1" t="s">
        <v>327</v>
      </c>
      <c r="B101" s="1" t="s">
        <v>9</v>
      </c>
      <c r="C101" s="1" t="s">
        <v>337</v>
      </c>
      <c r="D101" s="1"/>
      <c r="E101" s="1" t="s">
        <v>332</v>
      </c>
      <c r="F101" s="1" t="s">
        <v>74</v>
      </c>
      <c r="G101" s="1" t="s">
        <v>13</v>
      </c>
      <c r="H101" s="1" t="s">
        <v>13</v>
      </c>
      <c r="I101" s="3">
        <v>-0.17</v>
      </c>
      <c r="J101" s="1" t="s">
        <v>13</v>
      </c>
      <c r="K101" s="1">
        <v>29.032299999999999</v>
      </c>
      <c r="L101" s="1" t="s">
        <v>333</v>
      </c>
    </row>
    <row r="102" spans="1:12" x14ac:dyDescent="0.25">
      <c r="A102" s="1" t="s">
        <v>327</v>
      </c>
      <c r="B102" s="1" t="s">
        <v>9</v>
      </c>
      <c r="C102" s="1" t="s">
        <v>340</v>
      </c>
      <c r="D102" s="1"/>
      <c r="E102" s="1" t="s">
        <v>81</v>
      </c>
      <c r="F102" s="1" t="s">
        <v>82</v>
      </c>
      <c r="G102" s="2">
        <v>7.0000000000000001E-3</v>
      </c>
      <c r="H102" s="1" t="s">
        <v>13</v>
      </c>
      <c r="I102" s="2">
        <v>8.6999999999999994E-3</v>
      </c>
      <c r="J102" s="1" t="s">
        <v>13</v>
      </c>
      <c r="K102" s="1">
        <v>28.2258</v>
      </c>
      <c r="L102" s="1" t="s">
        <v>83</v>
      </c>
    </row>
    <row r="103" spans="1:12" x14ac:dyDescent="0.25">
      <c r="A103" s="1" t="s">
        <v>327</v>
      </c>
      <c r="B103" s="1" t="s">
        <v>9</v>
      </c>
      <c r="C103" s="1" t="s">
        <v>341</v>
      </c>
      <c r="D103" s="1"/>
      <c r="E103" s="1" t="s">
        <v>185</v>
      </c>
      <c r="F103" s="1" t="s">
        <v>74</v>
      </c>
      <c r="G103" s="2">
        <v>2E-3</v>
      </c>
      <c r="H103" s="1" t="s">
        <v>13</v>
      </c>
      <c r="I103" s="2">
        <v>1E-3</v>
      </c>
      <c r="J103" s="1" t="s">
        <v>13</v>
      </c>
      <c r="K103" s="1">
        <v>27.4194</v>
      </c>
      <c r="L103" s="1" t="s">
        <v>186</v>
      </c>
    </row>
    <row r="104" spans="1:12" x14ac:dyDescent="0.25">
      <c r="A104" s="1" t="s">
        <v>342</v>
      </c>
      <c r="B104" s="1" t="s">
        <v>9</v>
      </c>
      <c r="C104" s="1" t="s">
        <v>343</v>
      </c>
      <c r="D104" s="1"/>
      <c r="E104" s="1" t="s">
        <v>188</v>
      </c>
      <c r="F104" s="1" t="s">
        <v>74</v>
      </c>
      <c r="G104" s="3">
        <v>0.02</v>
      </c>
      <c r="H104" s="1" t="s">
        <v>13</v>
      </c>
      <c r="I104" s="3">
        <v>0.02</v>
      </c>
      <c r="J104" s="1" t="s">
        <v>13</v>
      </c>
      <c r="K104" s="1">
        <v>26.6129</v>
      </c>
      <c r="L104" s="1" t="s">
        <v>189</v>
      </c>
    </row>
    <row r="105" spans="1:12" x14ac:dyDescent="0.25">
      <c r="A105" s="1" t="s">
        <v>342</v>
      </c>
      <c r="B105" s="1" t="s">
        <v>9</v>
      </c>
      <c r="C105" s="1" t="s">
        <v>344</v>
      </c>
      <c r="D105" s="1"/>
      <c r="E105" s="1" t="s">
        <v>338</v>
      </c>
      <c r="F105" s="1" t="s">
        <v>74</v>
      </c>
      <c r="G105" s="1" t="s">
        <v>13</v>
      </c>
      <c r="H105" s="1" t="s">
        <v>13</v>
      </c>
      <c r="I105" s="3">
        <v>0.03</v>
      </c>
      <c r="J105" s="3">
        <v>0.04</v>
      </c>
      <c r="K105" s="1">
        <v>25.8065</v>
      </c>
      <c r="L105" s="1" t="s">
        <v>339</v>
      </c>
    </row>
    <row r="106" spans="1:12" x14ac:dyDescent="0.25">
      <c r="A106" s="1" t="s">
        <v>347</v>
      </c>
      <c r="B106" s="1" t="s">
        <v>9</v>
      </c>
      <c r="C106" s="1" t="s">
        <v>348</v>
      </c>
      <c r="D106" s="1"/>
      <c r="E106" s="1" t="s">
        <v>191</v>
      </c>
      <c r="F106" s="1" t="s">
        <v>74</v>
      </c>
      <c r="G106" s="1">
        <v>34.6</v>
      </c>
      <c r="H106" s="1" t="s">
        <v>13</v>
      </c>
      <c r="I106" s="1">
        <v>34.6</v>
      </c>
      <c r="J106" s="1" t="s">
        <v>13</v>
      </c>
      <c r="K106" s="1">
        <v>25</v>
      </c>
      <c r="L106" s="1" t="s">
        <v>192</v>
      </c>
    </row>
    <row r="107" spans="1:12" x14ac:dyDescent="0.25">
      <c r="A107" s="1" t="s">
        <v>351</v>
      </c>
      <c r="B107" s="1" t="s">
        <v>9</v>
      </c>
      <c r="C107" s="1" t="s">
        <v>352</v>
      </c>
      <c r="D107" s="1"/>
      <c r="E107" s="1" t="s">
        <v>218</v>
      </c>
      <c r="F107" s="1" t="s">
        <v>219</v>
      </c>
      <c r="G107" s="1" t="s">
        <v>13</v>
      </c>
      <c r="H107" s="1" t="s">
        <v>13</v>
      </c>
      <c r="I107" s="1">
        <v>49.1</v>
      </c>
      <c r="J107" s="1" t="s">
        <v>13</v>
      </c>
      <c r="K107" s="1">
        <v>24.1935</v>
      </c>
      <c r="L107" s="1" t="s">
        <v>220</v>
      </c>
    </row>
    <row r="108" spans="1:12" x14ac:dyDescent="0.25">
      <c r="A108" s="1" t="s">
        <v>351</v>
      </c>
      <c r="B108" s="1" t="s">
        <v>9</v>
      </c>
      <c r="C108" s="1" t="s">
        <v>355</v>
      </c>
      <c r="D108" s="1"/>
      <c r="E108" s="1" t="s">
        <v>222</v>
      </c>
      <c r="F108" s="1" t="s">
        <v>44</v>
      </c>
      <c r="G108" s="1" t="s">
        <v>13</v>
      </c>
      <c r="H108" s="1" t="s">
        <v>13</v>
      </c>
      <c r="I108" s="1">
        <v>4998</v>
      </c>
      <c r="J108" s="1" t="s">
        <v>13</v>
      </c>
      <c r="K108" s="1">
        <v>21.7742</v>
      </c>
      <c r="L108" s="1" t="s">
        <v>223</v>
      </c>
    </row>
    <row r="109" spans="1:12" x14ac:dyDescent="0.25">
      <c r="A109" s="1" t="s">
        <v>351</v>
      </c>
      <c r="B109" s="1" t="s">
        <v>9</v>
      </c>
      <c r="C109" s="1" t="s">
        <v>358</v>
      </c>
      <c r="D109" s="1"/>
      <c r="E109" s="1" t="s">
        <v>197</v>
      </c>
      <c r="F109" s="1" t="s">
        <v>74</v>
      </c>
      <c r="G109" s="1">
        <v>250</v>
      </c>
      <c r="H109" s="1" t="s">
        <v>13</v>
      </c>
      <c r="I109" s="1">
        <v>96</v>
      </c>
      <c r="J109" s="1" t="s">
        <v>13</v>
      </c>
      <c r="K109" s="1">
        <v>20.967700000000001</v>
      </c>
      <c r="L109" s="1" t="s">
        <v>198</v>
      </c>
    </row>
    <row r="110" spans="1:12" x14ac:dyDescent="0.25">
      <c r="A110" s="1" t="s">
        <v>351</v>
      </c>
      <c r="B110" s="1" t="s">
        <v>9</v>
      </c>
      <c r="C110" s="1" t="s">
        <v>361</v>
      </c>
      <c r="D110" s="1"/>
      <c r="E110" s="1" t="s">
        <v>194</v>
      </c>
      <c r="F110" s="1" t="s">
        <v>74</v>
      </c>
      <c r="G110" s="1" t="s">
        <v>13</v>
      </c>
      <c r="H110" s="1" t="s">
        <v>13</v>
      </c>
      <c r="I110" s="3">
        <v>0.11</v>
      </c>
      <c r="J110" s="1" t="s">
        <v>13</v>
      </c>
      <c r="K110" s="1">
        <v>20.161300000000001</v>
      </c>
      <c r="L110" s="1" t="s">
        <v>195</v>
      </c>
    </row>
    <row r="111" spans="1:12" x14ac:dyDescent="0.25">
      <c r="A111" s="1" t="s">
        <v>351</v>
      </c>
      <c r="B111" s="1" t="s">
        <v>9</v>
      </c>
      <c r="C111" s="1" t="s">
        <v>364</v>
      </c>
      <c r="D111" s="1"/>
      <c r="E111" s="1" t="s">
        <v>415</v>
      </c>
      <c r="F111" s="1" t="s">
        <v>219</v>
      </c>
      <c r="G111" s="1" t="s">
        <v>13</v>
      </c>
      <c r="H111" s="1" t="s">
        <v>13</v>
      </c>
      <c r="I111" s="1">
        <v>-4</v>
      </c>
      <c r="J111" s="1" t="s">
        <v>13</v>
      </c>
      <c r="K111" s="1">
        <v>18.548400000000001</v>
      </c>
      <c r="L111" s="1" t="s">
        <v>416</v>
      </c>
    </row>
    <row r="112" spans="1:12" x14ac:dyDescent="0.25">
      <c r="A112" s="1" t="s">
        <v>351</v>
      </c>
      <c r="B112" s="1" t="s">
        <v>9</v>
      </c>
      <c r="C112" s="1" t="s">
        <v>367</v>
      </c>
      <c r="D112" s="1"/>
      <c r="E112" s="1" t="s">
        <v>160</v>
      </c>
      <c r="F112" s="1" t="s">
        <v>74</v>
      </c>
      <c r="G112" s="1" t="s">
        <v>13</v>
      </c>
      <c r="H112" s="1" t="s">
        <v>13</v>
      </c>
      <c r="I112" s="1">
        <v>63.1</v>
      </c>
      <c r="J112" s="1" t="s">
        <v>13</v>
      </c>
      <c r="K112" s="1">
        <v>15.3226</v>
      </c>
      <c r="L112" s="1" t="s">
        <v>161</v>
      </c>
    </row>
    <row r="113" spans="1:12" x14ac:dyDescent="0.25">
      <c r="A113" s="1" t="s">
        <v>351</v>
      </c>
      <c r="B113" s="1" t="s">
        <v>9</v>
      </c>
      <c r="C113" s="1" t="s">
        <v>370</v>
      </c>
      <c r="D113" s="1"/>
      <c r="E113" s="1" t="s">
        <v>267</v>
      </c>
      <c r="F113" s="1" t="s">
        <v>74</v>
      </c>
      <c r="G113" s="1" t="s">
        <v>13</v>
      </c>
      <c r="H113" s="1" t="s">
        <v>13</v>
      </c>
      <c r="I113" s="3">
        <v>0</v>
      </c>
      <c r="J113" s="1" t="s">
        <v>13</v>
      </c>
      <c r="K113" s="1">
        <v>14.5161</v>
      </c>
      <c r="L113" s="1" t="s">
        <v>268</v>
      </c>
    </row>
    <row r="114" spans="1:12" x14ac:dyDescent="0.25">
      <c r="A114" s="1" t="s">
        <v>373</v>
      </c>
      <c r="B114" s="1" t="s">
        <v>9</v>
      </c>
      <c r="C114" s="1" t="s">
        <v>374</v>
      </c>
      <c r="D114" s="1"/>
      <c r="E114" s="1" t="s">
        <v>53</v>
      </c>
      <c r="F114" s="1" t="s">
        <v>44</v>
      </c>
      <c r="G114" s="2">
        <v>2E-3</v>
      </c>
      <c r="H114" s="1" t="s">
        <v>13</v>
      </c>
      <c r="I114" s="2">
        <v>-5.0000000000000001E-3</v>
      </c>
      <c r="J114" s="1" t="s">
        <v>13</v>
      </c>
      <c r="K114" s="1">
        <v>13.7097</v>
      </c>
      <c r="L114" s="1" t="s">
        <v>54</v>
      </c>
    </row>
    <row r="115" spans="1:12" x14ac:dyDescent="0.25">
      <c r="A115" s="1" t="s">
        <v>373</v>
      </c>
      <c r="B115" s="1" t="s">
        <v>9</v>
      </c>
      <c r="C115" s="1" t="s">
        <v>376</v>
      </c>
      <c r="D115" s="1"/>
      <c r="E115" s="1" t="s">
        <v>311</v>
      </c>
      <c r="F115" s="1" t="s">
        <v>74</v>
      </c>
      <c r="G115" s="1" t="s">
        <v>13</v>
      </c>
      <c r="H115" s="1" t="s">
        <v>13</v>
      </c>
      <c r="I115" s="2">
        <v>-2E-3</v>
      </c>
      <c r="J115" s="1" t="s">
        <v>13</v>
      </c>
      <c r="K115" s="1">
        <v>12.9032</v>
      </c>
      <c r="L115" s="1" t="s">
        <v>312</v>
      </c>
    </row>
    <row r="116" spans="1:12" x14ac:dyDescent="0.25">
      <c r="A116" s="1" t="s">
        <v>373</v>
      </c>
      <c r="B116" s="1" t="s">
        <v>9</v>
      </c>
      <c r="C116" s="1" t="s">
        <v>377</v>
      </c>
      <c r="D116" s="1"/>
      <c r="E116" s="1" t="s">
        <v>200</v>
      </c>
      <c r="F116" s="1" t="s">
        <v>74</v>
      </c>
      <c r="G116" s="2">
        <v>0.628</v>
      </c>
      <c r="H116" s="1" t="s">
        <v>13</v>
      </c>
      <c r="I116" s="2">
        <v>0.628</v>
      </c>
      <c r="J116" s="1" t="s">
        <v>13</v>
      </c>
      <c r="K116" s="1">
        <v>9.6774199999999997</v>
      </c>
      <c r="L116" s="1" t="s">
        <v>201</v>
      </c>
    </row>
    <row r="117" spans="1:12" x14ac:dyDescent="0.25">
      <c r="A117" s="1" t="s">
        <v>373</v>
      </c>
      <c r="B117" s="1" t="s">
        <v>9</v>
      </c>
      <c r="C117" s="1" t="s">
        <v>380</v>
      </c>
      <c r="D117" s="1"/>
      <c r="E117" s="1" t="s">
        <v>173</v>
      </c>
      <c r="F117" s="1" t="s">
        <v>74</v>
      </c>
      <c r="G117" s="1" t="s">
        <v>13</v>
      </c>
      <c r="H117" s="1" t="s">
        <v>13</v>
      </c>
      <c r="I117" s="1" t="s">
        <v>13</v>
      </c>
      <c r="J117" s="1" t="s">
        <v>13</v>
      </c>
      <c r="K117" s="1">
        <v>8.8709699999999998</v>
      </c>
      <c r="L117" s="1" t="s">
        <v>174</v>
      </c>
    </row>
    <row r="118" spans="1:12" x14ac:dyDescent="0.25">
      <c r="A118" s="1" t="s">
        <v>373</v>
      </c>
      <c r="B118" s="1" t="s">
        <v>9</v>
      </c>
      <c r="C118" s="1" t="s">
        <v>381</v>
      </c>
      <c r="D118" s="1"/>
      <c r="E118" s="1" t="s">
        <v>243</v>
      </c>
      <c r="F118" s="1" t="s">
        <v>44</v>
      </c>
      <c r="G118" s="1" t="s">
        <v>13</v>
      </c>
      <c r="H118" s="1" t="s">
        <v>13</v>
      </c>
      <c r="I118" s="2">
        <v>-3.1E-2</v>
      </c>
      <c r="J118" s="1" t="s">
        <v>13</v>
      </c>
      <c r="K118" s="1">
        <v>8.0645199999999999</v>
      </c>
      <c r="L118" s="1" t="s">
        <v>244</v>
      </c>
    </row>
    <row r="119" spans="1:12" x14ac:dyDescent="0.25">
      <c r="A119" s="1" t="s">
        <v>373</v>
      </c>
      <c r="B119" s="1" t="s">
        <v>9</v>
      </c>
      <c r="C119" s="1" t="s">
        <v>382</v>
      </c>
      <c r="D119" s="1"/>
      <c r="E119" s="1" t="s">
        <v>211</v>
      </c>
      <c r="F119" s="1" t="s">
        <v>74</v>
      </c>
      <c r="G119" s="1" t="s">
        <v>13</v>
      </c>
      <c r="H119" s="1" t="s">
        <v>13</v>
      </c>
      <c r="I119" s="1">
        <v>4</v>
      </c>
      <c r="J119" s="1" t="s">
        <v>13</v>
      </c>
      <c r="K119" s="1">
        <v>6.4516099999999996</v>
      </c>
      <c r="L119" s="1" t="s">
        <v>212</v>
      </c>
    </row>
    <row r="120" spans="1:12" ht="14.45" x14ac:dyDescent="0.3">
      <c r="A120" s="1" t="s">
        <v>383</v>
      </c>
      <c r="B120" s="1" t="s">
        <v>9</v>
      </c>
      <c r="C120" s="1" t="s">
        <v>384</v>
      </c>
      <c r="D120" s="1"/>
      <c r="E120" s="1" t="s">
        <v>276</v>
      </c>
      <c r="F120" s="1" t="s">
        <v>74</v>
      </c>
      <c r="G120" s="1" t="s">
        <v>13</v>
      </c>
      <c r="H120" s="1" t="s">
        <v>13</v>
      </c>
      <c r="I120" s="3">
        <v>0</v>
      </c>
      <c r="J120" s="1" t="s">
        <v>13</v>
      </c>
      <c r="K120" s="1">
        <v>5.6451599999999997</v>
      </c>
      <c r="L120" s="1" t="s">
        <v>277</v>
      </c>
    </row>
    <row r="121" spans="1:12" ht="14.45" x14ac:dyDescent="0.3">
      <c r="A121" s="1" t="s">
        <v>387</v>
      </c>
      <c r="B121" s="1" t="s">
        <v>9</v>
      </c>
      <c r="C121" s="1" t="s">
        <v>388</v>
      </c>
      <c r="D121" s="1"/>
      <c r="E121" s="1" t="s">
        <v>39</v>
      </c>
      <c r="F121" s="1" t="s">
        <v>27</v>
      </c>
      <c r="G121" s="1" t="s">
        <v>13</v>
      </c>
      <c r="H121" s="2">
        <v>2.8000000000000001E-2</v>
      </c>
      <c r="I121" s="2">
        <v>2.8000000000000001E-2</v>
      </c>
      <c r="J121" s="1" t="s">
        <v>13</v>
      </c>
      <c r="K121" s="1">
        <v>4.8387099999999998</v>
      </c>
      <c r="L121" s="1" t="s">
        <v>40</v>
      </c>
    </row>
    <row r="122" spans="1:12" ht="14.45" x14ac:dyDescent="0.3">
      <c r="A122" s="1" t="s">
        <v>389</v>
      </c>
      <c r="B122" s="1" t="s">
        <v>9</v>
      </c>
      <c r="C122" s="1" t="s">
        <v>390</v>
      </c>
      <c r="D122" s="1"/>
      <c r="E122" s="1" t="s">
        <v>39</v>
      </c>
      <c r="F122" s="1" t="s">
        <v>375</v>
      </c>
      <c r="G122" s="1" t="s">
        <v>13</v>
      </c>
      <c r="H122" s="1" t="s">
        <v>13</v>
      </c>
      <c r="I122" s="2">
        <v>2.8000000000000001E-2</v>
      </c>
      <c r="J122" s="1" t="s">
        <v>13</v>
      </c>
      <c r="K122" s="1">
        <v>4.8387099999999998</v>
      </c>
      <c r="L122" s="1" t="s">
        <v>40</v>
      </c>
    </row>
    <row r="123" spans="1:12" ht="14.45" x14ac:dyDescent="0.3">
      <c r="A123" s="1" t="s">
        <v>393</v>
      </c>
      <c r="B123" s="1" t="s">
        <v>9</v>
      </c>
      <c r="C123" s="1" t="s">
        <v>394</v>
      </c>
      <c r="D123" s="1"/>
      <c r="E123" s="1" t="s">
        <v>285</v>
      </c>
      <c r="F123" s="1" t="s">
        <v>74</v>
      </c>
      <c r="G123" s="1" t="s">
        <v>13</v>
      </c>
      <c r="H123" s="1" t="s">
        <v>13</v>
      </c>
      <c r="I123" s="2">
        <v>7.0000000000000001E-3</v>
      </c>
      <c r="J123" s="1" t="s">
        <v>13</v>
      </c>
      <c r="K123" s="1">
        <v>4.03226</v>
      </c>
      <c r="L123" s="1" t="s">
        <v>286</v>
      </c>
    </row>
    <row r="124" spans="1:12" ht="14.45" x14ac:dyDescent="0.3">
      <c r="A124" s="1" t="s">
        <v>393</v>
      </c>
      <c r="B124" s="1" t="s">
        <v>9</v>
      </c>
      <c r="C124" s="1" t="s">
        <v>397</v>
      </c>
      <c r="D124" s="1"/>
      <c r="E124" s="1" t="s">
        <v>36</v>
      </c>
      <c r="F124" s="1" t="s">
        <v>27</v>
      </c>
      <c r="G124" s="1" t="s">
        <v>13</v>
      </c>
      <c r="H124" s="3">
        <v>0.03</v>
      </c>
      <c r="I124" s="3">
        <v>0.03</v>
      </c>
      <c r="J124" s="1" t="s">
        <v>13</v>
      </c>
      <c r="K124" s="1">
        <v>3.2258100000000001</v>
      </c>
      <c r="L124" s="1" t="s">
        <v>37</v>
      </c>
    </row>
    <row r="125" spans="1:12" ht="14.45" x14ac:dyDescent="0.3">
      <c r="A125" s="1" t="s">
        <v>400</v>
      </c>
      <c r="B125" s="1" t="s">
        <v>9</v>
      </c>
      <c r="C125" s="1" t="s">
        <v>401</v>
      </c>
      <c r="D125" s="1"/>
      <c r="E125" s="1" t="s">
        <v>36</v>
      </c>
      <c r="F125" s="1" t="s">
        <v>375</v>
      </c>
      <c r="G125" s="1" t="s">
        <v>13</v>
      </c>
      <c r="H125" s="1" t="s">
        <v>13</v>
      </c>
      <c r="I125" s="3">
        <v>0.03</v>
      </c>
      <c r="J125" s="1" t="s">
        <v>13</v>
      </c>
      <c r="K125" s="1">
        <v>3.2258100000000001</v>
      </c>
      <c r="L125" s="1" t="s">
        <v>37</v>
      </c>
    </row>
    <row r="126" spans="1:12" x14ac:dyDescent="0.25">
      <c r="A126" s="1" t="s">
        <v>400</v>
      </c>
      <c r="B126" s="1" t="s">
        <v>9</v>
      </c>
      <c r="C126" s="1" t="s">
        <v>402</v>
      </c>
      <c r="D126" s="1"/>
      <c r="E126" s="1" t="s">
        <v>33</v>
      </c>
      <c r="F126" s="1" t="s">
        <v>27</v>
      </c>
      <c r="G126" s="1" t="s">
        <v>13</v>
      </c>
      <c r="H126" s="1">
        <v>85.3</v>
      </c>
      <c r="I126" s="1">
        <v>83.7</v>
      </c>
      <c r="J126" s="1" t="s">
        <v>13</v>
      </c>
      <c r="K126" s="1">
        <v>2.4193500000000001</v>
      </c>
      <c r="L126" s="1" t="s">
        <v>34</v>
      </c>
    </row>
    <row r="127" spans="1:12" x14ac:dyDescent="0.25">
      <c r="A127" s="1" t="s">
        <v>403</v>
      </c>
      <c r="B127" s="1" t="s">
        <v>9</v>
      </c>
      <c r="C127" s="1" t="s">
        <v>404</v>
      </c>
      <c r="D127" s="1"/>
      <c r="E127" s="1" t="s">
        <v>33</v>
      </c>
      <c r="F127" s="1" t="s">
        <v>375</v>
      </c>
      <c r="G127" s="1" t="s">
        <v>13</v>
      </c>
      <c r="H127" s="1" t="s">
        <v>13</v>
      </c>
      <c r="I127" s="1">
        <v>85.3</v>
      </c>
      <c r="J127" s="1" t="s">
        <v>13</v>
      </c>
      <c r="K127" s="1">
        <v>2.4193500000000001</v>
      </c>
      <c r="L127" s="1" t="s">
        <v>34</v>
      </c>
    </row>
    <row r="128" spans="1:12" x14ac:dyDescent="0.25">
      <c r="A128" s="1" t="s">
        <v>403</v>
      </c>
      <c r="B128" s="1" t="s">
        <v>9</v>
      </c>
      <c r="C128" s="1" t="s">
        <v>405</v>
      </c>
      <c r="D128" s="1"/>
      <c r="E128" s="1" t="s">
        <v>30</v>
      </c>
      <c r="F128" s="1" t="s">
        <v>27</v>
      </c>
      <c r="G128" s="1" t="s">
        <v>13</v>
      </c>
      <c r="H128" s="1">
        <v>105</v>
      </c>
      <c r="I128" s="1">
        <v>103</v>
      </c>
      <c r="J128" s="1" t="s">
        <v>13</v>
      </c>
      <c r="K128" s="1">
        <v>1.6129</v>
      </c>
      <c r="L128" s="1" t="s">
        <v>31</v>
      </c>
    </row>
    <row r="129" spans="1:12" x14ac:dyDescent="0.25">
      <c r="A129" s="1" t="s">
        <v>406</v>
      </c>
      <c r="B129" s="1" t="s">
        <v>9</v>
      </c>
      <c r="C129" s="1" t="s">
        <v>407</v>
      </c>
      <c r="D129" s="1"/>
      <c r="E129" s="1" t="s">
        <v>30</v>
      </c>
      <c r="F129" s="1" t="s">
        <v>375</v>
      </c>
      <c r="G129" s="1" t="s">
        <v>13</v>
      </c>
      <c r="H129" s="1" t="s">
        <v>13</v>
      </c>
      <c r="I129" s="1">
        <v>105</v>
      </c>
      <c r="J129" s="1" t="s">
        <v>13</v>
      </c>
      <c r="K129" s="1">
        <v>1.6129</v>
      </c>
      <c r="L129" s="1" t="s">
        <v>31</v>
      </c>
    </row>
    <row r="130" spans="1:12" x14ac:dyDescent="0.25">
      <c r="A130" s="1" t="s">
        <v>406</v>
      </c>
      <c r="B130" s="1" t="s">
        <v>9</v>
      </c>
      <c r="C130" s="1" t="s">
        <v>410</v>
      </c>
      <c r="D130" s="1"/>
      <c r="E130" s="1" t="s">
        <v>91</v>
      </c>
      <c r="F130" s="1" t="s">
        <v>82</v>
      </c>
      <c r="G130" s="2">
        <v>8.0000000000000002E-3</v>
      </c>
      <c r="H130" s="1" t="s">
        <v>13</v>
      </c>
      <c r="I130" s="2">
        <v>7.3000000000000001E-3</v>
      </c>
      <c r="J130" s="1" t="s">
        <v>13</v>
      </c>
      <c r="K130" s="1">
        <v>0.80645199999999995</v>
      </c>
      <c r="L130" s="1" t="s">
        <v>92</v>
      </c>
    </row>
    <row r="131" spans="1:12" x14ac:dyDescent="0.25">
      <c r="A131" s="1" t="s">
        <v>413</v>
      </c>
      <c r="B131" s="1" t="s">
        <v>9</v>
      </c>
      <c r="C131" s="1" t="s">
        <v>414</v>
      </c>
      <c r="D131" s="1"/>
      <c r="E131" s="1" t="s">
        <v>50</v>
      </c>
      <c r="F131" s="1" t="s">
        <v>44</v>
      </c>
      <c r="G131" s="2">
        <v>1E-3</v>
      </c>
      <c r="H131" s="1" t="s">
        <v>13</v>
      </c>
      <c r="I131" s="2">
        <v>3.0000000000000001E-3</v>
      </c>
      <c r="J131" s="1" t="s">
        <v>13</v>
      </c>
      <c r="K131" s="1">
        <v>0</v>
      </c>
      <c r="L131" s="1" t="s">
        <v>51</v>
      </c>
    </row>
    <row r="132" spans="1:12" ht="30" x14ac:dyDescent="0.25">
      <c r="A132" s="1" t="s">
        <v>417</v>
      </c>
      <c r="B132" s="1" t="s">
        <v>9</v>
      </c>
      <c r="C132" s="1" t="s">
        <v>418</v>
      </c>
      <c r="D132" s="1"/>
      <c r="E132" s="1" t="s">
        <v>109</v>
      </c>
      <c r="F132" s="1"/>
      <c r="G132" s="1"/>
      <c r="H132" s="1"/>
      <c r="I132" s="1"/>
      <c r="J132" s="1"/>
      <c r="K132" s="1">
        <v>0</v>
      </c>
      <c r="L132" s="1"/>
    </row>
    <row r="133" spans="1:12" x14ac:dyDescent="0.25">
      <c r="A133" s="1" t="s">
        <v>417</v>
      </c>
      <c r="B133" s="1" t="s">
        <v>9</v>
      </c>
      <c r="C133" s="1" t="s">
        <v>421</v>
      </c>
      <c r="D133" s="1"/>
      <c r="E133" s="1" t="s">
        <v>145</v>
      </c>
      <c r="F133" s="1"/>
      <c r="G133" s="1"/>
      <c r="H133" s="1"/>
      <c r="I133" s="1"/>
      <c r="J133" s="1"/>
      <c r="K133" s="1">
        <v>0</v>
      </c>
      <c r="L133" s="1"/>
    </row>
    <row r="134" spans="1:12" ht="30" x14ac:dyDescent="0.25">
      <c r="A134" s="1" t="s">
        <v>417</v>
      </c>
      <c r="B134" s="1" t="s">
        <v>9</v>
      </c>
      <c r="C134" s="1" t="s">
        <v>424</v>
      </c>
      <c r="D134" s="1"/>
      <c r="E134" s="1" t="s">
        <v>167</v>
      </c>
      <c r="F134" s="1"/>
      <c r="G134" s="1"/>
      <c r="H134" s="1"/>
      <c r="I134" s="1"/>
      <c r="J134" s="1"/>
      <c r="K134" s="1">
        <v>0</v>
      </c>
      <c r="L134" s="1"/>
    </row>
    <row r="135" spans="1:12" ht="30" x14ac:dyDescent="0.25">
      <c r="A135" s="1" t="s">
        <v>417</v>
      </c>
      <c r="B135" s="1" t="s">
        <v>9</v>
      </c>
      <c r="C135" s="1" t="s">
        <v>427</v>
      </c>
      <c r="D135" s="1"/>
      <c r="E135" s="1" t="s">
        <v>232</v>
      </c>
      <c r="F135" s="1"/>
      <c r="G135" s="1"/>
      <c r="H135" s="1"/>
      <c r="I135" s="1"/>
      <c r="J135" s="1"/>
      <c r="K135" s="1">
        <v>0</v>
      </c>
      <c r="L135" s="1"/>
    </row>
    <row r="136" spans="1:12" x14ac:dyDescent="0.25">
      <c r="A136" s="1" t="s">
        <v>430</v>
      </c>
      <c r="B136" s="1" t="s">
        <v>9</v>
      </c>
      <c r="C136" s="1" t="s">
        <v>431</v>
      </c>
      <c r="D136" s="1"/>
      <c r="E136" s="1" t="s">
        <v>296</v>
      </c>
      <c r="F136" s="1"/>
      <c r="G136" s="1"/>
      <c r="H136" s="1"/>
      <c r="I136" s="1"/>
      <c r="J136" s="1"/>
      <c r="K136" s="1">
        <v>0</v>
      </c>
      <c r="L136" s="1"/>
    </row>
    <row r="137" spans="1:12" ht="30" x14ac:dyDescent="0.25">
      <c r="A137" s="1" t="s">
        <v>430</v>
      </c>
      <c r="B137" s="1" t="s">
        <v>9</v>
      </c>
      <c r="C137" s="1" t="s">
        <v>432</v>
      </c>
      <c r="D137" s="1"/>
      <c r="E137" s="1" t="s">
        <v>319</v>
      </c>
      <c r="F137" s="1"/>
      <c r="G137" s="1"/>
      <c r="H137" s="1"/>
      <c r="I137" s="1"/>
      <c r="J137" s="1"/>
      <c r="K137" s="1">
        <v>0</v>
      </c>
      <c r="L137" s="1"/>
    </row>
    <row r="138" spans="1:12" x14ac:dyDescent="0.25">
      <c r="A138" s="1" t="s">
        <v>433</v>
      </c>
      <c r="B138" s="1" t="s">
        <v>9</v>
      </c>
      <c r="C138" s="1" t="s">
        <v>434</v>
      </c>
      <c r="D138" s="1"/>
      <c r="E138" s="1" t="s">
        <v>353</v>
      </c>
      <c r="F138" s="1" t="s">
        <v>74</v>
      </c>
      <c r="G138" s="1" t="s">
        <v>13</v>
      </c>
      <c r="H138" s="1" t="s">
        <v>13</v>
      </c>
      <c r="I138" s="2">
        <v>2.5999999999999999E-2</v>
      </c>
      <c r="J138" s="1" t="s">
        <v>13</v>
      </c>
      <c r="K138" s="1">
        <v>0</v>
      </c>
      <c r="L138" s="1" t="s">
        <v>354</v>
      </c>
    </row>
    <row r="140" spans="1:12" ht="30" x14ac:dyDescent="0.25">
      <c r="A140" s="1" t="s">
        <v>435</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L24"/>
  <sheetViews>
    <sheetView showGridLines="0" tabSelected="1" zoomScale="90" zoomScaleNormal="90" workbookViewId="0">
      <selection activeCell="E22" sqref="E22"/>
    </sheetView>
  </sheetViews>
  <sheetFormatPr defaultColWidth="0" defaultRowHeight="15" x14ac:dyDescent="0.25"/>
  <cols>
    <col min="1" max="1" width="3.28515625" customWidth="1"/>
    <col min="2" max="2" width="13.7109375" customWidth="1"/>
    <col min="3" max="3" width="14" customWidth="1"/>
    <col min="4" max="4" width="10.28515625" customWidth="1"/>
    <col min="5" max="5" width="71.85546875" customWidth="1"/>
    <col min="6" max="6" width="3.28515625" customWidth="1"/>
    <col min="7" max="11" width="9.140625" hidden="1"/>
    <col min="12" max="12" width="3.140625" hidden="1"/>
    <col min="13" max="16384" width="9.140625" hidden="1"/>
  </cols>
  <sheetData>
    <row r="1" spans="2:11" s="48" customFormat="1" ht="30" customHeight="1" x14ac:dyDescent="0.35">
      <c r="B1" s="63" t="s">
        <v>775</v>
      </c>
      <c r="K1" s="49"/>
    </row>
    <row r="4" spans="2:11" x14ac:dyDescent="0.25">
      <c r="B4" s="6" t="s">
        <v>442</v>
      </c>
      <c r="C4" s="82" t="s">
        <v>644</v>
      </c>
      <c r="D4" s="83"/>
      <c r="E4" s="84"/>
    </row>
    <row r="6" spans="2:11" ht="15" customHeight="1" x14ac:dyDescent="0.25">
      <c r="B6" s="85" t="str">
        <f>"Definition: "&amp;VLOOKUP(C4,'ECO Calendar'!$C$7:$U$122,19,FALSE)</f>
        <v>Definition: Ç                                                                               Survey question asked: Do you think the nation's economy is getting better, getting worse or staying the same?</v>
      </c>
      <c r="C6" s="86"/>
      <c r="D6" s="86"/>
      <c r="E6" s="87"/>
      <c r="F6" s="41"/>
      <c r="G6" s="41"/>
      <c r="H6" s="41"/>
      <c r="I6" s="41"/>
      <c r="J6" s="41"/>
      <c r="K6" s="41"/>
    </row>
    <row r="7" spans="2:11" x14ac:dyDescent="0.25">
      <c r="B7" s="88"/>
      <c r="C7" s="89"/>
      <c r="D7" s="89"/>
      <c r="E7" s="90"/>
      <c r="F7" s="41"/>
      <c r="G7" s="41"/>
      <c r="H7" s="41"/>
      <c r="I7" s="41"/>
      <c r="J7" s="41"/>
      <c r="K7" s="41"/>
    </row>
    <row r="8" spans="2:11" x14ac:dyDescent="0.25">
      <c r="B8" s="88"/>
      <c r="C8" s="89"/>
      <c r="D8" s="89"/>
      <c r="E8" s="90"/>
      <c r="F8" s="41"/>
      <c r="G8" s="41"/>
      <c r="H8" s="41"/>
      <c r="I8" s="41"/>
      <c r="J8" s="41"/>
      <c r="K8" s="41"/>
    </row>
    <row r="9" spans="2:11" x14ac:dyDescent="0.25">
      <c r="B9" s="88"/>
      <c r="C9" s="89"/>
      <c r="D9" s="89"/>
      <c r="E9" s="90"/>
      <c r="F9" s="41"/>
      <c r="G9" s="41"/>
      <c r="H9" s="41"/>
      <c r="I9" s="41"/>
      <c r="J9" s="41"/>
      <c r="K9" s="41"/>
    </row>
    <row r="10" spans="2:11" x14ac:dyDescent="0.25">
      <c r="B10" s="88"/>
      <c r="C10" s="89"/>
      <c r="D10" s="89"/>
      <c r="E10" s="90"/>
      <c r="F10" s="41"/>
      <c r="G10" s="41"/>
      <c r="H10" s="41"/>
      <c r="I10" s="41"/>
      <c r="J10" s="41"/>
      <c r="K10" s="41"/>
    </row>
    <row r="11" spans="2:11" x14ac:dyDescent="0.25">
      <c r="B11" s="88"/>
      <c r="C11" s="89"/>
      <c r="D11" s="89"/>
      <c r="E11" s="90"/>
      <c r="F11" s="41"/>
      <c r="G11" s="41"/>
      <c r="H11" s="41"/>
      <c r="I11" s="41"/>
      <c r="J11" s="41"/>
      <c r="K11" s="41"/>
    </row>
    <row r="12" spans="2:11" x14ac:dyDescent="0.25">
      <c r="B12" s="88"/>
      <c r="C12" s="89"/>
      <c r="D12" s="89"/>
      <c r="E12" s="90"/>
      <c r="F12" s="41"/>
      <c r="G12" s="41"/>
      <c r="H12" s="41"/>
      <c r="I12" s="41"/>
      <c r="J12" s="41"/>
      <c r="K12" s="41"/>
    </row>
    <row r="13" spans="2:11" x14ac:dyDescent="0.25">
      <c r="B13" s="88"/>
      <c r="C13" s="89"/>
      <c r="D13" s="89"/>
      <c r="E13" s="90"/>
      <c r="F13" s="41"/>
      <c r="G13" s="41"/>
      <c r="H13" s="41"/>
      <c r="I13" s="41"/>
      <c r="J13" s="41"/>
      <c r="K13" s="41"/>
    </row>
    <row r="14" spans="2:11" x14ac:dyDescent="0.25">
      <c r="B14" s="88"/>
      <c r="C14" s="89"/>
      <c r="D14" s="89"/>
      <c r="E14" s="90"/>
    </row>
    <row r="15" spans="2:11" x14ac:dyDescent="0.25">
      <c r="B15" s="88"/>
      <c r="C15" s="89"/>
      <c r="D15" s="89"/>
      <c r="E15" s="90"/>
    </row>
    <row r="16" spans="2:11" x14ac:dyDescent="0.25">
      <c r="B16" s="88"/>
      <c r="C16" s="89"/>
      <c r="D16" s="89"/>
      <c r="E16" s="90"/>
    </row>
    <row r="17" spans="2:5" x14ac:dyDescent="0.25">
      <c r="B17" s="92" t="s">
        <v>776</v>
      </c>
      <c r="C17" s="93"/>
      <c r="D17" s="93"/>
      <c r="E17" s="94"/>
    </row>
    <row r="18" spans="2:5" x14ac:dyDescent="0.25">
      <c r="B18" s="91"/>
      <c r="C18" s="91"/>
      <c r="D18" s="91"/>
      <c r="E18" s="91"/>
    </row>
    <row r="20" spans="2:5" x14ac:dyDescent="0.25">
      <c r="B20" s="31" t="s">
        <v>652</v>
      </c>
      <c r="C20" s="42">
        <f>VLOOKUP($C$4,'ECO Calendar'!$C$7:$U$122,15,FALSE)</f>
        <v>42145</v>
      </c>
    </row>
    <row r="21" spans="2:5" x14ac:dyDescent="0.25">
      <c r="B21" s="31" t="s">
        <v>653</v>
      </c>
      <c r="C21" s="43" t="str">
        <f>VLOOKUP($C$4,'ECO Calendar'!$C$7:$U$122,16,FALSE)</f>
        <v>9:45:00 AM</v>
      </c>
    </row>
    <row r="22" spans="2:5" x14ac:dyDescent="0.25">
      <c r="B22" s="95"/>
    </row>
    <row r="23" spans="2:5" x14ac:dyDescent="0.25">
      <c r="B23" s="95" t="s">
        <v>774</v>
      </c>
      <c r="C23" s="96">
        <f>VLOOKUP($C$4,'ECO Calendar'!$C$7:$U$122,5,FALSE)</f>
        <v>50</v>
      </c>
      <c r="D23" s="97" t="str">
        <f>"*"&amp;VLOOKUP($C$4,'ECO Calendar'!$C$7:$U$122,9,FALSE)</f>
        <v>*% Balance/Diffusion Index NSA</v>
      </c>
    </row>
    <row r="24" spans="2:5" x14ac:dyDescent="0.25">
      <c r="B24" s="95" t="s">
        <v>777</v>
      </c>
    </row>
  </sheetData>
  <mergeCells count="3">
    <mergeCell ref="B17:E17"/>
    <mergeCell ref="B6:E16"/>
    <mergeCell ref="C4:E4"/>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Data!$N$4:$N$119</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sheetPr>
  <dimension ref="B1:Q31"/>
  <sheetViews>
    <sheetView showGridLines="0" zoomScale="90" zoomScaleNormal="90" workbookViewId="0">
      <selection activeCell="H3" sqref="H3"/>
    </sheetView>
  </sheetViews>
  <sheetFormatPr defaultColWidth="0" defaultRowHeight="15" x14ac:dyDescent="0.25"/>
  <cols>
    <col min="1" max="1" width="3.28515625" style="50" customWidth="1"/>
    <col min="2" max="2" width="18.85546875" style="50" hidden="1" customWidth="1"/>
    <col min="3" max="3" width="16.140625" style="50" hidden="1" customWidth="1"/>
    <col min="4" max="7" width="9.140625" style="50" hidden="1" customWidth="1"/>
    <col min="8" max="8" width="16.7109375" style="50" customWidth="1"/>
    <col min="9" max="9" width="33.28515625" style="50" bestFit="1" customWidth="1"/>
    <col min="10" max="10" width="8.7109375" style="50" customWidth="1"/>
    <col min="11" max="11" width="9.140625" style="51" customWidth="1"/>
    <col min="12" max="12" width="11.28515625" style="50" bestFit="1" customWidth="1"/>
    <col min="13" max="13" width="17.5703125" style="50" customWidth="1"/>
    <col min="14" max="14" width="14.85546875" style="50" customWidth="1"/>
    <col min="15" max="15" width="15.28515625" style="50" bestFit="1" customWidth="1"/>
    <col min="16" max="16" width="2.85546875" style="50" customWidth="1"/>
    <col min="17" max="16384" width="8.85546875" style="50" hidden="1"/>
  </cols>
  <sheetData>
    <row r="1" spans="2:17" s="48" customFormat="1" ht="30" customHeight="1" x14ac:dyDescent="0.35">
      <c r="H1" s="63" t="s">
        <v>704</v>
      </c>
      <c r="K1" s="49"/>
    </row>
    <row r="4" spans="2:17" x14ac:dyDescent="0.25">
      <c r="H4" s="52" t="s">
        <v>705</v>
      </c>
      <c r="I4" s="53" t="s">
        <v>506</v>
      </c>
    </row>
    <row r="5" spans="2:17" x14ac:dyDescent="0.25">
      <c r="H5" s="52" t="s">
        <v>508</v>
      </c>
      <c r="I5" s="53"/>
      <c r="J5" s="52" t="s">
        <v>517</v>
      </c>
    </row>
    <row r="6" spans="2:17" x14ac:dyDescent="0.25">
      <c r="M6" s="54"/>
    </row>
    <row r="7" spans="2:17" s="55" customFormat="1" ht="30" hidden="1" x14ac:dyDescent="0.25">
      <c r="I7" s="55" t="s">
        <v>450</v>
      </c>
      <c r="J7" s="55" t="s">
        <v>509</v>
      </c>
      <c r="K7" s="55" t="s">
        <v>510</v>
      </c>
      <c r="L7" s="55" t="s">
        <v>492</v>
      </c>
      <c r="M7" s="55" t="s">
        <v>516</v>
      </c>
      <c r="N7" s="55" t="s">
        <v>511</v>
      </c>
      <c r="O7" s="55" t="s">
        <v>512</v>
      </c>
      <c r="Q7" s="56" t="s">
        <v>692</v>
      </c>
    </row>
    <row r="8" spans="2:17" s="56" customFormat="1" ht="45" customHeight="1" x14ac:dyDescent="0.25">
      <c r="B8" s="56" t="str">
        <f>I4</f>
        <v>CCMP Index</v>
      </c>
      <c r="H8" s="56" t="s">
        <v>509</v>
      </c>
      <c r="I8" s="56" t="s">
        <v>450</v>
      </c>
      <c r="J8" s="56" t="s">
        <v>509</v>
      </c>
      <c r="K8" s="56" t="s">
        <v>518</v>
      </c>
      <c r="L8" s="56" t="s">
        <v>519</v>
      </c>
      <c r="M8" s="56" t="s">
        <v>520</v>
      </c>
      <c r="N8" s="56" t="s">
        <v>521</v>
      </c>
      <c r="O8" s="56" t="s">
        <v>522</v>
      </c>
    </row>
    <row r="9" spans="2:17" x14ac:dyDescent="0.25">
      <c r="B9" s="57" t="s">
        <v>505</v>
      </c>
    </row>
    <row r="10" spans="2:17" x14ac:dyDescent="0.25">
      <c r="B10" s="50" t="str">
        <f>_xll.BDS($B$8,$B$9,"cols=6;rows=10")</f>
        <v>SPPR    UQ</v>
      </c>
      <c r="C10" s="50" t="s">
        <v>654</v>
      </c>
      <c r="D10" s="50">
        <v>3.07</v>
      </c>
      <c r="E10" s="50">
        <v>59.9</v>
      </c>
      <c r="F10" s="50">
        <v>-2.4245362661989844E-14</v>
      </c>
      <c r="G10" s="50">
        <v>720104</v>
      </c>
      <c r="H10" s="50" t="str">
        <f>LEFT(B10,FIND(" ",B10)-1)&amp;" US EQUITY"</f>
        <v>SPPR US EQUITY</v>
      </c>
      <c r="I10" s="50" t="str">
        <f>_xll.BDP($H10,I$7)</f>
        <v>SUPERTEL HOSPITALITY INC</v>
      </c>
      <c r="J10" s="50" t="str">
        <f>_xll.BDP($H10,J$7)</f>
        <v>SPPR</v>
      </c>
      <c r="K10" s="51">
        <f>_xll.BDP($H10,K$7)</f>
        <v>3.1</v>
      </c>
      <c r="L10" s="58">
        <f>_xll.BDP($H10,L$7)/100</f>
        <v>0.60732980000000003</v>
      </c>
      <c r="M10" s="67">
        <f>_xll.BDP($H10,M$7)/1000000</f>
        <v>14.41657571</v>
      </c>
      <c r="N10" s="59">
        <f>_xll.BDP($H10,N$7)</f>
        <v>3428601</v>
      </c>
      <c r="O10" s="59">
        <f>_xll.BDP($H10,O$7)</f>
        <v>4712</v>
      </c>
      <c r="P10" s="59"/>
      <c r="Q10" s="59"/>
    </row>
    <row r="11" spans="2:17" x14ac:dyDescent="0.25">
      <c r="B11" s="50" t="s">
        <v>655</v>
      </c>
      <c r="C11" s="50" t="s">
        <v>656</v>
      </c>
      <c r="D11" s="50">
        <v>4.4999999999999998E-2</v>
      </c>
      <c r="E11" s="50">
        <v>45.16</v>
      </c>
      <c r="F11" s="50">
        <v>-2.4245362661989844E-14</v>
      </c>
      <c r="G11" s="50" t="s">
        <v>703</v>
      </c>
      <c r="H11" s="50" t="str">
        <f t="shared" ref="H11:H19" si="0">LEFT(B11,FIND(" ",B11)-1)&amp;" US EQUITY"</f>
        <v>AXPW US EQUITY</v>
      </c>
      <c r="I11" s="50" t="str">
        <f>_xll.BDP($H11,I$7)</f>
        <v>AXION POWER INTERNATIONAL</v>
      </c>
      <c r="J11" s="50" t="str">
        <f>_xll.BDP($H11,J$7)</f>
        <v>AXPW</v>
      </c>
      <c r="K11" s="51">
        <f>_xll.BDP($H11,K$7)</f>
        <v>4.4999999999999998E-2</v>
      </c>
      <c r="L11" s="58">
        <f>_xll.BDP($H11,L$7)/100</f>
        <v>0.45161289999999998</v>
      </c>
      <c r="M11" s="67">
        <f>_xll.BDP($H11,M$7)/1000000</f>
        <v>3.1748597550000004</v>
      </c>
      <c r="N11" s="59">
        <f>_xll.BDP($H11,N$7)</f>
        <v>37328122</v>
      </c>
      <c r="O11" s="59">
        <f>_xll.BDP($H11,O$7)</f>
        <v>26877044</v>
      </c>
    </row>
    <row r="12" spans="2:17" x14ac:dyDescent="0.25">
      <c r="B12" s="50" t="s">
        <v>657</v>
      </c>
      <c r="C12" s="50" t="s">
        <v>658</v>
      </c>
      <c r="D12" s="50">
        <v>0.95</v>
      </c>
      <c r="E12" s="50">
        <v>24.98</v>
      </c>
      <c r="F12" s="50">
        <v>-2.4245362661989844E-14</v>
      </c>
      <c r="G12" s="50">
        <v>682787</v>
      </c>
      <c r="H12" s="50" t="str">
        <f t="shared" si="0"/>
        <v>VPCO US EQUITY</v>
      </c>
      <c r="I12" s="50" t="str">
        <f>_xll.BDP($H12,I$7)</f>
        <v>VAPOR CORP</v>
      </c>
      <c r="J12" s="50" t="str">
        <f>_xll.BDP($H12,J$7)</f>
        <v>VPCO</v>
      </c>
      <c r="K12" s="51">
        <f>_xll.BDP($H12,K$7)</f>
        <v>0.98</v>
      </c>
      <c r="L12" s="58">
        <f>_xll.BDP($H12,L$7)/100</f>
        <v>0.24983550000000002</v>
      </c>
      <c r="M12" s="67">
        <f>_xll.BDP($H12,M$7)/1000000</f>
        <v>31.953970099999999</v>
      </c>
      <c r="N12" s="59">
        <f>_xll.BDP($H12,N$7)</f>
        <v>2268852</v>
      </c>
      <c r="O12" s="59">
        <f>_xll.BDP($H12,O$7)</f>
        <v>104072</v>
      </c>
    </row>
    <row r="13" spans="2:17" x14ac:dyDescent="0.25">
      <c r="B13" s="50" t="s">
        <v>659</v>
      </c>
      <c r="C13" s="50" t="s">
        <v>660</v>
      </c>
      <c r="D13" s="50">
        <v>5.88</v>
      </c>
      <c r="E13" s="50">
        <v>23.27</v>
      </c>
      <c r="F13" s="50">
        <v>-2.4245362661989844E-14</v>
      </c>
      <c r="G13" s="50">
        <v>8259</v>
      </c>
      <c r="H13" s="50" t="str">
        <f t="shared" si="0"/>
        <v>MOKO US EQUITY</v>
      </c>
      <c r="I13" s="50" t="str">
        <f>_xll.BDP($H13,I$7)</f>
        <v>MOKO SOCIAL MEDIA-SPON ADR</v>
      </c>
      <c r="J13" s="50" t="str">
        <f>_xll.BDP($H13,J$7)</f>
        <v>MOKO</v>
      </c>
      <c r="K13" s="51">
        <f>_xll.BDP($H13,K$7)</f>
        <v>5.89</v>
      </c>
      <c r="L13" s="58">
        <f>_xll.BDP($H13,L$7)/100</f>
        <v>0.22161899999999998</v>
      </c>
      <c r="M13" s="67">
        <f>_xll.BDP($H13,M$7)/1000000</f>
        <v>91.059974280000006</v>
      </c>
      <c r="N13" s="59">
        <f>_xll.BDP($H13,N$7)</f>
        <v>35804</v>
      </c>
      <c r="O13" s="59">
        <f>_xll.BDP($H13,O$7)</f>
        <v>1005</v>
      </c>
    </row>
    <row r="14" spans="2:17" x14ac:dyDescent="0.25">
      <c r="B14" s="50" t="s">
        <v>661</v>
      </c>
      <c r="C14" s="50" t="s">
        <v>662</v>
      </c>
      <c r="D14" s="50">
        <v>8.5299999999999994</v>
      </c>
      <c r="E14" s="50">
        <v>20.14</v>
      </c>
      <c r="F14" s="50">
        <v>-2.4245362661989844E-14</v>
      </c>
      <c r="G14" s="50">
        <v>351726</v>
      </c>
      <c r="H14" s="50" t="str">
        <f t="shared" si="0"/>
        <v>TROV US EQUITY</v>
      </c>
      <c r="I14" s="50" t="str">
        <f>_xll.BDP($H14,I$7)</f>
        <v>TROVAGENE INC</v>
      </c>
      <c r="J14" s="50" t="str">
        <f>_xll.BDP($H14,J$7)</f>
        <v>TROV</v>
      </c>
      <c r="K14" s="51">
        <f>_xll.BDP($H14,K$7)</f>
        <v>8.5500000000000007</v>
      </c>
      <c r="L14" s="58">
        <f>_xll.BDP($H14,L$7)/100</f>
        <v>0.20140849999999999</v>
      </c>
      <c r="M14" s="67">
        <f>_xll.BDP($H14,M$7)/1000000</f>
        <v>205.77592869999998</v>
      </c>
      <c r="N14" s="59">
        <f>_xll.BDP($H14,N$7)</f>
        <v>2874873</v>
      </c>
      <c r="O14" s="59">
        <f>_xll.BDP($H14,O$7)</f>
        <v>52695</v>
      </c>
    </row>
    <row r="15" spans="2:17" x14ac:dyDescent="0.25">
      <c r="B15" s="50" t="s">
        <v>663</v>
      </c>
      <c r="C15" s="50" t="s">
        <v>664</v>
      </c>
      <c r="D15" s="50">
        <v>1.05</v>
      </c>
      <c r="E15" s="50">
        <v>17.98</v>
      </c>
      <c r="F15" s="50">
        <v>-2.4245362661989844E-14</v>
      </c>
      <c r="G15" s="50">
        <v>59162</v>
      </c>
      <c r="H15" s="50" t="str">
        <f t="shared" si="0"/>
        <v>KUTV US EQUITY</v>
      </c>
      <c r="I15" s="50" t="str">
        <f>_xll.BDP($H15,I$7)</f>
        <v>KU6 MEDIA CO LTD-SPN ADR</v>
      </c>
      <c r="J15" s="50" t="str">
        <f>_xll.BDP($H15,J$7)</f>
        <v>KUTV</v>
      </c>
      <c r="K15" s="51">
        <f>_xll.BDP($H15,K$7)</f>
        <v>1.07</v>
      </c>
      <c r="L15" s="58">
        <f>_xll.BDP($H15,L$7)/100</f>
        <v>0.16679630000000001</v>
      </c>
      <c r="M15" s="67">
        <f>_xll.BDP($H15,M$7)/1000000</f>
        <v>49.938625905000002</v>
      </c>
      <c r="N15" s="59">
        <f>_xll.BDP($H15,N$7)</f>
        <v>407196</v>
      </c>
      <c r="O15" s="59">
        <f>_xll.BDP($H15,O$7)</f>
        <v>184174</v>
      </c>
    </row>
    <row r="16" spans="2:17" x14ac:dyDescent="0.25">
      <c r="B16" s="50" t="s">
        <v>665</v>
      </c>
      <c r="C16" s="50" t="s">
        <v>666</v>
      </c>
      <c r="D16" s="50">
        <v>0.84899999999999998</v>
      </c>
      <c r="E16" s="50">
        <v>17.920000000000002</v>
      </c>
      <c r="F16" s="50">
        <v>-2.4245362661989844E-14</v>
      </c>
      <c r="G16" s="50">
        <v>15900</v>
      </c>
      <c r="H16" s="50" t="str">
        <f t="shared" si="0"/>
        <v>OSN US EQUITY</v>
      </c>
      <c r="I16" s="50" t="str">
        <f>_xll.BDP($H16,I$7)</f>
        <v>OSSEN INNOVATION CO-SPON ADR</v>
      </c>
      <c r="J16" s="50" t="str">
        <f>_xll.BDP($H16,J$7)</f>
        <v>OSN</v>
      </c>
      <c r="K16" s="51">
        <f>_xll.BDP($H16,K$7)</f>
        <v>0.84</v>
      </c>
      <c r="L16" s="58">
        <f>_xll.BDP($H16,L$7)/100</f>
        <v>7.6923079999999991E-2</v>
      </c>
      <c r="M16" s="67">
        <f>_xll.BDP($H16,M$7)/1000000</f>
        <v>16.717645560000001</v>
      </c>
      <c r="N16" s="59">
        <f>_xll.BDP($H16,N$7)</f>
        <v>46062</v>
      </c>
      <c r="O16" s="59">
        <f>_xll.BDP($H16,O$7)</f>
        <v>16900</v>
      </c>
    </row>
    <row r="17" spans="2:15" x14ac:dyDescent="0.25">
      <c r="B17" s="50" t="s">
        <v>667</v>
      </c>
      <c r="C17" s="50" t="s">
        <v>668</v>
      </c>
      <c r="D17" s="50">
        <v>26.18</v>
      </c>
      <c r="E17" s="50">
        <v>15.28</v>
      </c>
      <c r="F17" s="50">
        <v>-2.4245362661989844E-14</v>
      </c>
      <c r="G17" s="50">
        <v>62281</v>
      </c>
      <c r="H17" s="50" t="str">
        <f t="shared" si="0"/>
        <v>XBIT US EQUITY</v>
      </c>
      <c r="I17" s="50" t="str">
        <f>_xll.BDP($H17,I$7)</f>
        <v>XBIOTECH INC</v>
      </c>
      <c r="J17" s="50" t="str">
        <f>_xll.BDP($H17,J$7)</f>
        <v>XBIT</v>
      </c>
      <c r="K17" s="51">
        <f>_xll.BDP($H17,K$7)</f>
        <v>26.35</v>
      </c>
      <c r="L17" s="58">
        <f>_xll.BDP($H17,L$7)/100</f>
        <v>0.15279609999999999</v>
      </c>
      <c r="M17" s="67">
        <f>_xll.BDP($H17,M$7)/1000000</f>
        <v>830.34139958000003</v>
      </c>
      <c r="N17" s="59">
        <f>_xll.BDP($H17,N$7)</f>
        <v>202416</v>
      </c>
      <c r="O17" s="59">
        <f>_xll.BDP($H17,O$7)</f>
        <v>244824</v>
      </c>
    </row>
    <row r="18" spans="2:15" x14ac:dyDescent="0.25">
      <c r="B18" s="50" t="s">
        <v>669</v>
      </c>
      <c r="C18" s="50" t="s">
        <v>670</v>
      </c>
      <c r="D18" s="50">
        <v>6.09</v>
      </c>
      <c r="E18" s="50">
        <v>12.99</v>
      </c>
      <c r="F18" s="50">
        <v>-2.4245362661989844E-14</v>
      </c>
      <c r="G18" s="50">
        <v>38918</v>
      </c>
      <c r="H18" s="50" t="str">
        <f t="shared" si="0"/>
        <v>CBYL US EQUITY</v>
      </c>
      <c r="I18" s="50" t="str">
        <f>_xll.BDP($H18,I$7)</f>
        <v>CARBYLAN THERAPEUTICS INC</v>
      </c>
      <c r="J18" s="50" t="str">
        <f>_xll.BDP($H18,J$7)</f>
        <v>CBYL</v>
      </c>
      <c r="K18" s="51">
        <f>_xll.BDP($H18,K$7)</f>
        <v>6.11</v>
      </c>
      <c r="L18" s="58">
        <f>_xll.BDP($H18,L$7)/100</f>
        <v>0.12987009999999999</v>
      </c>
      <c r="M18" s="67">
        <f>_xll.BDP($H18,M$7)/1000000</f>
        <v>159.53950466999999</v>
      </c>
      <c r="N18" s="59">
        <f>_xll.BDP($H18,N$7)</f>
        <v>184488</v>
      </c>
      <c r="O18" s="59">
        <f>_xll.BDP($H18,O$7)</f>
        <v>345149</v>
      </c>
    </row>
    <row r="19" spans="2:15" x14ac:dyDescent="0.25">
      <c r="B19" s="50" t="s">
        <v>671</v>
      </c>
      <c r="C19" s="50" t="s">
        <v>672</v>
      </c>
      <c r="D19" s="50">
        <v>0.27</v>
      </c>
      <c r="E19" s="50">
        <v>12.5</v>
      </c>
      <c r="F19" s="50">
        <v>-2.4245362661989844E-14</v>
      </c>
      <c r="G19" s="50">
        <v>27955</v>
      </c>
      <c r="H19" s="50" t="str">
        <f t="shared" si="0"/>
        <v>ADAT US EQUITY</v>
      </c>
      <c r="I19" s="50" t="str">
        <f>_xll.BDP($H19,I$7)</f>
        <v>AUTHENTIDATE HOLDING CORP</v>
      </c>
      <c r="J19" s="50" t="str">
        <f>_xll.BDP($H19,J$7)</f>
        <v>ADAT</v>
      </c>
      <c r="K19" s="51">
        <f>_xll.BDP($H19,K$7)</f>
        <v>0.26</v>
      </c>
      <c r="L19" s="58">
        <f>_xll.BDP($H19,L$7)/100</f>
        <v>-2.2403260000000001E-2</v>
      </c>
      <c r="M19" s="67">
        <f>_xll.BDP($H19,M$7)/1000000</f>
        <v>10.071388319999999</v>
      </c>
      <c r="N19" s="59">
        <f>_xll.BDP($H19,N$7)</f>
        <v>104167</v>
      </c>
      <c r="O19" s="59">
        <f>_xll.BDP($H19,O$7)</f>
        <v>61285</v>
      </c>
    </row>
    <row r="20" spans="2:15" ht="15.75" thickBot="1" x14ac:dyDescent="0.3">
      <c r="B20" s="50" t="str">
        <f>I4</f>
        <v>CCMP Index</v>
      </c>
      <c r="H20" s="60"/>
      <c r="I20" s="60"/>
      <c r="J20" s="60"/>
      <c r="K20" s="61"/>
      <c r="L20" s="60"/>
      <c r="M20" s="60"/>
      <c r="N20" s="60"/>
      <c r="O20" s="60"/>
    </row>
    <row r="21" spans="2:15" ht="15.75" thickTop="1" x14ac:dyDescent="0.25">
      <c r="B21" s="62" t="s">
        <v>504</v>
      </c>
    </row>
    <row r="22" spans="2:15" x14ac:dyDescent="0.25">
      <c r="B22" s="50" t="str">
        <f>_xll.BDS($B$20,$B$21,"Aggregate=n","cols=6;rows=10")</f>
        <v>ATHX    UR</v>
      </c>
      <c r="C22" s="50" t="s">
        <v>673</v>
      </c>
      <c r="D22" s="50">
        <v>1.4</v>
      </c>
      <c r="E22" s="50">
        <v>-35.78</v>
      </c>
      <c r="F22" s="50">
        <v>-2.4245362661989844E-14</v>
      </c>
      <c r="G22" s="50" t="s">
        <v>702</v>
      </c>
      <c r="H22" s="50" t="str">
        <f>LEFT(B22,FIND(" ",B22)-1)&amp;" US EQUITY"</f>
        <v>ATHX US EQUITY</v>
      </c>
      <c r="I22" s="50" t="str">
        <f>_xll.BDP($H22,I$7)</f>
        <v>ATHERSYS INC</v>
      </c>
      <c r="J22" s="50" t="str">
        <f>_xll.BDP($H22,J$7)</f>
        <v>ATHX</v>
      </c>
      <c r="K22" s="51">
        <f>_xll.BDP($H22,K$7)</f>
        <v>1.41</v>
      </c>
      <c r="L22" s="58">
        <f>_xll.BDP($H22,L$7)/100</f>
        <v>-0.35779820000000001</v>
      </c>
      <c r="M22" s="68">
        <f>_xll.BDP($H22,M$7)/1000000</f>
        <v>112.33058619999998</v>
      </c>
      <c r="N22" s="59">
        <f>_xll.BDP($H22,N$7)</f>
        <v>26649246</v>
      </c>
      <c r="O22" s="59">
        <f>_xll.BDP($H22,O$7)</f>
        <v>8274877</v>
      </c>
    </row>
    <row r="23" spans="2:15" x14ac:dyDescent="0.25">
      <c r="B23" s="50" t="s">
        <v>674</v>
      </c>
      <c r="C23" s="50" t="s">
        <v>675</v>
      </c>
      <c r="D23" s="50">
        <v>3.01</v>
      </c>
      <c r="E23" s="50">
        <v>-30.96</v>
      </c>
      <c r="F23" s="50">
        <v>-2.4245362661989844E-14</v>
      </c>
      <c r="G23" s="50">
        <v>107111</v>
      </c>
      <c r="H23" s="50" t="str">
        <f t="shared" ref="H23:H31" si="1">LEFT(B23,FIND(" ",B23)-1)&amp;" US EQUITY"</f>
        <v>IPDN US EQUITY</v>
      </c>
      <c r="I23" s="50" t="str">
        <f>_xll.BDP($H23,I$7)</f>
        <v>PROFESSIONAL DIVERSITY NETWO</v>
      </c>
      <c r="J23" s="50" t="str">
        <f>_xll.BDP($H23,J$7)</f>
        <v>IPDN</v>
      </c>
      <c r="K23" s="51">
        <f>_xll.BDP($H23,K$7)</f>
        <v>3.01</v>
      </c>
      <c r="L23" s="58">
        <f>_xll.BDP($H23,L$7)/100</f>
        <v>-0.27951809999999999</v>
      </c>
      <c r="M23" s="68">
        <f>_xll.BDP($H23,M$7)/1000000</f>
        <v>43.648235280000002</v>
      </c>
      <c r="N23" s="59">
        <f>_xll.BDP($H23,N$7)</f>
        <v>322372</v>
      </c>
      <c r="O23" s="59">
        <f>_xll.BDP($H23,O$7)</f>
        <v>9129</v>
      </c>
    </row>
    <row r="24" spans="2:15" x14ac:dyDescent="0.25">
      <c r="B24" s="50" t="s">
        <v>676</v>
      </c>
      <c r="C24" s="50" t="s">
        <v>677</v>
      </c>
      <c r="D24" s="50">
        <v>1.1200000000000001</v>
      </c>
      <c r="E24" s="50">
        <v>-18.84</v>
      </c>
      <c r="F24" s="50">
        <v>-2.4245362661989844E-14</v>
      </c>
      <c r="G24" s="50">
        <v>618738</v>
      </c>
      <c r="H24" s="50" t="str">
        <f t="shared" si="1"/>
        <v>DSCO US EQUITY</v>
      </c>
      <c r="I24" s="50" t="str">
        <f>_xll.BDP($H24,I$7)</f>
        <v>DISCOVERY LABORATORIES INC</v>
      </c>
      <c r="J24" s="50" t="str">
        <f>_xll.BDP($H24,J$7)</f>
        <v>DSCO</v>
      </c>
      <c r="K24" s="51">
        <f>_xll.BDP($H24,K$7)</f>
        <v>1.1299999999999999</v>
      </c>
      <c r="L24" s="58">
        <f>_xll.BDP($H24,L$7)/100</f>
        <v>-0.18840579999999998</v>
      </c>
      <c r="M24" s="68">
        <f>_xll.BDP($H24,M$7)/1000000</f>
        <v>95.857343679999985</v>
      </c>
      <c r="N24" s="59">
        <f>_xll.BDP($H24,N$7)</f>
        <v>2815922</v>
      </c>
      <c r="O24" s="59">
        <f>_xll.BDP($H24,O$7)</f>
        <v>826258</v>
      </c>
    </row>
    <row r="25" spans="2:15" x14ac:dyDescent="0.25">
      <c r="B25" s="50" t="s">
        <v>678</v>
      </c>
      <c r="C25" s="50" t="s">
        <v>679</v>
      </c>
      <c r="D25" s="50">
        <v>3.97</v>
      </c>
      <c r="E25" s="50">
        <v>-16.239999999999998</v>
      </c>
      <c r="F25" s="50">
        <v>-2.4245362661989844E-14</v>
      </c>
      <c r="G25" s="50">
        <v>182983</v>
      </c>
      <c r="H25" s="50" t="str">
        <f t="shared" si="1"/>
        <v>FNRG US EQUITY</v>
      </c>
      <c r="I25" s="50" t="str">
        <f>_xll.BDP($H25,I$7)</f>
        <v>FORCEFIELD ENERGY INC</v>
      </c>
      <c r="J25" s="50" t="str">
        <f>_xll.BDP($H25,J$7)</f>
        <v>FNRG</v>
      </c>
      <c r="K25" s="51">
        <f>_xll.BDP($H25,K$7)</f>
        <v>4</v>
      </c>
      <c r="L25" s="58">
        <f>_xll.BDP($H25,L$7)/100</f>
        <v>-0.16244730000000002</v>
      </c>
      <c r="M25" s="68">
        <f>_xll.BDP($H25,M$7)/1000000</f>
        <v>75.04115041</v>
      </c>
      <c r="N25" s="59">
        <f>_xll.BDP($H25,N$7)</f>
        <v>1110794</v>
      </c>
      <c r="O25" s="59">
        <f>_xll.BDP($H25,O$7)</f>
        <v>1085623</v>
      </c>
    </row>
    <row r="26" spans="2:15" x14ac:dyDescent="0.25">
      <c r="B26" s="50" t="s">
        <v>680</v>
      </c>
      <c r="C26" s="50" t="s">
        <v>681</v>
      </c>
      <c r="D26" s="50">
        <v>10.86</v>
      </c>
      <c r="E26" s="50">
        <v>-15.68</v>
      </c>
      <c r="F26" s="50">
        <v>-2.4245362661989844E-14</v>
      </c>
      <c r="G26" s="50">
        <v>264942</v>
      </c>
      <c r="H26" s="50" t="str">
        <f t="shared" si="1"/>
        <v>GNMK US EQUITY</v>
      </c>
      <c r="I26" s="50" t="str">
        <f>_xll.BDP($H26,I$7)</f>
        <v>GENMARK DIAGNOSTICS INC</v>
      </c>
      <c r="J26" s="50" t="str">
        <f>_xll.BDP($H26,J$7)</f>
        <v>GNMK</v>
      </c>
      <c r="K26" s="51">
        <f>_xll.BDP($H26,K$7)</f>
        <v>10.87</v>
      </c>
      <c r="L26" s="58">
        <f>_xll.BDP($H26,L$7)/100</f>
        <v>-0.15683230000000001</v>
      </c>
      <c r="M26" s="68">
        <f>_xll.BDP($H26,M$7)/1000000</f>
        <v>457.51135062000003</v>
      </c>
      <c r="N26" s="59">
        <f>_xll.BDP($H26,N$7)</f>
        <v>1125695</v>
      </c>
      <c r="O26" s="59">
        <f>_xll.BDP($H26,O$7)</f>
        <v>463869</v>
      </c>
    </row>
    <row r="27" spans="2:15" x14ac:dyDescent="0.25">
      <c r="B27" s="50" t="s">
        <v>682</v>
      </c>
      <c r="C27" s="50" t="s">
        <v>683</v>
      </c>
      <c r="D27" s="50">
        <v>13.75</v>
      </c>
      <c r="E27" s="50">
        <v>-15.12</v>
      </c>
      <c r="F27" s="50">
        <v>-2.4245362661989844E-14</v>
      </c>
      <c r="G27" s="50">
        <v>234196</v>
      </c>
      <c r="H27" s="50" t="str">
        <f t="shared" si="1"/>
        <v>NVDQ US EQUITY</v>
      </c>
      <c r="I27" s="50" t="str">
        <f>_xll.BDP($H27,I$7)</f>
        <v>NOVADAQ TECHNOLOGIES INC</v>
      </c>
      <c r="J27" s="50" t="str">
        <f>_xll.BDP($H27,J$7)</f>
        <v>NVDQ</v>
      </c>
      <c r="K27" s="51">
        <f>_xll.BDP($H27,K$7)</f>
        <v>13.76</v>
      </c>
      <c r="L27" s="58">
        <f>_xll.BDP($H27,L$7)/100</f>
        <v>-0.1512346</v>
      </c>
      <c r="M27" s="68">
        <f>_xll.BDP($H27,M$7)/1000000</f>
        <v>768.24903374999997</v>
      </c>
      <c r="N27" s="59">
        <f>_xll.BDP($H27,N$7)</f>
        <v>1563307</v>
      </c>
      <c r="O27" s="59">
        <f>_xll.BDP($H27,O$7)</f>
        <v>468893</v>
      </c>
    </row>
    <row r="28" spans="2:15" x14ac:dyDescent="0.25">
      <c r="B28" s="50" t="s">
        <v>684</v>
      </c>
      <c r="C28" s="50" t="s">
        <v>685</v>
      </c>
      <c r="D28" s="50">
        <v>0.9</v>
      </c>
      <c r="E28" s="50">
        <v>-11.76</v>
      </c>
      <c r="F28" s="50">
        <v>-2.4245362661989844E-14</v>
      </c>
      <c r="G28" s="50">
        <v>3094</v>
      </c>
      <c r="H28" s="50" t="str">
        <f t="shared" si="1"/>
        <v>PBIB US EQUITY</v>
      </c>
      <c r="I28" s="50" t="str">
        <f>_xll.BDP($H28,I$7)</f>
        <v>PORTER BANCORP INC</v>
      </c>
      <c r="J28" s="50" t="str">
        <f>_xll.BDP($H28,J$7)</f>
        <v>PBIB</v>
      </c>
      <c r="K28" s="51">
        <f>_xll.BDP($H28,K$7)</f>
        <v>0.96</v>
      </c>
      <c r="L28" s="58">
        <f>_xll.BDP($H28,L$7)/100</f>
        <v>-0.11764709999999999</v>
      </c>
      <c r="M28" s="68">
        <f>_xll.BDP($H28,M$7)/1000000</f>
        <v>17.049681</v>
      </c>
      <c r="N28" s="59">
        <f>_xll.BDP($H28,N$7)</f>
        <v>23158</v>
      </c>
      <c r="O28" s="59">
        <f>_xll.BDP($H28,O$7)</f>
        <v>0</v>
      </c>
    </row>
    <row r="29" spans="2:15" x14ac:dyDescent="0.25">
      <c r="B29" s="50" t="s">
        <v>686</v>
      </c>
      <c r="C29" s="50" t="s">
        <v>687</v>
      </c>
      <c r="D29" s="50">
        <v>6.48</v>
      </c>
      <c r="E29" s="50">
        <v>-11.35</v>
      </c>
      <c r="F29" s="50">
        <v>-2.4245362661989844E-14</v>
      </c>
      <c r="G29" s="50">
        <v>68152</v>
      </c>
      <c r="H29" s="50" t="str">
        <f t="shared" si="1"/>
        <v>XPLR US EQUITY</v>
      </c>
      <c r="I29" s="50" t="str">
        <f>_xll.BDP($H29,I$7)</f>
        <v>XPLORE TECHNOLOGIES CORP</v>
      </c>
      <c r="J29" s="50" t="str">
        <f>_xll.BDP($H29,J$7)</f>
        <v>XPLR</v>
      </c>
      <c r="K29" s="51">
        <f>_xll.BDP($H29,K$7)</f>
        <v>6.49</v>
      </c>
      <c r="L29" s="58">
        <f>_xll.BDP($H29,L$7)/100</f>
        <v>-0.11354309999999999</v>
      </c>
      <c r="M29" s="68">
        <f>_xll.BDP($H29,M$7)/1000000</f>
        <v>54.94556592</v>
      </c>
      <c r="N29" s="59">
        <f>_xll.BDP($H29,N$7)</f>
        <v>246772</v>
      </c>
      <c r="O29" s="59">
        <f>_xll.BDP($H29,O$7)</f>
        <v>239308</v>
      </c>
    </row>
    <row r="30" spans="2:15" x14ac:dyDescent="0.25">
      <c r="B30" s="50" t="s">
        <v>688</v>
      </c>
      <c r="C30" s="50" t="s">
        <v>689</v>
      </c>
      <c r="D30" s="50">
        <v>3.92</v>
      </c>
      <c r="E30" s="50">
        <v>-11.31</v>
      </c>
      <c r="F30" s="50">
        <v>-2.4245362661989844E-14</v>
      </c>
      <c r="G30" s="50">
        <v>503113</v>
      </c>
      <c r="H30" s="50" t="str">
        <f t="shared" si="1"/>
        <v>SZYM US EQUITY</v>
      </c>
      <c r="I30" s="50" t="str">
        <f>_xll.BDP($H30,I$7)</f>
        <v>SOLAZYME INC</v>
      </c>
      <c r="J30" s="50" t="str">
        <f>_xll.BDP($H30,J$7)</f>
        <v>SZYM</v>
      </c>
      <c r="K30" s="51">
        <f>_xll.BDP($H30,K$7)</f>
        <v>3.93</v>
      </c>
      <c r="L30" s="58">
        <f>_xll.BDP($H30,L$7)/100</f>
        <v>-0.11312220000000001</v>
      </c>
      <c r="M30" s="68">
        <f>_xll.BDP($H30,M$7)/1000000</f>
        <v>313.82170343999996</v>
      </c>
      <c r="N30" s="59">
        <f>_xll.BDP($H30,N$7)</f>
        <v>1587331</v>
      </c>
      <c r="O30" s="59">
        <f>_xll.BDP($H30,O$7)</f>
        <v>2060576</v>
      </c>
    </row>
    <row r="31" spans="2:15" x14ac:dyDescent="0.25">
      <c r="B31" s="50" t="s">
        <v>690</v>
      </c>
      <c r="C31" s="50" t="s">
        <v>691</v>
      </c>
      <c r="D31" s="50">
        <v>0.3105</v>
      </c>
      <c r="E31" s="50">
        <v>-11.29</v>
      </c>
      <c r="F31" s="50">
        <v>-2.4245362661989844E-14</v>
      </c>
      <c r="G31" s="50">
        <v>75146</v>
      </c>
      <c r="H31" s="50" t="str">
        <f t="shared" si="1"/>
        <v>ESCR US EQUITY</v>
      </c>
      <c r="I31" s="50" t="str">
        <f>_xll.BDP($H31,I$7)</f>
        <v>ESCALERA RESOURCES CO</v>
      </c>
      <c r="J31" s="50" t="str">
        <f>_xll.BDP($H31,J$7)</f>
        <v>ESCR</v>
      </c>
      <c r="K31" s="51">
        <f>_xll.BDP($H31,K$7)</f>
        <v>0.3105</v>
      </c>
      <c r="L31" s="58">
        <f>_xll.BDP($H31,L$7)/100</f>
        <v>-0.1128571</v>
      </c>
      <c r="M31" s="68">
        <f>_xll.BDP($H31,M$7)/1000000</f>
        <v>4.4337692249999998</v>
      </c>
      <c r="N31" s="59">
        <f>_xll.BDP($H31,N$7)</f>
        <v>211833</v>
      </c>
      <c r="O31" s="59">
        <f>_xll.BDP($H31,O$7)</f>
        <v>94003</v>
      </c>
    </row>
  </sheetData>
  <conditionalFormatting sqref="L10:L19">
    <cfRule type="colorScale" priority="2">
      <colorScale>
        <cfvo type="min"/>
        <cfvo type="max"/>
        <color rgb="FFFCFCFF"/>
        <color rgb="FF63BE7B"/>
      </colorScale>
    </cfRule>
  </conditionalFormatting>
  <conditionalFormatting sqref="L22:L32">
    <cfRule type="colorScale" priority="1">
      <colorScale>
        <cfvo type="min"/>
        <cfvo type="max"/>
        <color rgb="FFF8696B"/>
        <color rgb="FFFCFCFF"/>
      </colorScale>
    </cfRule>
  </conditionalFormatting>
  <pageMargins left="0.7" right="0.7" top="0.75" bottom="0.75" header="0.3" footer="0.3"/>
  <pageSetup orientation="portrait" r:id="rId1"/>
  <ignoredErrors>
    <ignoredError sqref="L10 L11:L19 L22:L30" formula="1"/>
    <ignoredError sqref="L31" evalError="1" formula="1"/>
    <ignoredError sqref="M3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efreshBloomberg">
                <anchor moveWithCells="1" sizeWithCells="1">
                  <from>
                    <xdr:col>12</xdr:col>
                    <xdr:colOff>161925</xdr:colOff>
                    <xdr:row>3</xdr:row>
                    <xdr:rowOff>19050</xdr:rowOff>
                  </from>
                  <to>
                    <xdr:col>13</xdr:col>
                    <xdr:colOff>390525</xdr:colOff>
                    <xdr:row>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Data!$J$4:$J$6</xm:f>
          </x14:formula1>
          <xm:sqref>I4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sheetPr>
  <dimension ref="A1:M20"/>
  <sheetViews>
    <sheetView showGridLines="0" zoomScale="90" zoomScaleNormal="90" workbookViewId="0">
      <selection activeCell="B3" sqref="B3"/>
    </sheetView>
  </sheetViews>
  <sheetFormatPr defaultColWidth="0" defaultRowHeight="15" x14ac:dyDescent="0.25"/>
  <cols>
    <col min="1" max="1" width="3.42578125" customWidth="1"/>
    <col min="2" max="2" width="23.85546875" style="6" bestFit="1" customWidth="1"/>
    <col min="3" max="3" width="31.85546875" hidden="1" customWidth="1"/>
    <col min="4" max="4" width="14" customWidth="1"/>
    <col min="5" max="5" width="15.42578125" bestFit="1" customWidth="1"/>
    <col min="6" max="7" width="14" customWidth="1"/>
    <col min="8" max="8" width="3.42578125" customWidth="1"/>
    <col min="9" max="9" width="8.85546875" hidden="1"/>
    <col min="10" max="10" width="12.7109375" hidden="1"/>
    <col min="11" max="11" width="1.28515625" hidden="1"/>
    <col min="12" max="16384" width="8.85546875" hidden="1"/>
  </cols>
  <sheetData>
    <row r="1" spans="2:13" s="48" customFormat="1" ht="30" customHeight="1" x14ac:dyDescent="0.35">
      <c r="B1" s="63" t="s">
        <v>708</v>
      </c>
      <c r="K1" s="49"/>
    </row>
    <row r="2" spans="2:13" s="64" customFormat="1" ht="15" customHeight="1" x14ac:dyDescent="0.35">
      <c r="B2" s="65"/>
      <c r="K2" s="66"/>
    </row>
    <row r="3" spans="2:13" ht="15" customHeight="1" x14ac:dyDescent="0.25"/>
    <row r="4" spans="2:13" ht="15" customHeight="1" x14ac:dyDescent="0.25"/>
    <row r="5" spans="2:13" s="32" customFormat="1" ht="45" hidden="1" customHeight="1" x14ac:dyDescent="0.25">
      <c r="D5" s="32" t="s">
        <v>438</v>
      </c>
      <c r="E5" s="32" t="s">
        <v>490</v>
      </c>
      <c r="F5" s="32" t="s">
        <v>491</v>
      </c>
      <c r="G5" s="32" t="s">
        <v>492</v>
      </c>
    </row>
    <row r="6" spans="2:13" s="32" customFormat="1" ht="45" customHeight="1" x14ac:dyDescent="0.25">
      <c r="D6" s="32" t="s">
        <v>523</v>
      </c>
      <c r="E6" s="32" t="s">
        <v>524</v>
      </c>
      <c r="F6" s="32" t="s">
        <v>525</v>
      </c>
      <c r="G6" s="32" t="s">
        <v>526</v>
      </c>
    </row>
    <row r="7" spans="2:13" x14ac:dyDescent="0.25">
      <c r="D7" s="29"/>
      <c r="E7" s="29"/>
      <c r="F7" s="30"/>
      <c r="G7" s="28"/>
      <c r="I7" s="29"/>
      <c r="J7" s="28"/>
      <c r="L7" s="29"/>
      <c r="M7" s="29"/>
    </row>
    <row r="8" spans="2:13" x14ac:dyDescent="0.25">
      <c r="B8" s="6" t="s">
        <v>527</v>
      </c>
      <c r="C8" t="s">
        <v>493</v>
      </c>
      <c r="D8" s="29">
        <f>_xll.BDP($C8,D$5)</f>
        <v>118.9</v>
      </c>
      <c r="E8" s="29">
        <f>_xll.BDP($C8,E$5)</f>
        <v>118.91</v>
      </c>
      <c r="F8" s="30">
        <f>_xll.BDP($C8,F$5)</f>
        <v>-0.12</v>
      </c>
      <c r="G8" s="28">
        <f>_xll.BDP($C8,G$5)/100</f>
        <v>1.0090000000000001E-3</v>
      </c>
      <c r="I8" s="29"/>
      <c r="J8" s="28"/>
      <c r="L8" s="29"/>
      <c r="M8" s="29"/>
    </row>
    <row r="9" spans="2:13" x14ac:dyDescent="0.25">
      <c r="B9" s="6" t="s">
        <v>528</v>
      </c>
      <c r="C9" t="s">
        <v>494</v>
      </c>
      <c r="D9" s="29">
        <f>_xll.BDP($C9,D$5)</f>
        <v>6.1978999999999997</v>
      </c>
      <c r="E9" s="29">
        <f>_xll.BDP($C9,E$5)</f>
        <v>6.1978999999999997</v>
      </c>
      <c r="F9" s="30">
        <f>_xll.BDP($C9,F$5)</f>
        <v>1E-3</v>
      </c>
      <c r="G9" s="28">
        <f>_xll.BDP($C9,G$5)/100</f>
        <v>-1.6100000000000001E-4</v>
      </c>
      <c r="I9" s="29"/>
      <c r="J9" s="28"/>
      <c r="L9" s="29"/>
      <c r="M9" s="29"/>
    </row>
    <row r="10" spans="2:13" x14ac:dyDescent="0.25">
      <c r="B10" s="6" t="s">
        <v>529</v>
      </c>
      <c r="C10" t="s">
        <v>515</v>
      </c>
      <c r="D10" s="29">
        <f>_xll.BDP($C10,D$5)</f>
        <v>1.2848999999999999</v>
      </c>
      <c r="E10" s="29">
        <f>_xll.BDP($C10,E$5)</f>
        <v>1.2848999999999999</v>
      </c>
      <c r="F10" s="30">
        <f>_xll.BDP($C10,F$5)</f>
        <v>3.3999999999999998E-3</v>
      </c>
      <c r="G10" s="28">
        <f>_xll.BDP($C10,G$5)/100</f>
        <v>2.653E-3</v>
      </c>
      <c r="I10" s="29"/>
      <c r="J10" s="28"/>
      <c r="L10" s="29"/>
      <c r="M10" s="29"/>
    </row>
    <row r="11" spans="2:13" x14ac:dyDescent="0.25">
      <c r="B11" s="6" t="s">
        <v>530</v>
      </c>
      <c r="C11" t="s">
        <v>513</v>
      </c>
      <c r="D11" s="29">
        <f>_xll.BDP($C11,D$5)</f>
        <v>1.4962</v>
      </c>
      <c r="E11" s="29">
        <f>_xll.BDP($C11,E$5)</f>
        <v>1.4962</v>
      </c>
      <c r="F11" s="30">
        <f>_xll.BDP($C11,F$5)</f>
        <v>2.8E-3</v>
      </c>
      <c r="G11" s="28">
        <f>_xll.BDP($C11,G$5)/100</f>
        <v>1.8749999999999999E-3</v>
      </c>
      <c r="I11" s="29"/>
      <c r="J11" s="28"/>
      <c r="L11" s="29"/>
      <c r="M11" s="29"/>
    </row>
    <row r="12" spans="2:13" x14ac:dyDescent="0.25">
      <c r="B12" s="6" t="s">
        <v>531</v>
      </c>
      <c r="C12" t="s">
        <v>489</v>
      </c>
      <c r="D12" s="29">
        <f>_xll.BDP($C12,D$5)</f>
        <v>1.0806</v>
      </c>
      <c r="E12" s="29">
        <f>_xll.BDP($C12,E$5)</f>
        <v>1.0806</v>
      </c>
      <c r="F12" s="30">
        <f>_xll.BDP($C12,F$5)</f>
        <v>4.4999999999999997E-3</v>
      </c>
      <c r="G12" s="28">
        <f>_xll.BDP($C12,G$5)/100</f>
        <v>4.182E-3</v>
      </c>
      <c r="I12" s="29"/>
      <c r="J12" s="28"/>
      <c r="L12" s="29"/>
      <c r="M12" s="29"/>
    </row>
    <row r="13" spans="2:13" x14ac:dyDescent="0.25">
      <c r="B13" s="6" t="s">
        <v>532</v>
      </c>
      <c r="C13" t="s">
        <v>514</v>
      </c>
      <c r="D13" s="29">
        <f>_xll.BDP($C13,D$5)</f>
        <v>1.0502</v>
      </c>
      <c r="E13" s="29">
        <f>_xll.BDP($C13,E$5)</f>
        <v>1.0502</v>
      </c>
      <c r="F13" s="30">
        <f>_xll.BDP($C13,F$5)</f>
        <v>4.0000000000000001E-3</v>
      </c>
      <c r="G13" s="28">
        <f>_xll.BDP($C13,G$5)/100</f>
        <v>-3.8090000000000003E-3</v>
      </c>
      <c r="I13" s="29"/>
      <c r="J13" s="28"/>
      <c r="L13" s="29"/>
      <c r="M13" s="29"/>
    </row>
    <row r="14" spans="2:13" x14ac:dyDescent="0.25">
      <c r="B14" s="6" t="s">
        <v>706</v>
      </c>
      <c r="C14" t="s">
        <v>707</v>
      </c>
      <c r="D14" s="29">
        <f>_xll.BDP($C14,D$5)</f>
        <v>2499.73</v>
      </c>
      <c r="E14" s="29">
        <f>_xll.BDP($C14,E$5)</f>
        <v>2499.73</v>
      </c>
      <c r="F14" s="30">
        <f>_xll.BDP($C14,F$5)</f>
        <v>17.21</v>
      </c>
      <c r="G14" s="28">
        <f>_xll.BDP($C14,G$5)/100</f>
        <v>-6.8849999999999996E-3</v>
      </c>
      <c r="I14" s="29"/>
      <c r="J14" s="28"/>
      <c r="L14" s="29"/>
      <c r="M14" s="29"/>
    </row>
    <row r="15" spans="2:13" ht="15.75" thickBot="1" x14ac:dyDescent="0.3">
      <c r="B15" s="34"/>
      <c r="C15" s="33"/>
      <c r="D15" s="33"/>
      <c r="E15" s="33"/>
      <c r="F15" s="33"/>
      <c r="G15" s="33"/>
    </row>
    <row r="16" spans="2:13" ht="15.75" thickTop="1" x14ac:dyDescent="0.25"/>
    <row r="17" spans="2:7" x14ac:dyDescent="0.25">
      <c r="B17" s="6" t="s">
        <v>501</v>
      </c>
      <c r="C17" t="s">
        <v>502</v>
      </c>
      <c r="D17">
        <f>_xll.BDP($C17,D$5)</f>
        <v>1203.1000000000001</v>
      </c>
      <c r="E17">
        <f>_xll.BDP($C17,E$5)</f>
        <v>1203.0999999999999</v>
      </c>
      <c r="F17">
        <f>_xll.BDP($C17,F$5)</f>
        <v>5.0999999999999091</v>
      </c>
      <c r="G17" s="28">
        <f>_xll.BDP($C17,G$5)/100</f>
        <v>4.2570951585975871E-3</v>
      </c>
    </row>
    <row r="18" spans="2:7" x14ac:dyDescent="0.25">
      <c r="B18" s="6" t="s">
        <v>496</v>
      </c>
      <c r="C18" t="s">
        <v>495</v>
      </c>
      <c r="D18">
        <f>_xll.BDP($C18,D$5)</f>
        <v>55.74</v>
      </c>
      <c r="E18">
        <f>_xll.BDP($C18,E$5)</f>
        <v>55.74</v>
      </c>
      <c r="F18">
        <f>_xll.BDP($C18,F$5)</f>
        <v>-0.96999999999999886</v>
      </c>
      <c r="G18" s="28">
        <f>_xll.BDP($C18,G$5)/100</f>
        <v>-1.7104567095750287E-2</v>
      </c>
    </row>
    <row r="19" spans="2:7" x14ac:dyDescent="0.25">
      <c r="B19" s="6" t="s">
        <v>498</v>
      </c>
      <c r="C19" t="s">
        <v>497</v>
      </c>
      <c r="D19">
        <f>_xll.BDP($C19,D$5)</f>
        <v>63.45</v>
      </c>
      <c r="E19">
        <f>_xll.BDP($C19,E$5)</f>
        <v>63.45</v>
      </c>
      <c r="F19">
        <f>_xll.BDP($C19,F$5)</f>
        <v>-0.52999999999999403</v>
      </c>
      <c r="G19" s="28">
        <f>_xll.BDP($C19,G$5)/100</f>
        <v>-8.2838386995935306E-3</v>
      </c>
    </row>
    <row r="20" spans="2:7" x14ac:dyDescent="0.25">
      <c r="B20" s="6" t="s">
        <v>500</v>
      </c>
      <c r="C20" t="s">
        <v>499</v>
      </c>
      <c r="D20">
        <f>_xll.BDP($C20,D$5)</f>
        <v>1204.22</v>
      </c>
      <c r="E20">
        <f>_xll.BDP($C20,E$5)</f>
        <v>1204.22</v>
      </c>
      <c r="F20">
        <f>_xll.BDP($C20,F$5)</f>
        <v>5.67</v>
      </c>
      <c r="G20" s="28">
        <f>_xll.BDP($C20,G$5)/100</f>
        <v>4.731E-3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freshBloomberg">
                <anchor moveWithCells="1" sizeWithCells="1">
                  <from>
                    <xdr:col>4</xdr:col>
                    <xdr:colOff>419100</xdr:colOff>
                    <xdr:row>2</xdr:row>
                    <xdr:rowOff>19050</xdr:rowOff>
                  </from>
                  <to>
                    <xdr:col>5</xdr:col>
                    <xdr:colOff>790575</xdr:colOff>
                    <xdr:row>3</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B1430"/>
  <sheetViews>
    <sheetView topLeftCell="A2" zoomScale="90" zoomScaleNormal="90" workbookViewId="0">
      <pane xSplit="2" ySplit="5" topLeftCell="C10" activePane="bottomRight" state="frozen"/>
      <selection activeCell="A2" sqref="A2"/>
      <selection pane="topRight" activeCell="C2" sqref="C2"/>
      <selection pane="bottomLeft" activeCell="A7" sqref="A7"/>
      <selection pane="bottomRight" activeCell="D38" sqref="D38"/>
    </sheetView>
  </sheetViews>
  <sheetFormatPr defaultColWidth="0" defaultRowHeight="12.75" x14ac:dyDescent="0.2"/>
  <cols>
    <col min="1" max="1" width="20" style="70" bestFit="1" customWidth="1"/>
    <col min="2" max="2" width="21.28515625" style="70" bestFit="1" customWidth="1"/>
    <col min="3" max="3" width="16.5703125" style="70" bestFit="1" customWidth="1"/>
    <col min="4" max="5" width="16.5703125" style="70" customWidth="1"/>
    <col min="6" max="6" width="12.42578125" style="70" customWidth="1"/>
    <col min="7" max="8" width="8.7109375" style="71" customWidth="1"/>
    <col min="9" max="9" width="9.140625" style="71" customWidth="1"/>
    <col min="10" max="10" width="15.7109375" style="71" customWidth="1"/>
    <col min="11" max="11" width="10.5703125" style="71" customWidth="1"/>
    <col min="12" max="12" width="9.140625" style="71" customWidth="1"/>
    <col min="13" max="13" width="14.85546875" style="70" bestFit="1" customWidth="1"/>
    <col min="14" max="14" width="9.85546875" style="70" customWidth="1"/>
    <col min="15" max="17" width="11.42578125" style="70" bestFit="1" customWidth="1"/>
    <col min="18" max="18" width="11.7109375" style="70" bestFit="1" customWidth="1"/>
    <col min="19" max="19" width="9.85546875" style="70" bestFit="1" customWidth="1"/>
    <col min="20" max="20" width="15.85546875" style="70" bestFit="1" customWidth="1"/>
    <col min="21" max="21" width="14.28515625" style="70" bestFit="1" customWidth="1"/>
    <col min="22" max="22" width="14.85546875" style="70" bestFit="1" customWidth="1"/>
    <col min="23" max="24" width="13" style="70" bestFit="1" customWidth="1"/>
    <col min="25" max="26" width="10.28515625" style="70" customWidth="1"/>
    <col min="27" max="27" width="16.140625" style="70" customWidth="1"/>
    <col min="28" max="28" width="3.28515625" style="70" customWidth="1"/>
    <col min="29" max="16384" width="10.28515625" style="70" hidden="1"/>
  </cols>
  <sheetData>
    <row r="1" spans="1:27" s="48" customFormat="1" ht="30" customHeight="1" x14ac:dyDescent="0.35">
      <c r="B1" s="63" t="s">
        <v>768</v>
      </c>
      <c r="K1" s="49"/>
    </row>
    <row r="3" spans="1:27" x14ac:dyDescent="0.2">
      <c r="A3" s="98" t="s">
        <v>779</v>
      </c>
      <c r="B3" s="69">
        <v>42113</v>
      </c>
    </row>
    <row r="4" spans="1:27" x14ac:dyDescent="0.2">
      <c r="A4" s="98" t="s">
        <v>778</v>
      </c>
      <c r="B4" s="69"/>
    </row>
    <row r="5" spans="1:27" s="72" customFormat="1" x14ac:dyDescent="0.2">
      <c r="F5" s="72" t="s">
        <v>715</v>
      </c>
      <c r="J5" s="72" t="s">
        <v>773</v>
      </c>
    </row>
    <row r="6" spans="1:27" s="81" customFormat="1" ht="30" customHeight="1" x14ac:dyDescent="0.25">
      <c r="A6" s="81" t="s">
        <v>772</v>
      </c>
      <c r="B6" s="81" t="s">
        <v>771</v>
      </c>
      <c r="C6" s="81" t="s">
        <v>716</v>
      </c>
      <c r="D6" s="81" t="s">
        <v>770</v>
      </c>
      <c r="E6" s="81" t="s">
        <v>717</v>
      </c>
      <c r="F6" s="81" t="s">
        <v>718</v>
      </c>
      <c r="G6" s="81" t="s">
        <v>719</v>
      </c>
      <c r="H6" s="81" t="s">
        <v>720</v>
      </c>
      <c r="I6" s="81" t="s">
        <v>721</v>
      </c>
      <c r="J6" s="81" t="s">
        <v>722</v>
      </c>
      <c r="K6" s="81" t="s">
        <v>723</v>
      </c>
      <c r="L6" s="81" t="s">
        <v>724</v>
      </c>
      <c r="M6" s="81" t="s">
        <v>510</v>
      </c>
      <c r="N6" s="81" t="s">
        <v>725</v>
      </c>
      <c r="O6" s="81" t="s">
        <v>726</v>
      </c>
      <c r="P6" s="81" t="s">
        <v>727</v>
      </c>
      <c r="Q6" s="81" t="s">
        <v>728</v>
      </c>
      <c r="R6" s="81" t="s">
        <v>729</v>
      </c>
      <c r="S6" s="81" t="s">
        <v>730</v>
      </c>
      <c r="T6" s="81" t="s">
        <v>731</v>
      </c>
      <c r="U6" s="81" t="s">
        <v>732</v>
      </c>
      <c r="V6" s="81" t="s">
        <v>733</v>
      </c>
      <c r="W6" s="81" t="s">
        <v>734</v>
      </c>
      <c r="X6" s="81" t="s">
        <v>735</v>
      </c>
      <c r="Y6" s="81" t="s">
        <v>736</v>
      </c>
      <c r="Z6" s="81" t="s">
        <v>769</v>
      </c>
      <c r="AA6" s="81" t="s">
        <v>737</v>
      </c>
    </row>
    <row r="7" spans="1:27" x14ac:dyDescent="0.2">
      <c r="A7" s="80" t="s">
        <v>746</v>
      </c>
      <c r="B7" s="74" t="str">
        <f>+_xll.BDP($A7,B$6)</f>
        <v>APPLE INC</v>
      </c>
      <c r="C7" s="74" t="str">
        <f>+_xll.BDP($A7,C$6)</f>
        <v>US0378331005</v>
      </c>
      <c r="D7" s="74" t="str">
        <f>+_xll.BDP($A7,D$6)</f>
        <v>BBG000B9XRY4</v>
      </c>
      <c r="E7" s="74" t="str">
        <f>+_xll.BDP($A7,E$6)</f>
        <v>Common Stock</v>
      </c>
      <c r="F7" s="74">
        <f>+_xll.BDP($A7,F$6,"EQY_FUND_CRNCY=USD", "SCALING_FORMAT=MMM")</f>
        <v>726.63731299999995</v>
      </c>
      <c r="G7" s="75" t="str">
        <f>+_xll.BDP($A7,G$6)</f>
        <v>US</v>
      </c>
      <c r="H7" s="75" t="str">
        <f>+_xll.BDP($A7,H$6)</f>
        <v>US</v>
      </c>
      <c r="I7" s="76">
        <f>+_xll.BDP($A7,I$6)</f>
        <v>4.2142858505249023</v>
      </c>
      <c r="J7" s="77">
        <f>+_xll.BDP($A7,J$6,"BETA_OVERRIDE_REL_INDEX=SPX INDEX")</f>
        <v>0.72905806928395733</v>
      </c>
      <c r="K7" s="76">
        <f>+_xll.BDP($A7,K$6)</f>
        <v>1.373272</v>
      </c>
      <c r="L7" s="76" t="str">
        <f>+_xll.BDP($A7,L$6)</f>
        <v>USD</v>
      </c>
      <c r="M7" s="74">
        <f>+_xll.BDP($A7,M$6)</f>
        <v>124.76</v>
      </c>
      <c r="N7" s="74">
        <f>+_xll.BDP($A7,N$6)</f>
        <v>7.420000074207783</v>
      </c>
      <c r="O7" s="78">
        <f>+_xll.BDP($A7,O$6)/100</f>
        <v>-2.1530279999999999E-2</v>
      </c>
      <c r="P7" s="78">
        <f>+_xll.BDP($A7,P$6)/100</f>
        <v>0.17699790000000001</v>
      </c>
      <c r="Q7" s="78">
        <f>+_xll.BDP($A7,Q$6)/100</f>
        <v>0.27726019999999996</v>
      </c>
      <c r="R7" s="78">
        <f>+_xll.BDP($A7,R$6)/100</f>
        <v>0.66352339999999999</v>
      </c>
      <c r="S7" s="79">
        <f>+_xll.BDP($A7,S$6)</f>
        <v>16.812668295467542</v>
      </c>
      <c r="T7" s="79">
        <f>+_xll.BDP($A7,T$6)</f>
        <v>1.5070140242337704</v>
      </c>
      <c r="U7" s="79">
        <f>+_xll.BDP($A7,U$6)</f>
        <v>38.588035777783858</v>
      </c>
      <c r="V7" s="79">
        <f>+_xll.BDP($A7,V$6)</f>
        <v>33.865365365365363</v>
      </c>
      <c r="W7" s="79">
        <f>+_xll.BDP($A7,W$6)</f>
        <v>28.722339232473537</v>
      </c>
      <c r="X7" s="79">
        <f>+_xll.BDP($A7,X$6)</f>
        <v>21.614376760852323</v>
      </c>
      <c r="Y7" s="79">
        <f>+_xll.BDP($A7,Y$6)</f>
        <v>25.986355527266536</v>
      </c>
      <c r="Z7" s="79">
        <f>+_xll.BDP($A7,Z$6)</f>
        <v>19.74026504678498</v>
      </c>
      <c r="AA7" s="79">
        <f>+_xll.BDP($A7,AA$6)</f>
        <v>136.7265625</v>
      </c>
    </row>
    <row r="8" spans="1:27" x14ac:dyDescent="0.2">
      <c r="A8" s="80" t="s">
        <v>738</v>
      </c>
      <c r="B8" s="74" t="str">
        <f>+_xll.BDP($A8,B$6)</f>
        <v>EXXON MOBIL CORP</v>
      </c>
      <c r="C8" s="74" t="str">
        <f>+_xll.BDP($A8,C$6)</f>
        <v>US30231G1022</v>
      </c>
      <c r="D8" s="74" t="str">
        <f>+_xll.BDP($A8,D$6)</f>
        <v>BBG000GZQ728</v>
      </c>
      <c r="E8" s="74" t="str">
        <f>+_xll.BDP($A8,E$6)</f>
        <v>Common Stock</v>
      </c>
      <c r="F8" s="74">
        <f>+_xll.BDP($A8,F$6,"EQY_FUND_CRNCY=USD", "SCALING_FORMAT=MMM")</f>
        <v>364.19237369756007</v>
      </c>
      <c r="G8" s="75" t="str">
        <f>+_xll.BDP($A8,G$6)</f>
        <v>US</v>
      </c>
      <c r="H8" s="75" t="str">
        <f>+_xll.BDP($A8,H$6)</f>
        <v>US</v>
      </c>
      <c r="I8" s="76">
        <f>+_xll.BDP($A8,I$6)</f>
        <v>3.4827585220336914</v>
      </c>
      <c r="J8" s="77">
        <f>+_xll.BDP($A8,J$6,"BETA_OVERRIDE_REL_INDEX=SPX INDEX")</f>
        <v>1.0374485378953182</v>
      </c>
      <c r="K8" s="76">
        <f>+_xll.BDP($A8,K$6)</f>
        <v>2.5809690000000001</v>
      </c>
      <c r="L8" s="76" t="str">
        <f>+_xll.BDP($A8,L$6)</f>
        <v>USD</v>
      </c>
      <c r="M8" s="74">
        <f>+_xll.BDP($A8,M$6)</f>
        <v>86.89</v>
      </c>
      <c r="N8" s="74">
        <f>+_xll.BDP($A8,N$6)</f>
        <v>7.5278390000000002</v>
      </c>
      <c r="O8" s="78">
        <f>+_xll.BDP($A8,O$6)/100</f>
        <v>2.9854240000000001E-2</v>
      </c>
      <c r="P8" s="78">
        <f>+_xll.BDP($A8,P$6)/100</f>
        <v>-4.5983349999999999E-2</v>
      </c>
      <c r="Q8" s="78">
        <f>+_xll.BDP($A8,Q$6)/100</f>
        <v>-4.6924669999999995E-2</v>
      </c>
      <c r="R8" s="78">
        <f>+_xll.BDP($A8,R$6)/100</f>
        <v>-0.13433580000000001</v>
      </c>
      <c r="S8" s="79">
        <f>+_xll.BDP($A8,S$6)</f>
        <v>11.547802803058856</v>
      </c>
      <c r="T8" s="79">
        <f>+_xll.BDP($A8,T$6)</f>
        <v>3.1764299579505773</v>
      </c>
      <c r="U8" s="79">
        <f>+_xll.BDP($A8,U$6)</f>
        <v>13.254907981346797</v>
      </c>
      <c r="V8" s="79">
        <f>+_xll.BDP($A8,V$6)</f>
        <v>14.085584338323789</v>
      </c>
      <c r="W8" s="79">
        <f>+_xll.BDP($A8,W$6)</f>
        <v>9.3436011876204557</v>
      </c>
      <c r="X8" s="79">
        <f>+_xll.BDP($A8,X$6)</f>
        <v>8.915377930327363</v>
      </c>
      <c r="Y8" s="79">
        <f>+_xll.BDP($A8,Y$6)</f>
        <v>6.4358458887465204</v>
      </c>
      <c r="Z8" s="79">
        <f>+_xll.BDP($A8,Z$6)</f>
        <v>5.5441634750338986</v>
      </c>
      <c r="AA8" s="79">
        <f>+_xll.BDP($A8,AA$6)</f>
        <v>54.098412698412702</v>
      </c>
    </row>
    <row r="9" spans="1:27" x14ac:dyDescent="0.2">
      <c r="A9" s="80" t="s">
        <v>747</v>
      </c>
      <c r="B9" s="74" t="str">
        <f>+_xll.BDP($A9,B$6)</f>
        <v>MICROSOFT CORP</v>
      </c>
      <c r="C9" s="74" t="str">
        <f>+_xll.BDP($A9,C$6)</f>
        <v>US5949181045</v>
      </c>
      <c r="D9" s="74" t="str">
        <f>+_xll.BDP($A9,D$6)</f>
        <v>BBG000BPH459</v>
      </c>
      <c r="E9" s="74" t="str">
        <f>+_xll.BDP($A9,E$6)</f>
        <v>Common Stock</v>
      </c>
      <c r="F9" s="74">
        <f>+_xll.BDP($A9,F$6,"EQY_FUND_CRNCY=USD", "SCALING_FORMAT=MMM")</f>
        <v>341.40052696571507</v>
      </c>
      <c r="G9" s="75" t="str">
        <f>+_xll.BDP($A9,G$6)</f>
        <v>US</v>
      </c>
      <c r="H9" s="75" t="str">
        <f>+_xll.BDP($A9,H$6)</f>
        <v>US</v>
      </c>
      <c r="I9" s="76">
        <f>+_xll.BDP($A9,I$6)</f>
        <v>3.644444465637207</v>
      </c>
      <c r="J9" s="77">
        <f>+_xll.BDP($A9,J$6,"BETA_OVERRIDE_REL_INDEX=SPX INDEX")</f>
        <v>1.1964707020699317</v>
      </c>
      <c r="K9" s="76">
        <f>+_xll.BDP($A9,K$6)</f>
        <v>2.1076359999999998</v>
      </c>
      <c r="L9" s="76" t="str">
        <f>+_xll.BDP($A9,L$6)</f>
        <v>USD</v>
      </c>
      <c r="M9" s="74">
        <f>+_xll.BDP($A9,M$6)</f>
        <v>41.62</v>
      </c>
      <c r="N9" s="74">
        <f>+_xll.BDP($A9,N$6)</f>
        <v>2.6340699999999999</v>
      </c>
      <c r="O9" s="78">
        <f>+_xll.BDP($A9,O$6)/100</f>
        <v>-1.5844860000000002E-2</v>
      </c>
      <c r="P9" s="78">
        <f>+_xll.BDP($A9,P$6)/100</f>
        <v>-0.10002169999999999</v>
      </c>
      <c r="Q9" s="78">
        <f>+_xll.BDP($A9,Q$6)/100</f>
        <v>-4.6183839999999997E-2</v>
      </c>
      <c r="R9" s="78">
        <f>+_xll.BDP($A9,R$6)/100</f>
        <v>4.011501E-2</v>
      </c>
      <c r="S9" s="79">
        <f>+_xll.BDP($A9,S$6)</f>
        <v>15.798745545284218</v>
      </c>
      <c r="T9" s="79">
        <f>+_xll.BDP($A9,T$6)</f>
        <v>2.9796948444953579</v>
      </c>
      <c r="U9" s="79">
        <f>+_xll.BDP($A9,U$6)</f>
        <v>68.981838701876015</v>
      </c>
      <c r="V9" s="79">
        <f>+_xll.BDP($A9,V$6)</f>
        <v>35.334274952919017</v>
      </c>
      <c r="W9" s="79">
        <f>+_xll.BDP($A9,W$6)</f>
        <v>31.968260914629234</v>
      </c>
      <c r="X9" s="79">
        <f>+_xll.BDP($A9,X$6)</f>
        <v>25.421210829983991</v>
      </c>
      <c r="Y9" s="79">
        <f>+_xll.BDP($A9,Y$6)</f>
        <v>22.99407466809231</v>
      </c>
      <c r="Z9" s="79">
        <f>+_xll.BDP($A9,Z$6)</f>
        <v>18.362700015120652</v>
      </c>
      <c r="AA9" s="79">
        <f>+_xll.BDP($A9,AA$6)</f>
        <v>46.497487437185931</v>
      </c>
    </row>
    <row r="10" spans="1:27" x14ac:dyDescent="0.2">
      <c r="A10" s="80" t="s">
        <v>748</v>
      </c>
      <c r="B10" s="74" t="str">
        <f>+_xll.BDP($A10,B$6)</f>
        <v>JOHNSON&amp;JOHNSON</v>
      </c>
      <c r="C10" s="74" t="str">
        <f>+_xll.BDP($A10,C$6)</f>
        <v>US4781601046</v>
      </c>
      <c r="D10" s="74" t="str">
        <f>+_xll.BDP($A10,D$6)</f>
        <v>BBG000BMHYD1</v>
      </c>
      <c r="E10" s="74" t="str">
        <f>+_xll.BDP($A10,E$6)</f>
        <v>Common Stock</v>
      </c>
      <c r="F10" s="74">
        <f>+_xll.BDP($A10,F$6,"EQY_FUND_CRNCY=USD", "SCALING_FORMAT=MMM")</f>
        <v>276.88811759907998</v>
      </c>
      <c r="G10" s="75" t="str">
        <f>+_xll.BDP($A10,G$6)</f>
        <v>US</v>
      </c>
      <c r="H10" s="75" t="str">
        <f>+_xll.BDP($A10,H$6)</f>
        <v>US</v>
      </c>
      <c r="I10" s="76">
        <f>+_xll.BDP($A10,I$6)</f>
        <v>3.9600000381469727</v>
      </c>
      <c r="J10" s="77">
        <f>+_xll.BDP($A10,J$6,"BETA_OVERRIDE_REL_INDEX=SPX INDEX")</f>
        <v>0.93725362185025596</v>
      </c>
      <c r="K10" s="76">
        <f>+_xll.BDP($A10,K$6)</f>
        <v>3.6505879999999999</v>
      </c>
      <c r="L10" s="76" t="str">
        <f>+_xll.BDP($A10,L$6)</f>
        <v>USD</v>
      </c>
      <c r="M10" s="74">
        <f>+_xll.BDP($A10,M$6)</f>
        <v>99.6</v>
      </c>
      <c r="N10" s="74">
        <f>+_xll.BDP($A10,N$6)</f>
        <v>5.9194979999999999</v>
      </c>
      <c r="O10" s="78">
        <f>+_xll.BDP($A10,O$6)/100</f>
        <v>-2.0749360000000001E-2</v>
      </c>
      <c r="P10" s="78">
        <f>+_xll.BDP($A10,P$6)/100</f>
        <v>-4.2868139999999999E-2</v>
      </c>
      <c r="Q10" s="78">
        <f>+_xll.BDP($A10,Q$6)/100</f>
        <v>8.915938E-3</v>
      </c>
      <c r="R10" s="78">
        <f>+_xll.BDP($A10,R$6)/100</f>
        <v>6.2651670000000003E-3</v>
      </c>
      <c r="S10" s="79">
        <f>+_xll.BDP($A10,S$6)</f>
        <v>16.822372746988798</v>
      </c>
      <c r="T10" s="79">
        <f>+_xll.BDP($A10,T$6)</f>
        <v>2.8115272138932461</v>
      </c>
      <c r="U10" s="79">
        <f>+_xll.BDP($A10,U$6)</f>
        <v>69.39903943173104</v>
      </c>
      <c r="V10" s="79">
        <f>+_xll.BDP($A10,V$6)</f>
        <v>33.436924029005397</v>
      </c>
      <c r="W10" s="79">
        <f>+_xll.BDP($A10,W$6)</f>
        <v>28.196849228451114</v>
      </c>
      <c r="X10" s="79">
        <f>+_xll.BDP($A10,X$6)</f>
        <v>21.959882148767001</v>
      </c>
      <c r="Y10" s="79">
        <f>+_xll.BDP($A10,Y$6)</f>
        <v>21.679665099208627</v>
      </c>
      <c r="Z10" s="79">
        <f>+_xll.BDP($A10,Z$6)</f>
        <v>17.084689081706436</v>
      </c>
      <c r="AA10" s="79">
        <f>+_xll.BDP($A10,AA$6)</f>
        <v>32.344135802469133</v>
      </c>
    </row>
    <row r="11" spans="1:27" x14ac:dyDescent="0.2">
      <c r="A11" s="80" t="s">
        <v>739</v>
      </c>
      <c r="B11" s="74" t="str">
        <f>+_xll.BDP($A11,B$6)</f>
        <v>GENERAL ELECTRIC</v>
      </c>
      <c r="C11" s="74" t="str">
        <f>+_xll.BDP($A11,C$6)</f>
        <v>US3696041033</v>
      </c>
      <c r="D11" s="74" t="str">
        <f>+_xll.BDP($A11,D$6)</f>
        <v>BBG000BK6MB5</v>
      </c>
      <c r="E11" s="74" t="str">
        <f>+_xll.BDP($A11,E$6)</f>
        <v>Common Stock</v>
      </c>
      <c r="F11" s="74">
        <f>+_xll.BDP($A11,F$6,"EQY_FUND_CRNCY=USD", "SCALING_FORMAT=MMM")</f>
        <v>274.33925907850005</v>
      </c>
      <c r="G11" s="75" t="str">
        <f>+_xll.BDP($A11,G$6)</f>
        <v>US</v>
      </c>
      <c r="H11" s="75" t="str">
        <f>+_xll.BDP($A11,H$6)</f>
        <v>US</v>
      </c>
      <c r="I11" s="76">
        <f>+_xll.BDP($A11,I$6)</f>
        <v>3.95652174949646</v>
      </c>
      <c r="J11" s="77">
        <f>+_xll.BDP($A11,J$6,"BETA_OVERRIDE_REL_INDEX=SPX INDEX")</f>
        <v>1.1126155968985783</v>
      </c>
      <c r="K11" s="76">
        <f>+_xll.BDP($A11,K$6)</f>
        <v>2.2329940000000001</v>
      </c>
      <c r="L11" s="76" t="str">
        <f>+_xll.BDP($A11,L$6)</f>
        <v>USD</v>
      </c>
      <c r="M11" s="74">
        <f>+_xll.BDP($A11,M$6)</f>
        <v>27.24</v>
      </c>
      <c r="N11" s="74">
        <f>+_xll.BDP($A11,N$6)</f>
        <v>2.97749</v>
      </c>
      <c r="O11" s="78">
        <f>+_xll.BDP($A11,O$6)/100</f>
        <v>7.5799450000000004E-2</v>
      </c>
      <c r="P11" s="78">
        <f>+_xll.BDP($A11,P$6)/100</f>
        <v>0.1551505</v>
      </c>
      <c r="Q11" s="78">
        <f>+_xll.BDP($A11,Q$6)/100</f>
        <v>9.7904930000000001E-2</v>
      </c>
      <c r="R11" s="78">
        <f>+_xll.BDP($A11,R$6)/100</f>
        <v>2.5978940000000002E-2</v>
      </c>
      <c r="S11" s="79">
        <f>+_xll.BDP($A11,S$6)</f>
        <v>9.1520038690306258</v>
      </c>
      <c r="T11" s="79">
        <f>+_xll.BDP($A11,T$6)</f>
        <v>3.3773862580370801</v>
      </c>
      <c r="U11" s="79">
        <f>+_xll.BDP($A11,U$6)</f>
        <v>36.85111392250915</v>
      </c>
      <c r="V11" s="79">
        <f>+_xll.BDP($A11,V$6)</f>
        <v>18.144116473063573</v>
      </c>
      <c r="W11" s="79">
        <f>+_xll.BDP($A11,W$6)</f>
        <v>11.129753536610941</v>
      </c>
      <c r="X11" s="79">
        <f>+_xll.BDP($A11,X$6)</f>
        <v>10.305728261090175</v>
      </c>
      <c r="Y11" s="79">
        <f>+_xll.BDP($A11,Y$6)</f>
        <v>146.46613024635872</v>
      </c>
      <c r="Z11" s="79">
        <f>+_xll.BDP($A11,Z$6)</f>
        <v>48.996665330190986</v>
      </c>
      <c r="AA11" s="79">
        <f>+_xll.BDP($A11,AA$6)</f>
        <v>1.7304091721889134</v>
      </c>
    </row>
    <row r="12" spans="1:27" x14ac:dyDescent="0.2">
      <c r="A12" s="80" t="s">
        <v>749</v>
      </c>
      <c r="B12" s="74" t="str">
        <f>+_xll.BDP($A12,B$6)</f>
        <v>WAL-MART STORES</v>
      </c>
      <c r="C12" s="74" t="str">
        <f>+_xll.BDP($A12,C$6)</f>
        <v>US9311421039</v>
      </c>
      <c r="D12" s="74" t="str">
        <f>+_xll.BDP($A12,D$6)</f>
        <v>BBG000BWXBC2</v>
      </c>
      <c r="E12" s="74" t="str">
        <f>+_xll.BDP($A12,E$6)</f>
        <v>Common Stock</v>
      </c>
      <c r="F12" s="74">
        <f>+_xll.BDP($A12,F$6,"EQY_FUND_CRNCY=USD", "SCALING_FORMAT=MMM")</f>
        <v>251.24575933775998</v>
      </c>
      <c r="G12" s="75" t="str">
        <f>+_xll.BDP($A12,G$6)</f>
        <v>US</v>
      </c>
      <c r="H12" s="75" t="str">
        <f>+_xll.BDP($A12,H$6)</f>
        <v>US</v>
      </c>
      <c r="I12" s="76">
        <f>+_xll.BDP($A12,I$6)</f>
        <v>3.2857143878936768</v>
      </c>
      <c r="J12" s="77">
        <f>+_xll.BDP($A12,J$6,"BETA_OVERRIDE_REL_INDEX=SPX INDEX")</f>
        <v>0.69728044356240382</v>
      </c>
      <c r="K12" s="76">
        <f>+_xll.BDP($A12,K$6)</f>
        <v>2.4481850000000001</v>
      </c>
      <c r="L12" s="76" t="str">
        <f>+_xll.BDP($A12,L$6)</f>
        <v>USD</v>
      </c>
      <c r="M12" s="74">
        <f>+_xll.BDP($A12,M$6)</f>
        <v>77.88</v>
      </c>
      <c r="N12" s="74">
        <f>+_xll.BDP($A12,N$6)</f>
        <v>5.04</v>
      </c>
      <c r="O12" s="78">
        <f>+_xll.BDP($A12,O$6)/100</f>
        <v>-4.4651579999999996E-2</v>
      </c>
      <c r="P12" s="78">
        <f>+_xll.BDP($A12,P$6)/100</f>
        <v>-0.1024547</v>
      </c>
      <c r="Q12" s="78">
        <f>+_xll.BDP($A12,Q$6)/100</f>
        <v>5.1012170000000003E-2</v>
      </c>
      <c r="R12" s="78">
        <f>+_xll.BDP($A12,R$6)/100</f>
        <v>2.8328140000000003E-3</v>
      </c>
      <c r="S12" s="79">
        <f>+_xll.BDP($A12,S$6)</f>
        <v>15.452380407424201</v>
      </c>
      <c r="T12" s="79">
        <f>+_xll.BDP($A12,T$6)</f>
        <v>2.5166923961825538</v>
      </c>
      <c r="U12" s="79">
        <f>+_xll.BDP($A12,U$6)</f>
        <v>24.825440491216945</v>
      </c>
      <c r="V12" s="79">
        <f>+_xll.BDP($A12,V$6)</f>
        <v>7.4786214792103785</v>
      </c>
      <c r="W12" s="79">
        <f>+_xll.BDP($A12,W$6)</f>
        <v>5.5898165555100263</v>
      </c>
      <c r="X12" s="79">
        <f>+_xll.BDP($A12,X$6)</f>
        <v>3.3692919400969008</v>
      </c>
      <c r="Y12" s="79">
        <f>+_xll.BDP($A12,Y$6)</f>
        <v>50.84189580739379</v>
      </c>
      <c r="Z12" s="79">
        <f>+_xll.BDP($A12,Z$6)</f>
        <v>32.05152657756129</v>
      </c>
      <c r="AA12" s="79">
        <f>+_xll.BDP($A12,AA$6)</f>
        <v>10.772619047619047</v>
      </c>
    </row>
    <row r="13" spans="1:27" x14ac:dyDescent="0.2">
      <c r="A13" s="80" t="s">
        <v>750</v>
      </c>
      <c r="B13" s="74" t="str">
        <f>+_xll.BDP($A13,B$6)</f>
        <v>JPMORGAN CHASE</v>
      </c>
      <c r="C13" s="74" t="str">
        <f>+_xll.BDP($A13,C$6)</f>
        <v>US46625H1005</v>
      </c>
      <c r="D13" s="74" t="str">
        <f>+_xll.BDP($A13,D$6)</f>
        <v>BBG000DMBXR2</v>
      </c>
      <c r="E13" s="74" t="str">
        <f>+_xll.BDP($A13,E$6)</f>
        <v>Common Stock</v>
      </c>
      <c r="F13" s="74">
        <f>+_xll.BDP($A13,F$6,"EQY_FUND_CRNCY=USD", "SCALING_FORMAT=MMM")</f>
        <v>234.28716095620001</v>
      </c>
      <c r="G13" s="75" t="str">
        <f>+_xll.BDP($A13,G$6)</f>
        <v>US</v>
      </c>
      <c r="H13" s="75" t="str">
        <f>+_xll.BDP($A13,H$6)</f>
        <v>US</v>
      </c>
      <c r="I13" s="76">
        <f>+_xll.BDP($A13,I$6)</f>
        <v>4.5749998092651367</v>
      </c>
      <c r="J13" s="77">
        <f>+_xll.BDP($A13,J$6,"BETA_OVERRIDE_REL_INDEX=SPX INDEX")</f>
        <v>1.2155696235231481</v>
      </c>
      <c r="K13" s="76">
        <f>+_xll.BDP($A13,K$6)</f>
        <v>2.0035980000000002</v>
      </c>
      <c r="L13" s="76" t="str">
        <f>+_xll.BDP($A13,L$6)</f>
        <v>USD</v>
      </c>
      <c r="M13" s="74">
        <f>+_xll.BDP($A13,M$6)</f>
        <v>62.85</v>
      </c>
      <c r="N13" s="74">
        <f>+_xll.BDP($A13,N$6)</f>
        <v>6.1624300000000005</v>
      </c>
      <c r="O13" s="78">
        <f>+_xll.BDP($A13,O$6)/100</f>
        <v>2.6797369999999997E-2</v>
      </c>
      <c r="P13" s="78">
        <f>+_xll.BDP($A13,P$6)/100</f>
        <v>0.1235473</v>
      </c>
      <c r="Q13" s="78">
        <f>+_xll.BDP($A13,Q$6)/100</f>
        <v>0.11814949999999999</v>
      </c>
      <c r="R13" s="78">
        <f>+_xll.BDP($A13,R$6)/100</f>
        <v>0.13799349999999999</v>
      </c>
      <c r="S13" s="79">
        <f>+_xll.BDP($A13,S$6)</f>
        <v>10.197276099296525</v>
      </c>
      <c r="T13" s="79">
        <f>+_xll.BDP($A13,T$6)</f>
        <v>2.5461489876541341</v>
      </c>
      <c r="U13" s="79" t="str">
        <f>+_xll.BDP($A13,U$6)</f>
        <v>#N/A N/A</v>
      </c>
      <c r="V13" s="79" t="str">
        <f>+_xll.BDP($A13,V$6)</f>
        <v>#N/A N/A</v>
      </c>
      <c r="W13" s="79">
        <f>+_xll.BDP($A13,W$6)</f>
        <v>31.624648373228599</v>
      </c>
      <c r="X13" s="79">
        <f>+_xll.BDP($A13,X$6)</f>
        <v>23.100684677034128</v>
      </c>
      <c r="Y13" s="79">
        <f>+_xll.BDP($A13,Y$6)</f>
        <v>125.31661387973196</v>
      </c>
      <c r="Z13" s="79">
        <f>+_xll.BDP($A13,Z$6)</f>
        <v>31.215859532066947</v>
      </c>
      <c r="AA13" s="79" t="str">
        <f>+_xll.BDP($A13,AA$6)</f>
        <v>#N/A N/A</v>
      </c>
    </row>
    <row r="14" spans="1:27" x14ac:dyDescent="0.2">
      <c r="A14" s="80" t="s">
        <v>751</v>
      </c>
      <c r="B14" s="74" t="str">
        <f>+_xll.BDP($A14,B$6)</f>
        <v>PROCTER &amp; GAMBLE</v>
      </c>
      <c r="C14" s="74" t="str">
        <f>+_xll.BDP($A14,C$6)</f>
        <v>US7427181091</v>
      </c>
      <c r="D14" s="74" t="str">
        <f>+_xll.BDP($A14,D$6)</f>
        <v>BBG000BR2TH3</v>
      </c>
      <c r="E14" s="74" t="str">
        <f>+_xll.BDP($A14,E$6)</f>
        <v>Common Stock</v>
      </c>
      <c r="F14" s="74">
        <f>+_xll.BDP($A14,F$6,"EQY_FUND_CRNCY=USD", "SCALING_FORMAT=MMM")</f>
        <v>222.87307990122</v>
      </c>
      <c r="G14" s="75" t="str">
        <f>+_xll.BDP($A14,G$6)</f>
        <v>US</v>
      </c>
      <c r="H14" s="75" t="str">
        <f>+_xll.BDP($A14,H$6)</f>
        <v>US</v>
      </c>
      <c r="I14" s="76">
        <f>+_xll.BDP($A14,I$6)</f>
        <v>3.625</v>
      </c>
      <c r="J14" s="77">
        <f>+_xll.BDP($A14,J$6,"BETA_OVERRIDE_REL_INDEX=SPX INDEX")</f>
        <v>0.60699269032041692</v>
      </c>
      <c r="K14" s="76">
        <f>+_xll.BDP($A14,K$6)</f>
        <v>1.5691120000000001</v>
      </c>
      <c r="L14" s="76" t="str">
        <f>+_xll.BDP($A14,L$6)</f>
        <v>USD</v>
      </c>
      <c r="M14" s="74">
        <f>+_xll.BDP($A14,M$6)</f>
        <v>82.56</v>
      </c>
      <c r="N14" s="74">
        <f>+_xll.BDP($A14,N$6)</f>
        <v>4.0928640000000005</v>
      </c>
      <c r="O14" s="78">
        <f>+_xll.BDP($A14,O$6)/100</f>
        <v>-1.019426E-2</v>
      </c>
      <c r="P14" s="78">
        <f>+_xll.BDP($A14,P$6)/100</f>
        <v>-9.5561640000000003E-2</v>
      </c>
      <c r="Q14" s="78">
        <f>+_xll.BDP($A14,Q$6)/100</f>
        <v>-8.8867140000000004E-3</v>
      </c>
      <c r="R14" s="78">
        <f>+_xll.BDP($A14,R$6)/100</f>
        <v>9.4177819999999995E-3</v>
      </c>
      <c r="S14" s="79">
        <f>+_xll.BDP($A14,S$6)</f>
        <v>20.164363824279739</v>
      </c>
      <c r="T14" s="79">
        <f>+_xll.BDP($A14,T$6)</f>
        <v>3.2121137299009126</v>
      </c>
      <c r="U14" s="79">
        <f>+_xll.BDP($A14,U$6)</f>
        <v>48.881558354000632</v>
      </c>
      <c r="V14" s="79">
        <f>+_xll.BDP($A14,V$6)</f>
        <v>20.497373544429344</v>
      </c>
      <c r="W14" s="79">
        <f>+_xll.BDP($A14,W$6)</f>
        <v>18.405528400471937</v>
      </c>
      <c r="X14" s="79">
        <f>+_xll.BDP($A14,X$6)</f>
        <v>14.0172401338759</v>
      </c>
      <c r="Y14" s="79">
        <f>+_xll.BDP($A14,Y$6)</f>
        <v>28.311135246370185</v>
      </c>
      <c r="Z14" s="79">
        <f>+_xll.BDP($A14,Z$6)</f>
        <v>18.79726357537977</v>
      </c>
      <c r="AA14" s="79">
        <f>+_xll.BDP($A14,AA$6)</f>
        <v>21.562764456981665</v>
      </c>
    </row>
    <row r="15" spans="1:27" x14ac:dyDescent="0.2">
      <c r="A15" s="80" t="s">
        <v>752</v>
      </c>
      <c r="B15" s="74" t="str">
        <f>+_xll.BDP($A15,B$6)</f>
        <v>PFIZER INC</v>
      </c>
      <c r="C15" s="74" t="str">
        <f>+_xll.BDP($A15,C$6)</f>
        <v>US7170811035</v>
      </c>
      <c r="D15" s="74" t="str">
        <f>+_xll.BDP($A15,D$6)</f>
        <v>BBG000BR2B91</v>
      </c>
      <c r="E15" s="74" t="str">
        <f>+_xll.BDP($A15,E$6)</f>
        <v>Common Stock</v>
      </c>
      <c r="F15" s="74">
        <f>+_xll.BDP($A15,F$6,"EQY_FUND_CRNCY=USD", "SCALING_FORMAT=MMM")</f>
        <v>215.15728857311998</v>
      </c>
      <c r="G15" s="75" t="str">
        <f>+_xll.BDP($A15,G$6)</f>
        <v>US</v>
      </c>
      <c r="H15" s="75" t="str">
        <f>+_xll.BDP($A15,H$6)</f>
        <v>US</v>
      </c>
      <c r="I15" s="76">
        <f>+_xll.BDP($A15,I$6)</f>
        <v>4.1599998474121094</v>
      </c>
      <c r="J15" s="77">
        <f>+_xll.BDP($A15,J$6,"BETA_OVERRIDE_REL_INDEX=SPX INDEX")</f>
        <v>0.95692855537149091</v>
      </c>
      <c r="K15" s="76">
        <f>+_xll.BDP($A15,K$6)</f>
        <v>4.0972099999999996</v>
      </c>
      <c r="L15" s="76" t="str">
        <f>+_xll.BDP($A15,L$6)</f>
        <v>USD</v>
      </c>
      <c r="M15" s="74">
        <f>+_xll.BDP($A15,M$6)</f>
        <v>35.01</v>
      </c>
      <c r="N15" s="74">
        <f>+_xll.BDP($A15,N$6)</f>
        <v>1.8712710000000001</v>
      </c>
      <c r="O15" s="78">
        <f>+_xll.BDP($A15,O$6)/100</f>
        <v>2.606145E-2</v>
      </c>
      <c r="P15" s="78">
        <f>+_xll.BDP($A15,P$6)/100</f>
        <v>6.8292710000000006E-2</v>
      </c>
      <c r="Q15" s="78">
        <f>+_xll.BDP($A15,Q$6)/100</f>
        <v>0.25907289999999999</v>
      </c>
      <c r="R15" s="78">
        <f>+_xll.BDP($A15,R$6)/100</f>
        <v>0.15834709999999999</v>
      </c>
      <c r="S15" s="79">
        <f>+_xll.BDP($A15,S$6)</f>
        <v>18.72524124807542</v>
      </c>
      <c r="T15" s="79">
        <f>+_xll.BDP($A15,T$6)</f>
        <v>3.1990859890556176</v>
      </c>
      <c r="U15" s="79">
        <f>+_xll.BDP($A15,U$6)</f>
        <v>80.693478479991938</v>
      </c>
      <c r="V15" s="79">
        <f>+_xll.BDP($A15,V$6)</f>
        <v>37.873198266303795</v>
      </c>
      <c r="W15" s="79">
        <f>+_xll.BDP($A15,W$6)</f>
        <v>26.709001108759196</v>
      </c>
      <c r="X15" s="79">
        <f>+_xll.BDP($A15,X$6)</f>
        <v>18.417498236064915</v>
      </c>
      <c r="Y15" s="79">
        <f>+_xll.BDP($A15,Y$6)</f>
        <v>44.038759581686939</v>
      </c>
      <c r="Z15" s="79">
        <f>+_xll.BDP($A15,Z$6)</f>
        <v>29.122923649391058</v>
      </c>
      <c r="AA15" s="79">
        <f>+_xll.BDP($A15,AA$6)</f>
        <v>9.456816559600286</v>
      </c>
    </row>
    <row r="16" spans="1:27" x14ac:dyDescent="0.2">
      <c r="A16" s="80" t="s">
        <v>740</v>
      </c>
      <c r="B16" s="74" t="str">
        <f>+_xll.BDP($A16,B$6)</f>
        <v>CHEVRON CORP</v>
      </c>
      <c r="C16" s="74" t="str">
        <f>+_xll.BDP($A16,C$6)</f>
        <v>US1667641005</v>
      </c>
      <c r="D16" s="74" t="str">
        <f>+_xll.BDP($A16,D$6)</f>
        <v>BBG000K4ND22</v>
      </c>
      <c r="E16" s="74" t="str">
        <f>+_xll.BDP($A16,E$6)</f>
        <v>Common Stock</v>
      </c>
      <c r="F16" s="74">
        <f>+_xll.BDP($A16,F$6,"EQY_FUND_CRNCY=USD", "SCALING_FORMAT=MMM")</f>
        <v>205.17892304721002</v>
      </c>
      <c r="G16" s="75" t="str">
        <f>+_xll.BDP($A16,G$6)</f>
        <v>US</v>
      </c>
      <c r="H16" s="75" t="str">
        <f>+_xll.BDP($A16,H$6)</f>
        <v>US</v>
      </c>
      <c r="I16" s="76">
        <f>+_xll.BDP($A16,I$6)</f>
        <v>3.5517241954803467</v>
      </c>
      <c r="J16" s="77">
        <f>+_xll.BDP($A16,J$6,"BETA_OVERRIDE_REL_INDEX=SPX INDEX")</f>
        <v>1.2471668821962956</v>
      </c>
      <c r="K16" s="76">
        <f>+_xll.BDP($A16,K$6)</f>
        <v>2.632317</v>
      </c>
      <c r="L16" s="76" t="str">
        <f>+_xll.BDP($A16,L$6)</f>
        <v>USD</v>
      </c>
      <c r="M16" s="74">
        <f>+_xll.BDP($A16,M$6)</f>
        <v>109.14</v>
      </c>
      <c r="N16" s="74">
        <f>+_xll.BDP($A16,N$6)</f>
        <v>10.156693000000001</v>
      </c>
      <c r="O16" s="78">
        <f>+_xll.BDP($A16,O$6)/100</f>
        <v>4.1622909999999999E-2</v>
      </c>
      <c r="P16" s="78">
        <f>+_xll.BDP($A16,P$6)/100</f>
        <v>3.7956589999999998E-2</v>
      </c>
      <c r="Q16" s="78">
        <f>+_xll.BDP($A16,Q$6)/100</f>
        <v>-2.4060850000000002E-2</v>
      </c>
      <c r="R16" s="78">
        <f>+_xll.BDP($A16,R$6)/100</f>
        <v>-0.11780400000000001</v>
      </c>
      <c r="S16" s="79">
        <f>+_xll.BDP($A16,S$6)</f>
        <v>10.742669942898891</v>
      </c>
      <c r="T16" s="79">
        <f>+_xll.BDP($A16,T$6)</f>
        <v>3.9215688196887935</v>
      </c>
      <c r="U16" s="79">
        <f>+_xll.BDP($A16,U$6)</f>
        <v>13.626578197474881</v>
      </c>
      <c r="V16" s="79">
        <f>+_xll.BDP($A16,V$6)</f>
        <v>18.989849616240615</v>
      </c>
      <c r="W16" s="79">
        <f>+_xll.BDP($A16,W$6)</f>
        <v>10.257503587994259</v>
      </c>
      <c r="X16" s="79">
        <f>+_xll.BDP($A16,X$6)</f>
        <v>10.005303991513612</v>
      </c>
      <c r="Y16" s="79">
        <f>+_xll.BDP($A16,Y$6)</f>
        <v>15.38372889603114</v>
      </c>
      <c r="Z16" s="79">
        <f>+_xll.BDP($A16,Z$6)</f>
        <v>13.058056942866925</v>
      </c>
      <c r="AA16" s="79">
        <f>+_xll.BDP($A16,AA$6)</f>
        <v>27.550279329608937</v>
      </c>
    </row>
    <row r="17" spans="1:27" x14ac:dyDescent="0.2">
      <c r="A17" s="80" t="s">
        <v>753</v>
      </c>
      <c r="B17" s="74" t="str">
        <f>+_xll.BDP($A17,B$6)</f>
        <v>VERIZON COMMUNIC</v>
      </c>
      <c r="C17" s="74" t="str">
        <f>+_xll.BDP($A17,C$6)</f>
        <v>US92343V1044</v>
      </c>
      <c r="D17" s="74" t="str">
        <f>+_xll.BDP($A17,D$6)</f>
        <v>BBG000HS77T5</v>
      </c>
      <c r="E17" s="74" t="str">
        <f>+_xll.BDP($A17,E$6)</f>
        <v>Common Stock</v>
      </c>
      <c r="F17" s="74">
        <f>+_xll.BDP($A17,F$6,"EQY_FUND_CRNCY=USD", "SCALING_FORMAT=MMM")</f>
        <v>199.512</v>
      </c>
      <c r="G17" s="75" t="str">
        <f>+_xll.BDP($A17,G$6)</f>
        <v>US</v>
      </c>
      <c r="H17" s="75" t="str">
        <f>+_xll.BDP($A17,H$6)</f>
        <v>US</v>
      </c>
      <c r="I17" s="76">
        <f>+_xll.BDP($A17,I$6)</f>
        <v>4.0256409645080566</v>
      </c>
      <c r="J17" s="77">
        <f>+_xll.BDP($A17,J$6,"BETA_OVERRIDE_REL_INDEX=SPX INDEX")</f>
        <v>0.79360836766277554</v>
      </c>
      <c r="K17" s="76">
        <f>+_xll.BDP($A17,K$6)</f>
        <v>6.2457310000000001</v>
      </c>
      <c r="L17" s="76" t="str">
        <f>+_xll.BDP($A17,L$6)</f>
        <v>USD</v>
      </c>
      <c r="M17" s="74">
        <f>+_xll.BDP($A17,M$6)</f>
        <v>48.92</v>
      </c>
      <c r="N17" s="74">
        <f>+_xll.BDP($A17,N$6)</f>
        <v>3.3485</v>
      </c>
      <c r="O17" s="78">
        <f>+_xll.BDP($A17,O$6)/100</f>
        <v>-8.1135749999999996E-3</v>
      </c>
      <c r="P17" s="78">
        <f>+_xll.BDP($A17,P$6)/100</f>
        <v>1.896225E-2</v>
      </c>
      <c r="Q17" s="78">
        <f>+_xll.BDP($A17,Q$6)/100</f>
        <v>1.7266490000000002E-2</v>
      </c>
      <c r="R17" s="78">
        <f>+_xll.BDP($A17,R$6)/100</f>
        <v>2.7310959999999999E-2</v>
      </c>
      <c r="S17" s="79">
        <f>+_xll.BDP($A17,S$6)</f>
        <v>14.603554285763447</v>
      </c>
      <c r="T17" s="79">
        <f>+_xll.BDP($A17,T$6)</f>
        <v>4.4980577544136491</v>
      </c>
      <c r="U17" s="79">
        <f>+_xll.BDP($A17,U$6)</f>
        <v>60.708693017729132</v>
      </c>
      <c r="V17" s="79">
        <f>+_xll.BDP($A17,V$6)</f>
        <v>28.432707213623022</v>
      </c>
      <c r="W17" s="79">
        <f>+_xll.BDP($A17,W$6)</f>
        <v>15.422689822866092</v>
      </c>
      <c r="X17" s="79">
        <f>+_xll.BDP($A17,X$6)</f>
        <v>7.5740287537673412</v>
      </c>
      <c r="Y17" s="79">
        <f>+_xll.BDP($A17,Y$6)</f>
        <v>808.24802573852003</v>
      </c>
      <c r="Z17" s="79">
        <f>+_xll.BDP($A17,Z$6)</f>
        <v>87.072557839098209</v>
      </c>
      <c r="AA17" s="79">
        <f>+_xll.BDP($A17,AA$6)</f>
        <v>3.7042147042147042</v>
      </c>
    </row>
    <row r="18" spans="1:27" x14ac:dyDescent="0.2">
      <c r="A18" s="80" t="s">
        <v>754</v>
      </c>
      <c r="B18" s="74" t="str">
        <f>+_xll.BDP($A18,B$6)</f>
        <v>WALT DISNEY CO</v>
      </c>
      <c r="C18" s="74" t="str">
        <f>+_xll.BDP($A18,C$6)</f>
        <v>US2546871060</v>
      </c>
      <c r="D18" s="74" t="str">
        <f>+_xll.BDP($A18,D$6)</f>
        <v>BBG000BH4R78</v>
      </c>
      <c r="E18" s="74" t="str">
        <f>+_xll.BDP($A18,E$6)</f>
        <v>Common Stock</v>
      </c>
      <c r="F18" s="74">
        <f>+_xll.BDP($A18,F$6,"EQY_FUND_CRNCY=USD", "SCALING_FORMAT=MMM")</f>
        <v>181.32641711888999</v>
      </c>
      <c r="G18" s="75" t="str">
        <f>+_xll.BDP($A18,G$6)</f>
        <v>US</v>
      </c>
      <c r="H18" s="75" t="str">
        <f>+_xll.BDP($A18,H$6)</f>
        <v>US</v>
      </c>
      <c r="I18" s="76">
        <f>+_xll.BDP($A18,I$6)</f>
        <v>4.1578946113586426</v>
      </c>
      <c r="J18" s="77">
        <f>+_xll.BDP($A18,J$6,"BETA_OVERRIDE_REL_INDEX=SPX INDEX")</f>
        <v>1.159905576822577</v>
      </c>
      <c r="K18" s="76">
        <f>+_xll.BDP($A18,K$6)</f>
        <v>7.4204819999999998</v>
      </c>
      <c r="L18" s="76" t="str">
        <f>+_xll.BDP($A18,L$6)</f>
        <v>USD</v>
      </c>
      <c r="M18" s="74">
        <f>+_xll.BDP($A18,M$6)</f>
        <v>106.7</v>
      </c>
      <c r="N18" s="74">
        <f>+_xll.BDP($A18,N$6)</f>
        <v>4.5478719999999999</v>
      </c>
      <c r="O18" s="78">
        <f>+_xll.BDP($A18,O$6)/100</f>
        <v>-6.3332659999999997E-3</v>
      </c>
      <c r="P18" s="78">
        <f>+_xll.BDP($A18,P$6)/100</f>
        <v>0.12092879999999999</v>
      </c>
      <c r="Q18" s="78">
        <f>+_xll.BDP($A18,Q$6)/100</f>
        <v>0.27269469999999996</v>
      </c>
      <c r="R18" s="78">
        <f>+_xll.BDP($A18,R$6)/100</f>
        <v>0.33379179999999997</v>
      </c>
      <c r="S18" s="79">
        <f>+_xll.BDP($A18,S$6)</f>
        <v>23.459323930270301</v>
      </c>
      <c r="T18" s="79">
        <f>+_xll.BDP($A18,T$6)</f>
        <v>1.0778891893880795</v>
      </c>
      <c r="U18" s="79">
        <f>+_xll.BDP($A18,U$6)</f>
        <v>45.875074263003711</v>
      </c>
      <c r="V18" s="79">
        <f>+_xll.BDP($A18,V$6)</f>
        <v>28.547950696462571</v>
      </c>
      <c r="W18" s="79">
        <f>+_xll.BDP($A18,W$6)</f>
        <v>23.290926597422818</v>
      </c>
      <c r="X18" s="79">
        <f>+_xll.BDP($A18,X$6)</f>
        <v>15.366808022453036</v>
      </c>
      <c r="Y18" s="79">
        <f>+_xll.BDP($A18,Y$6)</f>
        <v>26.310764249242389</v>
      </c>
      <c r="Z18" s="79">
        <f>+_xll.BDP($A18,Z$6)</f>
        <v>20.114887809832112</v>
      </c>
      <c r="AA18" s="79">
        <f>+_xll.BDP($A18,AA$6)</f>
        <v>30.978201634877383</v>
      </c>
    </row>
    <row r="19" spans="1:27" x14ac:dyDescent="0.2">
      <c r="A19" s="80" t="s">
        <v>755</v>
      </c>
      <c r="B19" s="74" t="str">
        <f>+_xll.BDP($A19,B$6)</f>
        <v>COCA-COLA CO/THE</v>
      </c>
      <c r="C19" s="74" t="str">
        <f>+_xll.BDP($A19,C$6)</f>
        <v>US1912161007</v>
      </c>
      <c r="D19" s="74" t="str">
        <f>+_xll.BDP($A19,D$6)</f>
        <v>BBG000BMX289</v>
      </c>
      <c r="E19" s="74" t="str">
        <f>+_xll.BDP($A19,E$6)</f>
        <v>Common Stock</v>
      </c>
      <c r="F19" s="74">
        <f>+_xll.BDP($A19,F$6,"EQY_FUND_CRNCY=USD", "SCALING_FORMAT=MMM")</f>
        <v>176.05026133109999</v>
      </c>
      <c r="G19" s="75" t="str">
        <f>+_xll.BDP($A19,G$6)</f>
        <v>US</v>
      </c>
      <c r="H19" s="75" t="str">
        <f>+_xll.BDP($A19,H$6)</f>
        <v>US</v>
      </c>
      <c r="I19" s="76">
        <f>+_xll.BDP($A19,I$6)</f>
        <v>3.71875</v>
      </c>
      <c r="J19" s="77">
        <f>+_xll.BDP($A19,J$6,"BETA_OVERRIDE_REL_INDEX=SPX INDEX")</f>
        <v>0.73993318922920492</v>
      </c>
      <c r="K19" s="76">
        <f>+_xll.BDP($A19,K$6)</f>
        <v>1.6979949999999999</v>
      </c>
      <c r="L19" s="76" t="str">
        <f>+_xll.BDP($A19,L$6)</f>
        <v>USD</v>
      </c>
      <c r="M19" s="74">
        <f>+_xll.BDP($A19,M$6)</f>
        <v>40.31</v>
      </c>
      <c r="N19" s="74">
        <f>+_xll.BDP($A19,N$6)</f>
        <v>1.9955049999999999</v>
      </c>
      <c r="O19" s="78">
        <f>+_xll.BDP($A19,O$6)/100</f>
        <v>6.9964899999999993E-3</v>
      </c>
      <c r="P19" s="78">
        <f>+_xll.BDP($A19,P$6)/100</f>
        <v>-5.2433550000000002E-2</v>
      </c>
      <c r="Q19" s="78">
        <f>+_xll.BDP($A19,Q$6)/100</f>
        <v>-6.0167930000000001E-2</v>
      </c>
      <c r="R19" s="78">
        <f>+_xll.BDP($A19,R$6)/100</f>
        <v>-1.031437E-2</v>
      </c>
      <c r="S19" s="79">
        <f>+_xll.BDP($A19,S$6)</f>
        <v>20.195388754756589</v>
      </c>
      <c r="T19" s="79">
        <f>+_xll.BDP($A19,T$6)</f>
        <v>3.2754343733302416</v>
      </c>
      <c r="U19" s="79">
        <f>+_xll.BDP($A19,U$6)</f>
        <v>61.10917865994174</v>
      </c>
      <c r="V19" s="79">
        <f>+_xll.BDP($A19,V$6)</f>
        <v>25.401104395843298</v>
      </c>
      <c r="W19" s="79">
        <f>+_xll.BDP($A19,W$6)</f>
        <v>21.105265446323752</v>
      </c>
      <c r="X19" s="79">
        <f>+_xll.BDP($A19,X$6)</f>
        <v>15.431105700247837</v>
      </c>
      <c r="Y19" s="79">
        <f>+_xll.BDP($A19,Y$6)</f>
        <v>62.376885573116056</v>
      </c>
      <c r="Z19" s="79">
        <f>+_xll.BDP($A19,Z$6)</f>
        <v>26.364340442010342</v>
      </c>
      <c r="AA19" s="79">
        <f>+_xll.BDP($A19,AA$6)</f>
        <v>20.099378881987576</v>
      </c>
    </row>
    <row r="20" spans="1:27" x14ac:dyDescent="0.2">
      <c r="A20" s="80" t="s">
        <v>756</v>
      </c>
      <c r="B20" s="74" t="str">
        <f>+_xll.BDP($A20,B$6)</f>
        <v>MERCK &amp; CO</v>
      </c>
      <c r="C20" s="74" t="str">
        <f>+_xll.BDP($A20,C$6)</f>
        <v>US58933Y1055</v>
      </c>
      <c r="D20" s="74" t="str">
        <f>+_xll.BDP($A20,D$6)</f>
        <v>BBG000BPD168</v>
      </c>
      <c r="E20" s="74" t="str">
        <f>+_xll.BDP($A20,E$6)</f>
        <v>Common Stock</v>
      </c>
      <c r="F20" s="74">
        <f>+_xll.BDP($A20,F$6,"EQY_FUND_CRNCY=USD", "SCALING_FORMAT=MMM")</f>
        <v>160.88242671864</v>
      </c>
      <c r="G20" s="75" t="str">
        <f>+_xll.BDP($A20,G$6)</f>
        <v>US</v>
      </c>
      <c r="H20" s="75" t="str">
        <f>+_xll.BDP($A20,H$6)</f>
        <v>US</v>
      </c>
      <c r="I20" s="76">
        <f>+_xll.BDP($A20,I$6)</f>
        <v>3.95652174949646</v>
      </c>
      <c r="J20" s="77">
        <f>+_xll.BDP($A20,J$6,"BETA_OVERRIDE_REL_INDEX=SPX INDEX")</f>
        <v>0.66354092831464784</v>
      </c>
      <c r="K20" s="76">
        <f>+_xll.BDP($A20,K$6)</f>
        <v>2.5185940000000002</v>
      </c>
      <c r="L20" s="76" t="str">
        <f>+_xll.BDP($A20,L$6)</f>
        <v>USD</v>
      </c>
      <c r="M20" s="74">
        <f>+_xll.BDP($A20,M$6)</f>
        <v>56.9</v>
      </c>
      <c r="N20" s="74">
        <f>+_xll.BDP($A20,N$6)</f>
        <v>2.0129479999999997</v>
      </c>
      <c r="O20" s="78">
        <f>+_xll.BDP($A20,O$6)/100</f>
        <v>-2.2848290000000004E-2</v>
      </c>
      <c r="P20" s="78">
        <f>+_xll.BDP($A20,P$6)/100</f>
        <v>-9.7572569999999997E-2</v>
      </c>
      <c r="Q20" s="78">
        <f>+_xll.BDP($A20,Q$6)/100</f>
        <v>5.294335E-2</v>
      </c>
      <c r="R20" s="78">
        <f>+_xll.BDP($A20,R$6)/100</f>
        <v>7.2604709999999992E-3</v>
      </c>
      <c r="S20" s="79">
        <f>+_xll.BDP($A20,S$6)</f>
        <v>28.25706429978084</v>
      </c>
      <c r="T20" s="79">
        <f>+_xll.BDP($A20,T$6)</f>
        <v>3.1640006192938728</v>
      </c>
      <c r="U20" s="79">
        <f>+_xll.BDP($A20,U$6)</f>
        <v>60.300210715723182</v>
      </c>
      <c r="V20" s="79">
        <f>+_xll.BDP($A20,V$6)</f>
        <v>29.265809598219573</v>
      </c>
      <c r="W20" s="79">
        <f>+_xll.BDP($A20,W$6)</f>
        <v>13.424248881312591</v>
      </c>
      <c r="X20" s="79">
        <f>+_xll.BDP($A20,X$6)</f>
        <v>28.221701351895256</v>
      </c>
      <c r="Y20" s="79">
        <f>+_xll.BDP($A20,Y$6)</f>
        <v>38.324691029083233</v>
      </c>
      <c r="Z20" s="79">
        <f>+_xll.BDP($A20,Z$6)</f>
        <v>26.639028976835625</v>
      </c>
      <c r="AA20" s="79">
        <f>+_xll.BDP($A20,AA$6)</f>
        <v>7.7459016393442619</v>
      </c>
    </row>
    <row r="21" spans="1:27" x14ac:dyDescent="0.2">
      <c r="A21" s="80" t="s">
        <v>757</v>
      </c>
      <c r="B21" s="74" t="str">
        <f>+_xll.BDP($A21,B$6)</f>
        <v>IBM</v>
      </c>
      <c r="C21" s="74" t="str">
        <f>+_xll.BDP($A21,C$6)</f>
        <v>US4592001014</v>
      </c>
      <c r="D21" s="74" t="str">
        <f>+_xll.BDP($A21,D$6)</f>
        <v>BBG000BLNNH6</v>
      </c>
      <c r="E21" s="74" t="str">
        <f>+_xll.BDP($A21,E$6)</f>
        <v>Common Stock</v>
      </c>
      <c r="F21" s="74">
        <f>+_xll.BDP($A21,F$6,"EQY_FUND_CRNCY=USD", "SCALING_FORMAT=MMM")</f>
        <v>158.81011171524</v>
      </c>
      <c r="G21" s="75" t="str">
        <f>+_xll.BDP($A21,G$6)</f>
        <v>US</v>
      </c>
      <c r="H21" s="75" t="str">
        <f>+_xll.BDP($A21,H$6)</f>
        <v>US</v>
      </c>
      <c r="I21" s="76">
        <f>+_xll.BDP($A21,I$6)</f>
        <v>3</v>
      </c>
      <c r="J21" s="77">
        <f>+_xll.BDP($A21,J$6,"BETA_OVERRIDE_REL_INDEX=SPX INDEX")</f>
        <v>0.57616907011698137</v>
      </c>
      <c r="K21" s="76">
        <f>+_xll.BDP($A21,K$6)</f>
        <v>5.8047529999999998</v>
      </c>
      <c r="L21" s="76" t="str">
        <f>+_xll.BDP($A21,L$6)</f>
        <v>USD</v>
      </c>
      <c r="M21" s="74">
        <f>+_xll.BDP($A21,M$6)</f>
        <v>160.84</v>
      </c>
      <c r="N21" s="74">
        <f>+_xll.BDP($A21,N$6)</f>
        <v>16.613568000000001</v>
      </c>
      <c r="O21" s="78">
        <f>+_xll.BDP($A21,O$6)/100</f>
        <v>5.381406E-3</v>
      </c>
      <c r="P21" s="78">
        <f>+_xll.BDP($A21,P$6)/100</f>
        <v>2.2464050000000003E-2</v>
      </c>
      <c r="Q21" s="78">
        <f>+_xll.BDP($A21,Q$6)/100</f>
        <v>-0.1174403</v>
      </c>
      <c r="R21" s="78">
        <f>+_xll.BDP($A21,R$6)/100</f>
        <v>-0.15441289999999999</v>
      </c>
      <c r="S21" s="79">
        <f>+_xll.BDP($A21,S$6)</f>
        <v>9.6710109573660095</v>
      </c>
      <c r="T21" s="79">
        <f>+_xll.BDP($A21,T$6)</f>
        <v>2.736658847722</v>
      </c>
      <c r="U21" s="79">
        <f>+_xll.BDP($A21,U$6)</f>
        <v>50.01131550871294</v>
      </c>
      <c r="V21" s="79">
        <f>+_xll.BDP($A21,V$6)</f>
        <v>23.465584095631868</v>
      </c>
      <c r="W21" s="79">
        <f>+_xll.BDP($A21,W$6)</f>
        <v>19.171704762212666</v>
      </c>
      <c r="X21" s="79">
        <f>+_xll.BDP($A21,X$6)</f>
        <v>12.955718642570021</v>
      </c>
      <c r="Y21" s="79">
        <f>+_xll.BDP($A21,Y$6)</f>
        <v>291.91011235955057</v>
      </c>
      <c r="Z21" s="79">
        <f>+_xll.BDP($A21,Z$6)</f>
        <v>66.402241617599728</v>
      </c>
      <c r="AA21" s="79">
        <f>+_xll.BDP($A21,AA$6)</f>
        <v>36.454918032786885</v>
      </c>
    </row>
    <row r="22" spans="1:27" x14ac:dyDescent="0.2">
      <c r="A22" s="80" t="s">
        <v>758</v>
      </c>
      <c r="B22" s="74" t="str">
        <f>+_xll.BDP($A22,B$6)</f>
        <v>VISA INC-CLASS A</v>
      </c>
      <c r="C22" s="74" t="str">
        <f>+_xll.BDP($A22,C$6)</f>
        <v>US92826C8394</v>
      </c>
      <c r="D22" s="74" t="str">
        <f>+_xll.BDP($A22,D$6)</f>
        <v>BBG000PSKYX7</v>
      </c>
      <c r="E22" s="74" t="str">
        <f>+_xll.BDP($A22,E$6)</f>
        <v>Common Stock</v>
      </c>
      <c r="F22" s="74">
        <f>+_xll.BDP($A22,F$6,"EQY_FUND_CRNCY=USD", "SCALING_FORMAT=MMM")</f>
        <v>158.43552646448001</v>
      </c>
      <c r="G22" s="75" t="str">
        <f>+_xll.BDP($A22,G$6)</f>
        <v>US</v>
      </c>
      <c r="H22" s="75" t="str">
        <f>+_xll.BDP($A22,H$6)</f>
        <v>US</v>
      </c>
      <c r="I22" s="76">
        <f>+_xll.BDP($A22,I$6)</f>
        <v>4.5</v>
      </c>
      <c r="J22" s="77">
        <f>+_xll.BDP($A22,J$6,"BETA_OVERRIDE_REL_INDEX=SPX INDEX")</f>
        <v>1.2173497970953417</v>
      </c>
      <c r="K22" s="76">
        <f>+_xll.BDP($A22,K$6)</f>
        <v>4.6576779999999998</v>
      </c>
      <c r="L22" s="76" t="str">
        <f>+_xll.BDP($A22,L$6)</f>
        <v>USD</v>
      </c>
      <c r="M22" s="74">
        <f>+_xll.BDP($A22,M$6)</f>
        <v>64.53</v>
      </c>
      <c r="N22" s="74">
        <f>+_xll.BDP($A22,N$6)</f>
        <v>1.9473612500000002</v>
      </c>
      <c r="O22" s="78">
        <f>+_xll.BDP($A22,O$6)/100</f>
        <v>-3.4276270000000005E-2</v>
      </c>
      <c r="P22" s="78">
        <f>+_xll.BDP($A22,P$6)/100</f>
        <v>1.2276929999999998E-2</v>
      </c>
      <c r="Q22" s="78">
        <f>+_xll.BDP($A22,Q$6)/100</f>
        <v>0.25281549999999997</v>
      </c>
      <c r="R22" s="78">
        <f>+_xll.BDP($A22,R$6)/100</f>
        <v>0.24106760000000002</v>
      </c>
      <c r="S22" s="79">
        <f>+_xll.BDP($A22,S$6)</f>
        <v>33.132012174457309</v>
      </c>
      <c r="T22" s="79">
        <f>+_xll.BDP($A22,T$6)</f>
        <v>0.7438400577578862</v>
      </c>
      <c r="U22" s="79" t="str">
        <f>+_xll.BDP($A22,U$6)</f>
        <v>#N/A N/A</v>
      </c>
      <c r="V22" s="79">
        <f>+_xll.BDP($A22,V$6)</f>
        <v>64.243174259416818</v>
      </c>
      <c r="W22" s="79">
        <f>+_xll.BDP($A22,W$6)</f>
        <v>60.596756416312388</v>
      </c>
      <c r="X22" s="79">
        <f>+_xll.BDP($A22,X$6)</f>
        <v>42.812155566052589</v>
      </c>
      <c r="Y22" s="79">
        <f>+_xll.BDP($A22,Y$6)</f>
        <v>0</v>
      </c>
      <c r="Z22" s="79">
        <f>+_xll.BDP($A22,Z$6)</f>
        <v>0</v>
      </c>
      <c r="AA22" s="79" t="str">
        <f>+_xll.BDP($A22,AA$6)</f>
        <v>#N/A N/A</v>
      </c>
    </row>
    <row r="23" spans="1:27" x14ac:dyDescent="0.2">
      <c r="A23" s="80" t="s">
        <v>759</v>
      </c>
      <c r="B23" s="74" t="str">
        <f>+_xll.BDP($A23,B$6)</f>
        <v>INTEL CORP</v>
      </c>
      <c r="C23" s="74" t="str">
        <f>+_xll.BDP($A23,C$6)</f>
        <v>US4581401001</v>
      </c>
      <c r="D23" s="74" t="str">
        <f>+_xll.BDP($A23,D$6)</f>
        <v>BBG000C0G1D1</v>
      </c>
      <c r="E23" s="74" t="str">
        <f>+_xll.BDP($A23,E$6)</f>
        <v>Common Stock</v>
      </c>
      <c r="F23" s="74">
        <f>+_xll.BDP($A23,F$6,"EQY_FUND_CRNCY=USD", "SCALING_FORMAT=MMM")</f>
        <v>153.97862181061998</v>
      </c>
      <c r="G23" s="75" t="str">
        <f>+_xll.BDP($A23,G$6)</f>
        <v>US</v>
      </c>
      <c r="H23" s="75" t="str">
        <f>+_xll.BDP($A23,H$6)</f>
        <v>US</v>
      </c>
      <c r="I23" s="76">
        <f>+_xll.BDP($A23,I$6)</f>
        <v>3.7400000095367432</v>
      </c>
      <c r="J23" s="77">
        <f>+_xll.BDP($A23,J$6,"BETA_OVERRIDE_REL_INDEX=SPX INDEX")</f>
        <v>0.99198787724531878</v>
      </c>
      <c r="K23" s="76">
        <f>+_xll.BDP($A23,K$6)</f>
        <v>3.1265999999999998</v>
      </c>
      <c r="L23" s="76" t="str">
        <f>+_xll.BDP($A23,L$6)</f>
        <v>USD</v>
      </c>
      <c r="M23" s="74">
        <f>+_xll.BDP($A23,M$6)</f>
        <v>32.46</v>
      </c>
      <c r="N23" s="74">
        <f>+_xll.BDP($A23,N$6)</f>
        <v>2.3693119999999999</v>
      </c>
      <c r="O23" s="78">
        <f>+_xll.BDP($A23,O$6)/100</f>
        <v>5.6278469999999997E-2</v>
      </c>
      <c r="P23" s="78">
        <f>+_xll.BDP($A23,P$6)/100</f>
        <v>-0.1091907</v>
      </c>
      <c r="Q23" s="78">
        <f>+_xll.BDP($A23,Q$6)/100</f>
        <v>3.4735530000000001E-2</v>
      </c>
      <c r="R23" s="78">
        <f>+_xll.BDP($A23,R$6)/100</f>
        <v>0.20081360000000001</v>
      </c>
      <c r="S23" s="79">
        <f>+_xll.BDP($A23,S$6)</f>
        <v>13.704400779932371</v>
      </c>
      <c r="T23" s="79">
        <f>+_xll.BDP($A23,T$6)</f>
        <v>2.9574860706787671</v>
      </c>
      <c r="U23" s="79">
        <f>+_xll.BDP($A23,U$6)</f>
        <v>63.735457311616251</v>
      </c>
      <c r="V23" s="79">
        <f>+_xll.BDP($A23,V$6)</f>
        <v>43.110204519834667</v>
      </c>
      <c r="W23" s="79">
        <f>+_xll.BDP($A23,W$6)</f>
        <v>27.469124753892967</v>
      </c>
      <c r="X23" s="79">
        <f>+_xll.BDP($A23,X$6)</f>
        <v>20.948630749955253</v>
      </c>
      <c r="Y23" s="79">
        <f>+_xll.BDP($A23,Y$6)</f>
        <v>21.32377547246244</v>
      </c>
      <c r="Z23" s="79">
        <f>+_xll.BDP($A23,Z$6)</f>
        <v>17.175973215299059</v>
      </c>
      <c r="AA23" s="79">
        <f>+_xll.BDP($A23,AA$6)</f>
        <v>32.792735042735046</v>
      </c>
    </row>
    <row r="24" spans="1:27" x14ac:dyDescent="0.2">
      <c r="A24" s="80" t="s">
        <v>760</v>
      </c>
      <c r="B24" s="74" t="str">
        <f>+_xll.BDP($A24,B$6)</f>
        <v>HOME DEPOT INC</v>
      </c>
      <c r="C24" s="74" t="str">
        <f>+_xll.BDP($A24,C$6)</f>
        <v>US4370761029</v>
      </c>
      <c r="D24" s="74" t="str">
        <f>+_xll.BDP($A24,D$6)</f>
        <v>BBG000BKZB36</v>
      </c>
      <c r="E24" s="74" t="str">
        <f>+_xll.BDP($A24,E$6)</f>
        <v>Common Stock</v>
      </c>
      <c r="F24" s="74">
        <f>+_xll.BDP($A24,F$6,"EQY_FUND_CRNCY=USD", "SCALING_FORMAT=MMM")</f>
        <v>145.545995697</v>
      </c>
      <c r="G24" s="75" t="str">
        <f>+_xll.BDP($A24,G$6)</f>
        <v>US</v>
      </c>
      <c r="H24" s="75" t="str">
        <f>+_xll.BDP($A24,H$6)</f>
        <v>US</v>
      </c>
      <c r="I24" s="76">
        <f>+_xll.BDP($A24,I$6)</f>
        <v>4.1176471710205078</v>
      </c>
      <c r="J24" s="77">
        <f>+_xll.BDP($A24,J$6,"BETA_OVERRIDE_REL_INDEX=SPX INDEX")</f>
        <v>0.92653619193896286</v>
      </c>
      <c r="K24" s="76">
        <f>+_xll.BDP($A24,K$6)</f>
        <v>3.027981</v>
      </c>
      <c r="L24" s="76" t="str">
        <f>+_xll.BDP($A24,L$6)</f>
        <v>USD</v>
      </c>
      <c r="M24" s="74">
        <f>+_xll.BDP($A24,M$6)</f>
        <v>112.13</v>
      </c>
      <c r="N24" s="74">
        <f>+_xll.BDP($A24,N$6)</f>
        <v>4.6830600000000002</v>
      </c>
      <c r="O24" s="78">
        <f>+_xll.BDP($A24,O$6)/100</f>
        <v>-2.6571760000000003E-2</v>
      </c>
      <c r="P24" s="78">
        <f>+_xll.BDP($A24,P$6)/100</f>
        <v>7.6642310000000005E-2</v>
      </c>
      <c r="Q24" s="78">
        <f>+_xll.BDP($A24,Q$6)/100</f>
        <v>0.24224290000000001</v>
      </c>
      <c r="R24" s="78">
        <f>+_xll.BDP($A24,R$6)/100</f>
        <v>0.45414460000000001</v>
      </c>
      <c r="S24" s="79">
        <f>+_xll.BDP($A24,S$6)</f>
        <v>23.937339789394347</v>
      </c>
      <c r="T24" s="79">
        <f>+_xll.BDP($A24,T$6)</f>
        <v>2.1020752606179971</v>
      </c>
      <c r="U24" s="79">
        <f>+_xll.BDP($A24,U$6)</f>
        <v>34.810522266038276</v>
      </c>
      <c r="V24" s="79">
        <f>+_xll.BDP($A24,V$6)</f>
        <v>14.733817447340581</v>
      </c>
      <c r="W24" s="79">
        <f>+_xll.BDP($A24,W$6)</f>
        <v>12.586563431759162</v>
      </c>
      <c r="X24" s="79">
        <f>+_xll.BDP($A24,X$6)</f>
        <v>7.6284024237760883</v>
      </c>
      <c r="Y24" s="79">
        <f>+_xll.BDP($A24,Y$6)</f>
        <v>180.95902166916972</v>
      </c>
      <c r="Z24" s="79">
        <f>+_xll.BDP($A24,Z$6)</f>
        <v>63.610995889739428</v>
      </c>
      <c r="AA24" s="79">
        <f>+_xll.BDP($A24,AA$6)</f>
        <v>12.582932692307692</v>
      </c>
    </row>
    <row r="25" spans="1:27" x14ac:dyDescent="0.2">
      <c r="A25" s="80" t="s">
        <v>761</v>
      </c>
      <c r="B25" s="74" t="str">
        <f>+_xll.BDP($A25,B$6)</f>
        <v>CISCO SYSTEMS</v>
      </c>
      <c r="C25" s="74" t="str">
        <f>+_xll.BDP($A25,C$6)</f>
        <v>US17275R1023</v>
      </c>
      <c r="D25" s="74" t="str">
        <f>+_xll.BDP($A25,D$6)</f>
        <v>BBG000C3J3C9</v>
      </c>
      <c r="E25" s="74" t="str">
        <f>+_xll.BDP($A25,E$6)</f>
        <v>Common Stock</v>
      </c>
      <c r="F25" s="74">
        <f>+_xll.BDP($A25,F$6,"EQY_FUND_CRNCY=USD", "SCALING_FORMAT=MMM")</f>
        <v>142.49878000096498</v>
      </c>
      <c r="G25" s="75" t="str">
        <f>+_xll.BDP($A25,G$6)</f>
        <v>US</v>
      </c>
      <c r="H25" s="75" t="str">
        <f>+_xll.BDP($A25,H$6)</f>
        <v>US</v>
      </c>
      <c r="I25" s="76">
        <f>+_xll.BDP($A25,I$6)</f>
        <v>3.8936169147491455</v>
      </c>
      <c r="J25" s="77">
        <f>+_xll.BDP($A25,J$6,"BETA_OVERRIDE_REL_INDEX=SPX INDEX")</f>
        <v>1.145113969076696</v>
      </c>
      <c r="K25" s="76">
        <f>+_xll.BDP($A25,K$6)</f>
        <v>1.446663</v>
      </c>
      <c r="L25" s="76" t="str">
        <f>+_xll.BDP($A25,L$6)</f>
        <v>USD</v>
      </c>
      <c r="M25" s="74">
        <f>+_xll.BDP($A25,M$6)</f>
        <v>27.92</v>
      </c>
      <c r="N25" s="74">
        <f>+_xll.BDP($A25,N$6)</f>
        <v>1.7340639999999998</v>
      </c>
      <c r="O25" s="78">
        <f>+_xll.BDP($A25,O$6)/100</f>
        <v>-1.220808E-2</v>
      </c>
      <c r="P25" s="78">
        <f>+_xll.BDP($A25,P$6)/100</f>
        <v>8.4898730000000002E-3</v>
      </c>
      <c r="Q25" s="78">
        <f>+_xll.BDP($A25,Q$6)/100</f>
        <v>0.20064520000000002</v>
      </c>
      <c r="R25" s="78">
        <f>+_xll.BDP($A25,R$6)/100</f>
        <v>0.20271439999999999</v>
      </c>
      <c r="S25" s="79">
        <f>+_xll.BDP($A25,S$6)</f>
        <v>16.098022284948737</v>
      </c>
      <c r="T25" s="79">
        <f>+_xll.BDP($A25,T$6)</f>
        <v>3.0091347797741586</v>
      </c>
      <c r="U25" s="79">
        <f>+_xll.BDP($A25,U$6)</f>
        <v>58.905010394128375</v>
      </c>
      <c r="V25" s="79">
        <f>+_xll.BDP($A25,V$6)</f>
        <v>26.287877212320364</v>
      </c>
      <c r="W25" s="79">
        <f>+_xll.BDP($A25,W$6)</f>
        <v>19.823087692503499</v>
      </c>
      <c r="X25" s="79">
        <f>+_xll.BDP($A25,X$6)</f>
        <v>16.658181663909041</v>
      </c>
      <c r="Y25" s="79">
        <f>+_xll.BDP($A25,Y$6)</f>
        <v>36.005365242406597</v>
      </c>
      <c r="Z25" s="79">
        <f>+_xll.BDP($A25,Z$6)</f>
        <v>26.300116024236175</v>
      </c>
      <c r="AA25" s="79">
        <f>+_xll.BDP($A25,AA$6)</f>
        <v>16.569148936170212</v>
      </c>
    </row>
    <row r="26" spans="1:27" x14ac:dyDescent="0.2">
      <c r="A26" s="80" t="s">
        <v>762</v>
      </c>
      <c r="B26" s="74" t="str">
        <f>+_xll.BDP($A26,B$6)</f>
        <v>UNITEDHEALTH GRP</v>
      </c>
      <c r="C26" s="74" t="str">
        <f>+_xll.BDP($A26,C$6)</f>
        <v>US91324P1021</v>
      </c>
      <c r="D26" s="74" t="str">
        <f>+_xll.BDP($A26,D$6)</f>
        <v>BBG000CH5208</v>
      </c>
      <c r="E26" s="74" t="str">
        <f>+_xll.BDP($A26,E$6)</f>
        <v>Common Stock</v>
      </c>
      <c r="F26" s="74">
        <f>+_xll.BDP($A26,F$6,"EQY_FUND_CRNCY=USD", "SCALING_FORMAT=MMM")</f>
        <v>112.96735899633001</v>
      </c>
      <c r="G26" s="75" t="str">
        <f>+_xll.BDP($A26,G$6)</f>
        <v>US</v>
      </c>
      <c r="H26" s="75" t="str">
        <f>+_xll.BDP($A26,H$6)</f>
        <v>US</v>
      </c>
      <c r="I26" s="76">
        <f>+_xll.BDP($A26,I$6)</f>
        <v>4.4000000953674316</v>
      </c>
      <c r="J26" s="77">
        <f>+_xll.BDP($A26,J$6,"BETA_OVERRIDE_REL_INDEX=SPX INDEX")</f>
        <v>0.67516360103402906</v>
      </c>
      <c r="K26" s="76">
        <f>+_xll.BDP($A26,K$6)</f>
        <v>2.1835070000000001</v>
      </c>
      <c r="L26" s="76" t="str">
        <f>+_xll.BDP($A26,L$6)</f>
        <v>USD</v>
      </c>
      <c r="M26" s="74">
        <f>+_xll.BDP($A26,M$6)</f>
        <v>118.69</v>
      </c>
      <c r="N26" s="74">
        <f>+_xll.BDP($A26,N$6)</f>
        <v>5.9512559999999999</v>
      </c>
      <c r="O26" s="78">
        <f>+_xll.BDP($A26,O$6)/100</f>
        <v>-1.6975839999999999E-2</v>
      </c>
      <c r="P26" s="78">
        <f>+_xll.BDP($A26,P$6)/100</f>
        <v>0.12234099999999999</v>
      </c>
      <c r="Q26" s="78">
        <f>+_xll.BDP($A26,Q$6)/100</f>
        <v>0.34622360000000002</v>
      </c>
      <c r="R26" s="78">
        <f>+_xll.BDP($A26,R$6)/100</f>
        <v>0.56650829999999996</v>
      </c>
      <c r="S26" s="79">
        <f>+_xll.BDP($A26,S$6)</f>
        <v>19.947049679004341</v>
      </c>
      <c r="T26" s="79">
        <f>+_xll.BDP($A26,T$6)</f>
        <v>1.2637964445193361</v>
      </c>
      <c r="U26" s="79">
        <f>+_xll.BDP($A26,U$6)</f>
        <v>25.624262305133595</v>
      </c>
      <c r="V26" s="79">
        <f>+_xll.BDP($A26,V$6)</f>
        <v>9.1851147024278568</v>
      </c>
      <c r="W26" s="79">
        <f>+_xll.BDP($A26,W$6)</f>
        <v>7.8743657740239437</v>
      </c>
      <c r="X26" s="79">
        <f>+_xll.BDP($A26,X$6)</f>
        <v>4.3066051473856861</v>
      </c>
      <c r="Y26" s="79">
        <f>+_xll.BDP($A26,Y$6)</f>
        <v>47.29921399444477</v>
      </c>
      <c r="Z26" s="79">
        <f>+_xll.BDP($A26,Z$6)</f>
        <v>31.234389634717452</v>
      </c>
      <c r="AA26" s="79">
        <f>+_xll.BDP($A26,AA$6)</f>
        <v>16.624595469255663</v>
      </c>
    </row>
    <row r="27" spans="1:27" x14ac:dyDescent="0.2">
      <c r="A27" s="80" t="s">
        <v>743</v>
      </c>
      <c r="B27" s="74" t="str">
        <f>+_xll.BDP($A27,B$6)</f>
        <v>BOEING CO/THE</v>
      </c>
      <c r="C27" s="74" t="str">
        <f>+_xll.BDP($A27,C$6)</f>
        <v>US0970231058</v>
      </c>
      <c r="D27" s="74" t="str">
        <f>+_xll.BDP($A27,D$6)</f>
        <v>BBG000BCSST7</v>
      </c>
      <c r="E27" s="74" t="str">
        <f>+_xll.BDP($A27,E$6)</f>
        <v>Common Stock</v>
      </c>
      <c r="F27" s="74">
        <f>+_xll.BDP($A27,F$6,"EQY_FUND_CRNCY=USD", "SCALING_FORMAT=MMM")</f>
        <v>104.69632146160001</v>
      </c>
      <c r="G27" s="75" t="str">
        <f>+_xll.BDP($A27,G$6)</f>
        <v>US</v>
      </c>
      <c r="H27" s="75" t="str">
        <f>+_xll.BDP($A27,H$6)</f>
        <v>US</v>
      </c>
      <c r="I27" s="76">
        <f>+_xll.BDP($A27,I$6)</f>
        <v>4.0370368957519531</v>
      </c>
      <c r="J27" s="77">
        <f>+_xll.BDP($A27,J$6,"BETA_OVERRIDE_REL_INDEX=SPX INDEX")</f>
        <v>0.980353594096534</v>
      </c>
      <c r="K27" s="76">
        <f>+_xll.BDP($A27,K$6)</f>
        <v>4.6764020000000004</v>
      </c>
      <c r="L27" s="76" t="str">
        <f>+_xll.BDP($A27,L$6)</f>
        <v>USD</v>
      </c>
      <c r="M27" s="74">
        <f>+_xll.BDP($A27,M$6)</f>
        <v>149.6</v>
      </c>
      <c r="N27" s="74">
        <f>+_xll.BDP($A27,N$6)</f>
        <v>7.4090050000000005</v>
      </c>
      <c r="O27" s="78">
        <f>+_xll.BDP($A27,O$6)/100</f>
        <v>-2.9264809999999999E-2</v>
      </c>
      <c r="P27" s="78">
        <f>+_xll.BDP($A27,P$6)/100</f>
        <v>0.1439058</v>
      </c>
      <c r="Q27" s="78">
        <f>+_xll.BDP($A27,Q$6)/100</f>
        <v>0.21389160000000002</v>
      </c>
      <c r="R27" s="78">
        <f>+_xll.BDP($A27,R$6)/100</f>
        <v>0.16948090000000002</v>
      </c>
      <c r="S27" s="79">
        <f>+_xll.BDP($A27,S$6)</f>
        <v>20.191645990725558</v>
      </c>
      <c r="T27" s="79">
        <f>+_xll.BDP($A27,T$6)</f>
        <v>2.4331551503370155</v>
      </c>
      <c r="U27" s="79">
        <f>+_xll.BDP($A27,U$6)</f>
        <v>15.435975408210489</v>
      </c>
      <c r="V27" s="79">
        <f>+_xll.BDP($A27,V$6)</f>
        <v>10.333619796831272</v>
      </c>
      <c r="W27" s="79">
        <f>+_xll.BDP($A27,W$6)</f>
        <v>8.2336220003966414</v>
      </c>
      <c r="X27" s="79">
        <f>+_xll.BDP($A27,X$6)</f>
        <v>6.0003084991516271</v>
      </c>
      <c r="Y27" s="79">
        <f>+_xll.BDP($A27,Y$6)</f>
        <v>92.616609783845277</v>
      </c>
      <c r="Z27" s="79">
        <f>+_xll.BDP($A27,Z$6)</f>
        <v>45.582306830907058</v>
      </c>
      <c r="AA27" s="79">
        <f>+_xll.BDP($A27,AA$6)</f>
        <v>17.179310344827588</v>
      </c>
    </row>
    <row r="28" spans="1:27" x14ac:dyDescent="0.2">
      <c r="A28" s="80" t="s">
        <v>741</v>
      </c>
      <c r="B28" s="74" t="str">
        <f>+_xll.BDP($A28,B$6)</f>
        <v>UNITED TECH CORP</v>
      </c>
      <c r="C28" s="74" t="str">
        <f>+_xll.BDP($A28,C$6)</f>
        <v>US9130171096</v>
      </c>
      <c r="D28" s="74" t="str">
        <f>+_xll.BDP($A28,D$6)</f>
        <v>BBG000BW8S60</v>
      </c>
      <c r="E28" s="74" t="str">
        <f>+_xll.BDP($A28,E$6)</f>
        <v>Common Stock</v>
      </c>
      <c r="F28" s="74">
        <f>+_xll.BDP($A28,F$6,"EQY_FUND_CRNCY=USD", "SCALING_FORMAT=MMM")</f>
        <v>104.57169411897</v>
      </c>
      <c r="G28" s="75" t="str">
        <f>+_xll.BDP($A28,G$6)</f>
        <v>US</v>
      </c>
      <c r="H28" s="75" t="str">
        <f>+_xll.BDP($A28,H$6)</f>
        <v>US</v>
      </c>
      <c r="I28" s="76">
        <f>+_xll.BDP($A28,I$6)</f>
        <v>4.5652174949645996</v>
      </c>
      <c r="J28" s="77">
        <f>+_xll.BDP($A28,J$6,"BETA_OVERRIDE_REL_INDEX=SPX INDEX")</f>
        <v>1.0216815445539764</v>
      </c>
      <c r="K28" s="76">
        <f>+_xll.BDP($A28,K$6)</f>
        <v>5.6217790000000001</v>
      </c>
      <c r="L28" s="76" t="str">
        <f>+_xll.BDP($A28,L$6)</f>
        <v>USD</v>
      </c>
      <c r="M28" s="74">
        <f>+_xll.BDP($A28,M$6)</f>
        <v>115.12</v>
      </c>
      <c r="N28" s="74">
        <f>+_xll.BDP($A28,N$6)</f>
        <v>6.2454850000000004</v>
      </c>
      <c r="O28" s="78">
        <f>+_xll.BDP($A28,O$6)/100</f>
        <v>-3.5768109999999999E-2</v>
      </c>
      <c r="P28" s="78">
        <f>+_xll.BDP($A28,P$6)/100</f>
        <v>-8.9539519999999994E-3</v>
      </c>
      <c r="Q28" s="78">
        <f>+_xll.BDP($A28,Q$6)/100</f>
        <v>0.1337536</v>
      </c>
      <c r="R28" s="78">
        <f>+_xll.BDP($A28,R$6)/100</f>
        <v>-2.918107E-2</v>
      </c>
      <c r="S28" s="79">
        <f>+_xll.BDP($A28,S$6)</f>
        <v>18.430914590356323</v>
      </c>
      <c r="T28" s="79">
        <f>+_xll.BDP($A28,T$6)</f>
        <v>2.2220292880648738</v>
      </c>
      <c r="U28" s="79">
        <f>+_xll.BDP($A28,U$6)</f>
        <v>27.116743471582183</v>
      </c>
      <c r="V28" s="79">
        <f>+_xll.BDP($A28,V$6)</f>
        <v>17.93548387096774</v>
      </c>
      <c r="W28" s="79">
        <f>+_xll.BDP($A28,W$6)</f>
        <v>15.006144393241167</v>
      </c>
      <c r="X28" s="79">
        <f>+_xll.BDP($A28,X$6)</f>
        <v>9.5545314900153606</v>
      </c>
      <c r="Y28" s="79">
        <f>+_xll.BDP($A28,Y$6)</f>
        <v>54.647749510763212</v>
      </c>
      <c r="Z28" s="79">
        <f>+_xll.BDP($A28,Z$6)</f>
        <v>34.043201645776982</v>
      </c>
      <c r="AA28" s="79">
        <f>+_xll.BDP($A28,AA$6)</f>
        <v>8.6835555555555555</v>
      </c>
    </row>
    <row r="29" spans="1:27" x14ac:dyDescent="0.2">
      <c r="A29" s="80" t="s">
        <v>742</v>
      </c>
      <c r="B29" s="74" t="str">
        <f>+_xll.BDP($A29,B$6)</f>
        <v>3M CO</v>
      </c>
      <c r="C29" s="74" t="str">
        <f>+_xll.BDP($A29,C$6)</f>
        <v>US88579Y1010</v>
      </c>
      <c r="D29" s="74" t="str">
        <f>+_xll.BDP($A29,D$6)</f>
        <v>BBG000BP52R2</v>
      </c>
      <c r="E29" s="74" t="str">
        <f>+_xll.BDP($A29,E$6)</f>
        <v>Common Stock</v>
      </c>
      <c r="F29" s="74">
        <f>+_xll.BDP($A29,F$6,"EQY_FUND_CRNCY=USD", "SCALING_FORMAT=MMM")</f>
        <v>102.73709282650999</v>
      </c>
      <c r="G29" s="75" t="str">
        <f>+_xll.BDP($A29,G$6)</f>
        <v>US</v>
      </c>
      <c r="H29" s="75" t="str">
        <f>+_xll.BDP($A29,H$6)</f>
        <v>US</v>
      </c>
      <c r="I29" s="76">
        <f>+_xll.BDP($A29,I$6)</f>
        <v>3.5</v>
      </c>
      <c r="J29" s="77">
        <f>+_xll.BDP($A29,J$6,"BETA_OVERRIDE_REL_INDEX=SPX INDEX")</f>
        <v>1.1254846737230866</v>
      </c>
      <c r="K29" s="76">
        <f>+_xll.BDP($A29,K$6)</f>
        <v>3.085086</v>
      </c>
      <c r="L29" s="76" t="str">
        <f>+_xll.BDP($A29,L$6)</f>
        <v>USD</v>
      </c>
      <c r="M29" s="74">
        <f>+_xll.BDP($A29,M$6)</f>
        <v>161.72</v>
      </c>
      <c r="N29" s="74">
        <f>+_xll.BDP($A29,N$6)</f>
        <v>7.49</v>
      </c>
      <c r="O29" s="78">
        <f>+_xll.BDP($A29,O$6)/100</f>
        <v>-2.384404E-2</v>
      </c>
      <c r="P29" s="78">
        <f>+_xll.BDP($A29,P$6)/100</f>
        <v>-1.7901230000000002E-3</v>
      </c>
      <c r="Q29" s="78">
        <f>+_xll.BDP($A29,Q$6)/100</f>
        <v>0.17692869999999999</v>
      </c>
      <c r="R29" s="78">
        <f>+_xll.BDP($A29,R$6)/100</f>
        <v>0.17410879999999998</v>
      </c>
      <c r="S29" s="79">
        <f>+_xll.BDP($A29,S$6)</f>
        <v>21.59012105659108</v>
      </c>
      <c r="T29" s="79">
        <f>+_xll.BDP($A29,T$6)</f>
        <v>2.5354028227274554</v>
      </c>
      <c r="U29" s="79">
        <f>+_xll.BDP($A29,U$6)</f>
        <v>48.314006473712325</v>
      </c>
      <c r="V29" s="79">
        <f>+_xll.BDP($A29,V$6)</f>
        <v>26.847050689796049</v>
      </c>
      <c r="W29" s="79">
        <f>+_xll.BDP($A29,W$6)</f>
        <v>22.422299739165961</v>
      </c>
      <c r="X29" s="79">
        <f>+_xll.BDP($A29,X$6)</f>
        <v>15.574620533609881</v>
      </c>
      <c r="Y29" s="79">
        <f>+_xll.BDP($A29,Y$6)</f>
        <v>51.217470704611166</v>
      </c>
      <c r="Z29" s="79">
        <f>+_xll.BDP($A29,Z$6)</f>
        <v>33.690374893638321</v>
      </c>
      <c r="AA29" s="79">
        <f>+_xll.BDP($A29,AA$6)</f>
        <v>50.24647887323944</v>
      </c>
    </row>
    <row r="30" spans="1:27" x14ac:dyDescent="0.2">
      <c r="A30" s="80" t="s">
        <v>763</v>
      </c>
      <c r="B30" s="74" t="str">
        <f>+_xll.BDP($A30,B$6)</f>
        <v>MCDONALDS CORP</v>
      </c>
      <c r="C30" s="74" t="str">
        <f>+_xll.BDP($A30,C$6)</f>
        <v>US5801351017</v>
      </c>
      <c r="D30" s="74" t="str">
        <f>+_xll.BDP($A30,D$6)</f>
        <v>BBG000BNSZP1</v>
      </c>
      <c r="E30" s="74" t="str">
        <f>+_xll.BDP($A30,E$6)</f>
        <v>Common Stock</v>
      </c>
      <c r="F30" s="74">
        <f>+_xll.BDP($A30,F$6,"EQY_FUND_CRNCY=USD", "SCALING_FORMAT=MMM")</f>
        <v>91.001978299200005</v>
      </c>
      <c r="G30" s="75" t="str">
        <f>+_xll.BDP($A30,G$6)</f>
        <v>US</v>
      </c>
      <c r="H30" s="75" t="str">
        <f>+_xll.BDP($A30,H$6)</f>
        <v>US</v>
      </c>
      <c r="I30" s="76">
        <f>+_xll.BDP($A30,I$6)</f>
        <v>3.303030252456665</v>
      </c>
      <c r="J30" s="77">
        <f>+_xll.BDP($A30,J$6,"BETA_OVERRIDE_REL_INDEX=SPX INDEX")</f>
        <v>0.46052600872110683</v>
      </c>
      <c r="K30" s="76">
        <f>+_xll.BDP($A30,K$6)</f>
        <v>2.562179</v>
      </c>
      <c r="L30" s="76" t="str">
        <f>+_xll.BDP($A30,L$6)</f>
        <v>USD</v>
      </c>
      <c r="M30" s="74">
        <f>+_xll.BDP($A30,M$6)</f>
        <v>94.88</v>
      </c>
      <c r="N30" s="74">
        <f>+_xll.BDP($A30,N$6)</f>
        <v>5.09</v>
      </c>
      <c r="O30" s="78">
        <f>+_xll.BDP($A30,O$6)/100</f>
        <v>-1.146076E-2</v>
      </c>
      <c r="P30" s="78">
        <f>+_xll.BDP($A30,P$6)/100</f>
        <v>3.7053250000000003E-2</v>
      </c>
      <c r="Q30" s="78">
        <f>+_xll.BDP($A30,Q$6)/100</f>
        <v>4.2179250000000001E-2</v>
      </c>
      <c r="R30" s="78">
        <f>+_xll.BDP($A30,R$6)/100</f>
        <v>-5.3566079999999995E-2</v>
      </c>
      <c r="S30" s="79">
        <f>+_xll.BDP($A30,S$6)</f>
        <v>18.640470973166597</v>
      </c>
      <c r="T30" s="79">
        <f>+_xll.BDP($A30,T$6)</f>
        <v>3.5834739622338025</v>
      </c>
      <c r="U30" s="79">
        <f>+_xll.BDP($A30,U$6)</f>
        <v>55.433598262472984</v>
      </c>
      <c r="V30" s="79">
        <f>+_xll.BDP($A30,V$6)</f>
        <v>34.960807250385372</v>
      </c>
      <c r="W30" s="79">
        <f>+_xll.BDP($A30,W$6)</f>
        <v>28.968015363703614</v>
      </c>
      <c r="X30" s="79">
        <f>+_xll.BDP($A30,X$6)</f>
        <v>17.338099871361781</v>
      </c>
      <c r="Y30" s="79">
        <f>+_xll.BDP($A30,Y$6)</f>
        <v>116.62050508036785</v>
      </c>
      <c r="Z30" s="79">
        <f>+_xll.BDP($A30,Z$6)</f>
        <v>53.836318513383929</v>
      </c>
      <c r="AA30" s="79">
        <f>+_xll.BDP($A30,AA$6)</f>
        <v>13.581411242098071</v>
      </c>
    </row>
    <row r="31" spans="1:27" x14ac:dyDescent="0.2">
      <c r="A31" s="80" t="s">
        <v>764</v>
      </c>
      <c r="B31" s="74" t="str">
        <f>+_xll.BDP($A31,B$6)</f>
        <v>GOLDMAN SACHS GP</v>
      </c>
      <c r="C31" s="74" t="str">
        <f>+_xll.BDP($A31,C$6)</f>
        <v>US38141G1040</v>
      </c>
      <c r="D31" s="74" t="str">
        <f>+_xll.BDP($A31,D$6)</f>
        <v>BBG000C6CFJ5</v>
      </c>
      <c r="E31" s="74" t="str">
        <f>+_xll.BDP($A31,E$6)</f>
        <v>Common Stock</v>
      </c>
      <c r="F31" s="74">
        <f>+_xll.BDP($A31,F$6,"EQY_FUND_CRNCY=USD", "SCALING_FORMAT=MMM")</f>
        <v>88.223562663799996</v>
      </c>
      <c r="G31" s="75" t="str">
        <f>+_xll.BDP($A31,G$6)</f>
        <v>US</v>
      </c>
      <c r="H31" s="75" t="str">
        <f>+_xll.BDP($A31,H$6)</f>
        <v>US</v>
      </c>
      <c r="I31" s="76">
        <f>+_xll.BDP($A31,I$6)</f>
        <v>3.34375</v>
      </c>
      <c r="J31" s="77">
        <f>+_xll.BDP($A31,J$6,"BETA_OVERRIDE_REL_INDEX=SPX INDEX")</f>
        <v>1.3073857870977799</v>
      </c>
      <c r="K31" s="76">
        <f>+_xll.BDP($A31,K$6)</f>
        <v>2.3589449999999998</v>
      </c>
      <c r="L31" s="76" t="str">
        <f>+_xll.BDP($A31,L$6)</f>
        <v>USD</v>
      </c>
      <c r="M31" s="74">
        <f>+_xll.BDP($A31,M$6)</f>
        <v>197.22</v>
      </c>
      <c r="N31" s="74">
        <f>+_xll.BDP($A31,N$6)</f>
        <v>19.938492</v>
      </c>
      <c r="O31" s="78">
        <f>+_xll.BDP($A31,O$6)/100</f>
        <v>3.8848229999999997E-2</v>
      </c>
      <c r="P31" s="78">
        <f>+_xll.BDP($A31,P$6)/100</f>
        <v>0.1135248</v>
      </c>
      <c r="Q31" s="78">
        <f>+_xll.BDP($A31,Q$6)/100</f>
        <v>0.115539</v>
      </c>
      <c r="R31" s="78">
        <f>+_xll.BDP($A31,R$6)/100</f>
        <v>0.25349340000000004</v>
      </c>
      <c r="S31" s="79">
        <f>+_xll.BDP($A31,S$6)</f>
        <v>9.8979404311778261</v>
      </c>
      <c r="T31" s="79">
        <f>+_xll.BDP($A31,T$6)</f>
        <v>1.3173894936322297</v>
      </c>
      <c r="U31" s="79" t="str">
        <f>+_xll.BDP($A31,U$6)</f>
        <v>#N/A N/A</v>
      </c>
      <c r="V31" s="79">
        <f>+_xll.BDP($A31,V$6)</f>
        <v>48.025445927404263</v>
      </c>
      <c r="W31" s="79">
        <f>+_xll.BDP($A31,W$6)</f>
        <v>35.788345690454129</v>
      </c>
      <c r="X31" s="79">
        <f>+_xll.BDP($A31,X$6)</f>
        <v>21.14756143195709</v>
      </c>
      <c r="Y31" s="79">
        <f>+_xll.BDP($A31,Y$6)</f>
        <v>210.11766685496568</v>
      </c>
      <c r="Z31" s="79">
        <f>+_xll.BDP($A31,Z$6)</f>
        <v>35.852496569997683</v>
      </c>
      <c r="AA31" s="79" t="str">
        <f>+_xll.BDP($A31,AA$6)</f>
        <v>#N/A N/A</v>
      </c>
    </row>
    <row r="32" spans="1:27" x14ac:dyDescent="0.2">
      <c r="A32" s="80" t="s">
        <v>765</v>
      </c>
      <c r="B32" s="74" t="str">
        <f>+_xll.BDP($A32,B$6)</f>
        <v>NIKE INC -CL B</v>
      </c>
      <c r="C32" s="74" t="str">
        <f>+_xll.BDP($A32,C$6)</f>
        <v>US6541061031</v>
      </c>
      <c r="D32" s="74" t="str">
        <f>+_xll.BDP($A32,D$6)</f>
        <v>BBG000C5HS04</v>
      </c>
      <c r="E32" s="74" t="str">
        <f>+_xll.BDP($A32,E$6)</f>
        <v>Common Stock</v>
      </c>
      <c r="F32" s="74">
        <f>+_xll.BDP($A32,F$6,"EQY_FUND_CRNCY=USD", "SCALING_FORMAT=MMM")</f>
        <v>84.728121545250005</v>
      </c>
      <c r="G32" s="75" t="str">
        <f>+_xll.BDP($A32,G$6)</f>
        <v>US</v>
      </c>
      <c r="H32" s="75" t="str">
        <f>+_xll.BDP($A32,H$6)</f>
        <v>US</v>
      </c>
      <c r="I32" s="76">
        <f>+_xll.BDP($A32,I$6)</f>
        <v>4.3939394950866699</v>
      </c>
      <c r="J32" s="77">
        <f>+_xll.BDP($A32,J$6,"BETA_OVERRIDE_REL_INDEX=SPX INDEX")</f>
        <v>0.84378804379287875</v>
      </c>
      <c r="K32" s="76">
        <f>+_xll.BDP($A32,K$6)</f>
        <v>1.304424</v>
      </c>
      <c r="L32" s="76" t="str">
        <f>+_xll.BDP($A32,L$6)</f>
        <v>USD</v>
      </c>
      <c r="M32" s="74">
        <f>+_xll.BDP($A32,M$6)</f>
        <v>98.54</v>
      </c>
      <c r="N32" s="74">
        <f>+_xll.BDP($A32,N$6)</f>
        <v>3.5000000000000004</v>
      </c>
      <c r="O32" s="78">
        <f>+_xll.BDP($A32,O$6)/100</f>
        <v>2.339303E-3</v>
      </c>
      <c r="P32" s="78">
        <f>+_xll.BDP($A32,P$6)/100</f>
        <v>5.9791400000000001E-2</v>
      </c>
      <c r="Q32" s="78">
        <f>+_xll.BDP($A32,Q$6)/100</f>
        <v>0.1304198</v>
      </c>
      <c r="R32" s="78">
        <f>+_xll.BDP($A32,R$6)/100</f>
        <v>0.33121709999999999</v>
      </c>
      <c r="S32" s="79">
        <f>+_xll.BDP($A32,S$6)</f>
        <v>28.157143729073656</v>
      </c>
      <c r="T32" s="79">
        <f>+_xll.BDP($A32,T$6)</f>
        <v>1.1365942812749863</v>
      </c>
      <c r="U32" s="79">
        <f>+_xll.BDP($A32,U$6)</f>
        <v>44.771394654483977</v>
      </c>
      <c r="V32" s="79">
        <f>+_xll.BDP($A32,V$6)</f>
        <v>15.561873904850069</v>
      </c>
      <c r="W32" s="79">
        <f>+_xll.BDP($A32,W$6)</f>
        <v>13.237886254901255</v>
      </c>
      <c r="X32" s="79">
        <f>+_xll.BDP($A32,X$6)</f>
        <v>9.6873988272959455</v>
      </c>
      <c r="Y32" s="79">
        <f>+_xll.BDP($A32,Y$6)</f>
        <v>11.077235772357724</v>
      </c>
      <c r="Z32" s="79">
        <f>+_xll.BDP($A32,Z$6)</f>
        <v>9.8302861359350668</v>
      </c>
      <c r="AA32" s="79" t="str">
        <f>+_xll.BDP($A32,AA$6)</f>
        <v>#N/A N/A</v>
      </c>
    </row>
    <row r="33" spans="1:27" x14ac:dyDescent="0.2">
      <c r="A33" s="80" t="s">
        <v>766</v>
      </c>
      <c r="B33" s="74" t="str">
        <f>+_xll.BDP($A33,B$6)</f>
        <v>AMERICAN EXPRESS</v>
      </c>
      <c r="C33" s="74" t="str">
        <f>+_xll.BDP($A33,C$6)</f>
        <v>US0258161092</v>
      </c>
      <c r="D33" s="74" t="str">
        <f>+_xll.BDP($A33,D$6)</f>
        <v>BBG000BCQZS4</v>
      </c>
      <c r="E33" s="74" t="str">
        <f>+_xll.BDP($A33,E$6)</f>
        <v>Common Stock</v>
      </c>
      <c r="F33" s="74">
        <f>+_xll.BDP($A33,F$6,"EQY_FUND_CRNCY=USD", "SCALING_FORMAT=MMM")</f>
        <v>78.53011459823999</v>
      </c>
      <c r="G33" s="75" t="str">
        <f>+_xll.BDP($A33,G$6)</f>
        <v>US</v>
      </c>
      <c r="H33" s="75" t="str">
        <f>+_xll.BDP($A33,H$6)</f>
        <v>US</v>
      </c>
      <c r="I33" s="76">
        <f>+_xll.BDP($A33,I$6)</f>
        <v>3.5588235855102539</v>
      </c>
      <c r="J33" s="77">
        <f>+_xll.BDP($A33,J$6,"BETA_OVERRIDE_REL_INDEX=SPX INDEX")</f>
        <v>1.1728836279702133</v>
      </c>
      <c r="K33" s="76">
        <f>+_xll.BDP($A33,K$6)</f>
        <v>1.2406969999999999</v>
      </c>
      <c r="L33" s="76" t="str">
        <f>+_xll.BDP($A33,L$6)</f>
        <v>USD</v>
      </c>
      <c r="M33" s="74">
        <f>+_xll.BDP($A33,M$6)</f>
        <v>77.36</v>
      </c>
      <c r="N33" s="74">
        <f>+_xll.BDP($A33,N$6)</f>
        <v>5.2123090000000003</v>
      </c>
      <c r="O33" s="78">
        <f>+_xll.BDP($A33,O$6)/100</f>
        <v>-5.1753750000000001E-2</v>
      </c>
      <c r="P33" s="78">
        <f>+_xll.BDP($A33,P$6)/100</f>
        <v>-0.1013482</v>
      </c>
      <c r="Q33" s="78">
        <f>+_xll.BDP($A33,Q$6)/100</f>
        <v>-6.3695830000000009E-2</v>
      </c>
      <c r="R33" s="78">
        <f>+_xll.BDP($A33,R$6)/100</f>
        <v>-0.1032243</v>
      </c>
      <c r="S33" s="79">
        <f>+_xll.BDP($A33,S$6)</f>
        <v>14.834116644815994</v>
      </c>
      <c r="T33" s="79">
        <f>+_xll.BDP($A33,T$6)</f>
        <v>1.3445377658086974</v>
      </c>
      <c r="U33" s="79" t="str">
        <f>+_xll.BDP($A33,U$6)</f>
        <v>#N/A N/A</v>
      </c>
      <c r="V33" s="79">
        <f>+_xll.BDP($A33,V$6)</f>
        <v>32.528681352259788</v>
      </c>
      <c r="W33" s="79">
        <f>+_xll.BDP($A33,W$6)</f>
        <v>26.218943193747812</v>
      </c>
      <c r="X33" s="79">
        <f>+_xll.BDP($A33,X$6)</f>
        <v>16.347676324342341</v>
      </c>
      <c r="Y33" s="79">
        <f>+_xll.BDP($A33,Y$6)</f>
        <v>280.34150824747258</v>
      </c>
      <c r="Z33" s="79">
        <f>+_xll.BDP($A33,Z$6)</f>
        <v>70.583865153212841</v>
      </c>
      <c r="AA33" s="79" t="str">
        <f>+_xll.BDP($A33,AA$6)</f>
        <v>#N/A N/A</v>
      </c>
    </row>
    <row r="34" spans="1:27" x14ac:dyDescent="0.2">
      <c r="A34" s="80" t="s">
        <v>744</v>
      </c>
      <c r="B34" s="74" t="str">
        <f>+_xll.BDP($A34,B$6)</f>
        <v>DU PONT (EI)</v>
      </c>
      <c r="C34" s="74" t="str">
        <f>+_xll.BDP($A34,C$6)</f>
        <v>US2635341090</v>
      </c>
      <c r="D34" s="74" t="str">
        <f>+_xll.BDP($A34,D$6)</f>
        <v>BBG000BH13K9</v>
      </c>
      <c r="E34" s="74" t="str">
        <f>+_xll.BDP($A34,E$6)</f>
        <v>Common Stock</v>
      </c>
      <c r="F34" s="74">
        <f>+_xll.BDP($A34,F$6,"EQY_FUND_CRNCY=USD", "SCALING_FORMAT=MMM")</f>
        <v>64.820490034049996</v>
      </c>
      <c r="G34" s="75" t="str">
        <f>+_xll.BDP($A34,G$6)</f>
        <v>US</v>
      </c>
      <c r="H34" s="75" t="str">
        <f>+_xll.BDP($A34,H$6)</f>
        <v>US</v>
      </c>
      <c r="I34" s="76">
        <f>+_xll.BDP($A34,I$6)</f>
        <v>3.2592592239379883</v>
      </c>
      <c r="J34" s="77">
        <f>+_xll.BDP($A34,J$6,"BETA_OVERRIDE_REL_INDEX=SPX INDEX")</f>
        <v>1.0050508545044019</v>
      </c>
      <c r="K34" s="76">
        <f>+_xll.BDP($A34,K$6)</f>
        <v>1.9558610000000001</v>
      </c>
      <c r="L34" s="76" t="str">
        <f>+_xll.BDP($A34,L$6)</f>
        <v>USD</v>
      </c>
      <c r="M34" s="74">
        <f>+_xll.BDP($A34,M$6)</f>
        <v>71.55</v>
      </c>
      <c r="N34" s="74">
        <f>+_xll.BDP($A34,N$6)</f>
        <v>4.261431</v>
      </c>
      <c r="O34" s="78">
        <f>+_xll.BDP($A34,O$6)/100</f>
        <v>-3.9726240000000003E-2</v>
      </c>
      <c r="P34" s="78">
        <f>+_xll.BDP($A34,P$6)/100</f>
        <v>-3.6363640000000003E-2</v>
      </c>
      <c r="Q34" s="78">
        <f>+_xll.BDP($A34,Q$6)/100</f>
        <v>6.8229269999999995E-2</v>
      </c>
      <c r="R34" s="78">
        <f>+_xll.BDP($A34,R$6)/100</f>
        <v>6.8229269999999995E-2</v>
      </c>
      <c r="S34" s="79">
        <f>+_xll.BDP($A34,S$6)</f>
        <v>16.790135297687048</v>
      </c>
      <c r="T34" s="79">
        <f>+_xll.BDP($A34,T$6)</f>
        <v>2.6275331869065388</v>
      </c>
      <c r="U34" s="79">
        <f>+_xll.BDP($A34,U$6)</f>
        <v>37.496760072574375</v>
      </c>
      <c r="V34" s="79">
        <f>+_xll.BDP($A34,V$6)</f>
        <v>16.306194741237796</v>
      </c>
      <c r="W34" s="79">
        <f>+_xll.BDP($A34,W$6)</f>
        <v>11.649339054805171</v>
      </c>
      <c r="X34" s="79">
        <f>+_xll.BDP($A34,X$6)</f>
        <v>10.439766149238256</v>
      </c>
      <c r="Y34" s="79">
        <f>+_xll.BDP($A34,Y$6)</f>
        <v>69.300343848108838</v>
      </c>
      <c r="Z34" s="79">
        <f>+_xll.BDP($A34,Z$6)</f>
        <v>38.513625789298771</v>
      </c>
      <c r="AA34" s="79">
        <f>+_xll.BDP($A34,AA$6)</f>
        <v>9.3418013856812934</v>
      </c>
    </row>
    <row r="35" spans="1:27" x14ac:dyDescent="0.2">
      <c r="A35" s="80" t="s">
        <v>745</v>
      </c>
      <c r="B35" s="74" t="str">
        <f>+_xll.BDP($A35,B$6)</f>
        <v>CATERPILLAR INC</v>
      </c>
      <c r="C35" s="74" t="str">
        <f>+_xll.BDP($A35,C$6)</f>
        <v>US1491231015</v>
      </c>
      <c r="D35" s="74" t="str">
        <f>+_xll.BDP($A35,D$6)</f>
        <v>BBG000BF0K17</v>
      </c>
      <c r="E35" s="74" t="str">
        <f>+_xll.BDP($A35,E$6)</f>
        <v>Common Stock</v>
      </c>
      <c r="F35" s="74">
        <f>+_xll.BDP($A35,F$6,"EQY_FUND_CRNCY=USD", "SCALING_FORMAT=MMM")</f>
        <v>50.481551033520006</v>
      </c>
      <c r="G35" s="75" t="str">
        <f>+_xll.BDP($A35,G$6)</f>
        <v>US</v>
      </c>
      <c r="H35" s="75" t="str">
        <f>+_xll.BDP($A35,H$6)</f>
        <v>US</v>
      </c>
      <c r="I35" s="76">
        <f>+_xll.BDP($A35,I$6)</f>
        <v>3.3448276519775391</v>
      </c>
      <c r="J35" s="77">
        <f>+_xll.BDP($A35,J$6,"BETA_OVERRIDE_REL_INDEX=SPX INDEX")</f>
        <v>1.1236160237669244</v>
      </c>
      <c r="K35" s="76">
        <f>+_xll.BDP($A35,K$6)</f>
        <v>5.5420600000000002</v>
      </c>
      <c r="L35" s="76" t="str">
        <f>+_xll.BDP($A35,L$6)</f>
        <v>USD</v>
      </c>
      <c r="M35" s="74">
        <f>+_xll.BDP($A35,M$6)</f>
        <v>83.28</v>
      </c>
      <c r="N35" s="74">
        <f>+_xll.BDP($A35,N$6)</f>
        <v>6.3773989999999996</v>
      </c>
      <c r="O35" s="78">
        <f>+_xll.BDP($A35,O$6)/100</f>
        <v>3.9830239999999996E-2</v>
      </c>
      <c r="P35" s="78">
        <f>+_xll.BDP($A35,P$6)/100</f>
        <v>-6.9162959999999997E-3</v>
      </c>
      <c r="Q35" s="78">
        <f>+_xll.BDP($A35,Q$6)/100</f>
        <v>-0.12382960000000001</v>
      </c>
      <c r="R35" s="78">
        <f>+_xll.BDP($A35,R$6)/100</f>
        <v>-0.19011959999999997</v>
      </c>
      <c r="S35" s="79">
        <f>+_xll.BDP($A35,S$6)</f>
        <v>13.058615084189789</v>
      </c>
      <c r="T35" s="79">
        <f>+_xll.BDP($A35,T$6)</f>
        <v>3.3621517198802646</v>
      </c>
      <c r="U35" s="79">
        <f>+_xll.BDP($A35,U$6)</f>
        <v>26.806683096549722</v>
      </c>
      <c r="V35" s="79">
        <f>+_xll.BDP($A35,V$6)</f>
        <v>15.386706291678747</v>
      </c>
      <c r="W35" s="79">
        <f>+_xll.BDP($A35,W$6)</f>
        <v>9.6549724557842858</v>
      </c>
      <c r="X35" s="79">
        <f>+_xll.BDP($A35,X$6)</f>
        <v>6.6957813859089592</v>
      </c>
      <c r="Y35" s="79">
        <f>+_xll.BDP($A35,Y$6)</f>
        <v>165.12540116486389</v>
      </c>
      <c r="Z35" s="79">
        <f>+_xll.BDP($A35,Z$6)</f>
        <v>49.516137655718126</v>
      </c>
      <c r="AA35" s="79">
        <f>+_xll.BDP($A35,AA$6)</f>
        <v>11.008264462809917</v>
      </c>
    </row>
    <row r="36" spans="1:27" x14ac:dyDescent="0.2">
      <c r="A36" s="80" t="s">
        <v>767</v>
      </c>
      <c r="B36" s="74" t="str">
        <f>+_xll.BDP($A36,B$6)</f>
        <v>TRAVELERS COS IN</v>
      </c>
      <c r="C36" s="74" t="str">
        <f>+_xll.BDP($A36,C$6)</f>
        <v>US89417E1091</v>
      </c>
      <c r="D36" s="74" t="str">
        <f>+_xll.BDP($A36,D$6)</f>
        <v>BBG000BJ81C1</v>
      </c>
      <c r="E36" s="74" t="str">
        <f>+_xll.BDP($A36,E$6)</f>
        <v>Common Stock</v>
      </c>
      <c r="F36" s="74">
        <f>+_xll.BDP($A36,F$6,"EQY_FUND_CRNCY=USD", "SCALING_FORMAT=MMM")</f>
        <v>33.618175413400003</v>
      </c>
      <c r="G36" s="75" t="str">
        <f>+_xll.BDP($A36,G$6)</f>
        <v>US</v>
      </c>
      <c r="H36" s="75" t="str">
        <f>+_xll.BDP($A36,H$6)</f>
        <v>US</v>
      </c>
      <c r="I36" s="76">
        <f>+_xll.BDP($A36,I$6)</f>
        <v>3.2857143878936768</v>
      </c>
      <c r="J36" s="77">
        <f>+_xll.BDP($A36,J$6,"BETA_OVERRIDE_REL_INDEX=SPX INDEX")</f>
        <v>0.89305780577696015</v>
      </c>
      <c r="K36" s="76">
        <f>+_xll.BDP($A36,K$6)</f>
        <v>5.083691</v>
      </c>
      <c r="L36" s="76" t="str">
        <f>+_xll.BDP($A36,L$6)</f>
        <v>USD</v>
      </c>
      <c r="M36" s="74">
        <f>+_xll.BDP($A36,M$6)</f>
        <v>105.43</v>
      </c>
      <c r="N36" s="74">
        <f>+_xll.BDP($A36,N$6)</f>
        <v>10.558167000000001</v>
      </c>
      <c r="O36" s="78">
        <f>+_xll.BDP($A36,O$6)/100</f>
        <v>-3.400239E-2</v>
      </c>
      <c r="P36" s="78">
        <f>+_xll.BDP($A36,P$6)/100</f>
        <v>-1.0700210000000002E-2</v>
      </c>
      <c r="Q36" s="78">
        <f>+_xll.BDP($A36,Q$6)/100</f>
        <v>0.13041620000000001</v>
      </c>
      <c r="R36" s="78">
        <f>+_xll.BDP($A36,R$6)/100</f>
        <v>0.21596679999999999</v>
      </c>
      <c r="S36" s="79">
        <f>+_xll.BDP($A36,S$6)</f>
        <v>9.982793559325108</v>
      </c>
      <c r="T36" s="79">
        <f>+_xll.BDP($A36,T$6)</f>
        <v>2.0872865727549481</v>
      </c>
      <c r="U36" s="79" t="str">
        <f>+_xll.BDP($A36,U$6)</f>
        <v>#N/A N/A</v>
      </c>
      <c r="V36" s="79" t="str">
        <f>+_xll.BDP($A36,V$6)</f>
        <v>#N/A N/A</v>
      </c>
      <c r="W36" s="79">
        <f>+_xll.BDP($A36,W$6)</f>
        <v>20.094249318901404</v>
      </c>
      <c r="X36" s="79">
        <f>+_xll.BDP($A36,X$6)</f>
        <v>13.5925189603122</v>
      </c>
      <c r="Y36" s="79">
        <f>+_xll.BDP($A36,Y$6)</f>
        <v>23.550491222419069</v>
      </c>
      <c r="Z36" s="79">
        <f>+_xll.BDP($A36,Z$6)</f>
        <v>18.755812089145422</v>
      </c>
      <c r="AA36" s="79" t="str">
        <f>+_xll.BDP($A36,AA$6)</f>
        <v>#N/A N/A</v>
      </c>
    </row>
    <row r="37" spans="1:27" x14ac:dyDescent="0.2">
      <c r="A37" s="73"/>
      <c r="B37" s="74"/>
      <c r="C37" s="74"/>
      <c r="D37" s="74"/>
      <c r="E37" s="74"/>
      <c r="F37" s="74"/>
      <c r="G37" s="75"/>
      <c r="H37" s="75"/>
      <c r="I37" s="76"/>
      <c r="J37" s="77"/>
      <c r="K37" s="76"/>
      <c r="L37" s="76"/>
      <c r="M37" s="74"/>
      <c r="N37" s="74"/>
      <c r="O37" s="78"/>
      <c r="P37" s="78"/>
      <c r="Q37" s="78"/>
      <c r="R37" s="78"/>
      <c r="S37" s="79"/>
      <c r="T37" s="79"/>
      <c r="U37" s="79"/>
      <c r="V37" s="79"/>
      <c r="W37" s="79"/>
      <c r="X37" s="79"/>
      <c r="Y37" s="79"/>
      <c r="Z37" s="79"/>
      <c r="AA37" s="79"/>
    </row>
    <row r="38" spans="1:27" x14ac:dyDescent="0.2">
      <c r="A38" s="73"/>
      <c r="B38" s="74"/>
      <c r="C38" s="74"/>
      <c r="D38" s="74"/>
      <c r="E38" s="74"/>
      <c r="F38" s="74"/>
      <c r="G38" s="75"/>
      <c r="H38" s="75"/>
      <c r="I38" s="76"/>
      <c r="J38" s="77"/>
      <c r="K38" s="76"/>
      <c r="L38" s="76"/>
      <c r="M38" s="74"/>
      <c r="N38" s="74"/>
      <c r="O38" s="78"/>
      <c r="P38" s="78"/>
      <c r="Q38" s="78"/>
      <c r="R38" s="78"/>
      <c r="S38" s="79"/>
      <c r="T38" s="79"/>
      <c r="U38" s="79"/>
      <c r="V38" s="79"/>
      <c r="W38" s="79"/>
      <c r="X38" s="79"/>
      <c r="Y38" s="79"/>
      <c r="Z38" s="79"/>
      <c r="AA38" s="79"/>
    </row>
    <row r="39" spans="1:27" x14ac:dyDescent="0.2">
      <c r="A39" s="73"/>
      <c r="B39" s="74"/>
      <c r="C39" s="74"/>
      <c r="D39" s="74"/>
      <c r="E39" s="74"/>
      <c r="F39" s="74"/>
      <c r="G39" s="75"/>
      <c r="H39" s="75"/>
      <c r="I39" s="76"/>
      <c r="J39" s="77"/>
      <c r="K39" s="76"/>
      <c r="L39" s="76"/>
      <c r="M39" s="74"/>
      <c r="N39" s="74"/>
      <c r="O39" s="78"/>
      <c r="P39" s="78"/>
      <c r="Q39" s="78"/>
      <c r="R39" s="78"/>
      <c r="S39" s="79"/>
      <c r="T39" s="79"/>
      <c r="U39" s="79"/>
      <c r="V39" s="79"/>
      <c r="W39" s="79"/>
      <c r="X39" s="79"/>
      <c r="Y39" s="79"/>
      <c r="Z39" s="79"/>
      <c r="AA39" s="79"/>
    </row>
    <row r="40" spans="1:27" x14ac:dyDescent="0.2">
      <c r="A40" s="73"/>
      <c r="B40" s="74"/>
      <c r="C40" s="74"/>
      <c r="D40" s="74"/>
      <c r="E40" s="74"/>
      <c r="F40" s="74"/>
      <c r="G40" s="75"/>
      <c r="H40" s="75"/>
      <c r="I40" s="76"/>
      <c r="J40" s="77"/>
      <c r="K40" s="76"/>
      <c r="L40" s="76"/>
      <c r="M40" s="74"/>
      <c r="N40" s="74"/>
      <c r="O40" s="78"/>
      <c r="P40" s="78"/>
      <c r="Q40" s="78"/>
      <c r="R40" s="78"/>
      <c r="S40" s="79"/>
      <c r="T40" s="79"/>
      <c r="U40" s="79"/>
      <c r="V40" s="79"/>
      <c r="W40" s="79"/>
      <c r="X40" s="79"/>
      <c r="Y40" s="79"/>
      <c r="Z40" s="79"/>
      <c r="AA40" s="79"/>
    </row>
    <row r="41" spans="1:27" x14ac:dyDescent="0.2">
      <c r="A41" s="73"/>
      <c r="B41" s="74"/>
      <c r="C41" s="74"/>
      <c r="D41" s="74"/>
      <c r="E41" s="74"/>
      <c r="F41" s="74"/>
      <c r="G41" s="75"/>
      <c r="H41" s="75"/>
      <c r="I41" s="76"/>
      <c r="J41" s="77"/>
      <c r="K41" s="76"/>
      <c r="L41" s="76"/>
      <c r="M41" s="74"/>
      <c r="N41" s="74"/>
      <c r="O41" s="78"/>
      <c r="P41" s="78"/>
      <c r="Q41" s="78"/>
      <c r="R41" s="78"/>
      <c r="S41" s="79"/>
      <c r="T41" s="79"/>
      <c r="U41" s="79"/>
      <c r="V41" s="79"/>
      <c r="W41" s="79"/>
      <c r="X41" s="79"/>
      <c r="Y41" s="79"/>
      <c r="Z41" s="79"/>
      <c r="AA41" s="79"/>
    </row>
    <row r="42" spans="1:27" x14ac:dyDescent="0.2">
      <c r="A42" s="73"/>
      <c r="B42" s="74"/>
      <c r="C42" s="74"/>
      <c r="D42" s="74"/>
      <c r="E42" s="74"/>
      <c r="F42" s="74"/>
      <c r="G42" s="75"/>
      <c r="H42" s="75"/>
      <c r="I42" s="76"/>
      <c r="J42" s="77"/>
      <c r="K42" s="76"/>
      <c r="L42" s="76"/>
      <c r="M42" s="74"/>
      <c r="N42" s="74"/>
      <c r="O42" s="78"/>
      <c r="P42" s="78"/>
      <c r="Q42" s="78"/>
      <c r="R42" s="78"/>
      <c r="S42" s="79"/>
      <c r="T42" s="79"/>
      <c r="U42" s="79"/>
      <c r="V42" s="79"/>
      <c r="W42" s="79"/>
      <c r="X42" s="79"/>
      <c r="Y42" s="79"/>
      <c r="Z42" s="79"/>
      <c r="AA42" s="79"/>
    </row>
    <row r="43" spans="1:27" x14ac:dyDescent="0.2">
      <c r="A43" s="73"/>
      <c r="B43" s="74"/>
      <c r="C43" s="74"/>
      <c r="D43" s="74"/>
      <c r="E43" s="74"/>
      <c r="F43" s="74"/>
      <c r="G43" s="75"/>
      <c r="H43" s="75"/>
      <c r="I43" s="76"/>
      <c r="J43" s="77"/>
      <c r="K43" s="76"/>
      <c r="L43" s="76"/>
      <c r="M43" s="74"/>
      <c r="N43" s="74"/>
      <c r="O43" s="78"/>
      <c r="P43" s="78"/>
      <c r="Q43" s="78"/>
      <c r="R43" s="78"/>
      <c r="S43" s="79"/>
      <c r="T43" s="79"/>
      <c r="U43" s="79"/>
      <c r="V43" s="79"/>
      <c r="W43" s="79"/>
      <c r="X43" s="79"/>
      <c r="Y43" s="79"/>
      <c r="Z43" s="79"/>
      <c r="AA43" s="79"/>
    </row>
    <row r="44" spans="1:27" x14ac:dyDescent="0.2">
      <c r="A44" s="73"/>
      <c r="B44" s="74"/>
      <c r="C44" s="74"/>
      <c r="D44" s="74"/>
      <c r="E44" s="74"/>
      <c r="F44" s="74"/>
      <c r="G44" s="75"/>
      <c r="H44" s="75"/>
      <c r="I44" s="76"/>
      <c r="J44" s="77"/>
      <c r="K44" s="76"/>
      <c r="L44" s="76"/>
      <c r="M44" s="74"/>
      <c r="N44" s="74"/>
      <c r="O44" s="78"/>
      <c r="P44" s="78"/>
      <c r="Q44" s="78"/>
      <c r="R44" s="78"/>
      <c r="S44" s="79"/>
      <c r="T44" s="79"/>
      <c r="U44" s="79"/>
      <c r="V44" s="79"/>
      <c r="W44" s="79"/>
      <c r="X44" s="79"/>
      <c r="Y44" s="79"/>
      <c r="Z44" s="79"/>
      <c r="AA44" s="79"/>
    </row>
    <row r="45" spans="1:27" x14ac:dyDescent="0.2">
      <c r="A45" s="73"/>
      <c r="B45" s="74"/>
      <c r="C45" s="74"/>
      <c r="D45" s="74"/>
      <c r="E45" s="74"/>
      <c r="F45" s="74"/>
      <c r="G45" s="75"/>
      <c r="H45" s="75"/>
      <c r="I45" s="76"/>
      <c r="J45" s="77"/>
      <c r="K45" s="76"/>
      <c r="L45" s="76"/>
      <c r="M45" s="74"/>
      <c r="N45" s="74"/>
      <c r="O45" s="78"/>
      <c r="P45" s="78"/>
      <c r="Q45" s="78"/>
      <c r="R45" s="78"/>
      <c r="S45" s="79"/>
      <c r="T45" s="79"/>
      <c r="U45" s="79"/>
      <c r="V45" s="79"/>
      <c r="W45" s="79"/>
      <c r="X45" s="79"/>
      <c r="Y45" s="79"/>
      <c r="Z45" s="79"/>
      <c r="AA45" s="79"/>
    </row>
    <row r="46" spans="1:27" x14ac:dyDescent="0.2">
      <c r="A46" s="73"/>
      <c r="B46" s="74"/>
      <c r="C46" s="74"/>
      <c r="D46" s="74"/>
      <c r="E46" s="74"/>
      <c r="F46" s="74"/>
      <c r="G46" s="75"/>
      <c r="H46" s="75"/>
      <c r="I46" s="76"/>
      <c r="J46" s="77"/>
      <c r="K46" s="76"/>
      <c r="L46" s="76"/>
      <c r="M46" s="74"/>
      <c r="N46" s="74"/>
      <c r="O46" s="78"/>
      <c r="P46" s="78"/>
      <c r="Q46" s="78"/>
      <c r="R46" s="78"/>
      <c r="S46" s="79"/>
      <c r="T46" s="79"/>
      <c r="U46" s="79"/>
      <c r="V46" s="79"/>
      <c r="W46" s="79"/>
      <c r="X46" s="79"/>
      <c r="Y46" s="79"/>
      <c r="Z46" s="79"/>
      <c r="AA46" s="79"/>
    </row>
    <row r="47" spans="1:27" x14ac:dyDescent="0.2">
      <c r="A47" s="73"/>
      <c r="B47" s="74"/>
      <c r="C47" s="74"/>
      <c r="D47" s="74"/>
      <c r="E47" s="74"/>
      <c r="F47" s="74"/>
      <c r="G47" s="75"/>
      <c r="H47" s="75"/>
      <c r="I47" s="76"/>
      <c r="J47" s="77"/>
      <c r="K47" s="76"/>
      <c r="L47" s="76"/>
      <c r="M47" s="74"/>
      <c r="N47" s="74"/>
      <c r="O47" s="78"/>
      <c r="P47" s="78"/>
      <c r="Q47" s="78"/>
      <c r="R47" s="78"/>
      <c r="S47" s="79"/>
      <c r="T47" s="79"/>
      <c r="U47" s="79"/>
      <c r="V47" s="79"/>
      <c r="W47" s="79"/>
      <c r="X47" s="79"/>
      <c r="Y47" s="79"/>
      <c r="Z47" s="79"/>
      <c r="AA47" s="79"/>
    </row>
    <row r="48" spans="1:27" x14ac:dyDescent="0.2">
      <c r="A48" s="73"/>
      <c r="B48" s="74"/>
      <c r="C48" s="74"/>
      <c r="D48" s="74"/>
      <c r="E48" s="74"/>
      <c r="F48" s="74"/>
      <c r="G48" s="75"/>
      <c r="H48" s="75"/>
      <c r="I48" s="76"/>
      <c r="J48" s="77"/>
      <c r="K48" s="76"/>
      <c r="L48" s="76"/>
      <c r="M48" s="74"/>
      <c r="N48" s="74"/>
      <c r="O48" s="78"/>
      <c r="P48" s="78"/>
      <c r="Q48" s="78"/>
      <c r="R48" s="78"/>
      <c r="S48" s="79"/>
      <c r="T48" s="79"/>
      <c r="U48" s="79"/>
      <c r="V48" s="79"/>
      <c r="W48" s="79"/>
      <c r="X48" s="79"/>
      <c r="Y48" s="79"/>
      <c r="Z48" s="79"/>
      <c r="AA48" s="79"/>
    </row>
    <row r="49" spans="1:27" x14ac:dyDescent="0.2">
      <c r="A49" s="73"/>
      <c r="B49" s="74"/>
      <c r="C49" s="74"/>
      <c r="D49" s="74"/>
      <c r="E49" s="74"/>
      <c r="F49" s="74"/>
      <c r="G49" s="75"/>
      <c r="H49" s="75"/>
      <c r="I49" s="76"/>
      <c r="J49" s="77"/>
      <c r="K49" s="76"/>
      <c r="L49" s="76"/>
      <c r="M49" s="74"/>
      <c r="N49" s="74"/>
      <c r="O49" s="78"/>
      <c r="P49" s="78"/>
      <c r="Q49" s="78"/>
      <c r="R49" s="78"/>
      <c r="S49" s="79"/>
      <c r="T49" s="79"/>
      <c r="U49" s="79"/>
      <c r="V49" s="79"/>
      <c r="W49" s="79"/>
      <c r="X49" s="79"/>
      <c r="Y49" s="79"/>
      <c r="Z49" s="79"/>
      <c r="AA49" s="79"/>
    </row>
    <row r="50" spans="1:27" x14ac:dyDescent="0.2">
      <c r="A50" s="73"/>
      <c r="B50" s="74"/>
      <c r="C50" s="74"/>
      <c r="D50" s="74"/>
      <c r="E50" s="74"/>
      <c r="F50" s="74"/>
      <c r="G50" s="75"/>
      <c r="H50" s="75"/>
      <c r="I50" s="76"/>
      <c r="J50" s="77"/>
      <c r="K50" s="76"/>
      <c r="L50" s="76"/>
      <c r="M50" s="74"/>
      <c r="N50" s="74"/>
      <c r="O50" s="78"/>
      <c r="P50" s="78"/>
      <c r="Q50" s="78"/>
      <c r="R50" s="78"/>
      <c r="S50" s="79"/>
      <c r="T50" s="79"/>
      <c r="U50" s="79"/>
      <c r="V50" s="79"/>
      <c r="W50" s="79"/>
      <c r="X50" s="79"/>
      <c r="Y50" s="79"/>
      <c r="Z50" s="79"/>
      <c r="AA50" s="79"/>
    </row>
    <row r="51" spans="1:27" x14ac:dyDescent="0.2">
      <c r="A51" s="73"/>
      <c r="B51" s="74"/>
      <c r="C51" s="74"/>
      <c r="D51" s="74"/>
      <c r="E51" s="74"/>
      <c r="F51" s="74"/>
      <c r="G51" s="75"/>
      <c r="H51" s="75"/>
      <c r="I51" s="76"/>
      <c r="J51" s="77"/>
      <c r="K51" s="76"/>
      <c r="L51" s="76"/>
      <c r="M51" s="74"/>
      <c r="N51" s="74"/>
      <c r="O51" s="78"/>
      <c r="P51" s="78"/>
      <c r="Q51" s="78"/>
      <c r="R51" s="78"/>
      <c r="S51" s="79"/>
      <c r="T51" s="79"/>
      <c r="U51" s="79"/>
      <c r="V51" s="79"/>
      <c r="W51" s="79"/>
      <c r="X51" s="79"/>
      <c r="Y51" s="79"/>
      <c r="Z51" s="79"/>
      <c r="AA51" s="79"/>
    </row>
    <row r="52" spans="1:27" x14ac:dyDescent="0.2">
      <c r="A52" s="73"/>
      <c r="B52" s="74"/>
      <c r="C52" s="74"/>
      <c r="D52" s="74"/>
      <c r="E52" s="74"/>
      <c r="F52" s="74"/>
      <c r="G52" s="75"/>
      <c r="H52" s="75"/>
      <c r="I52" s="76"/>
      <c r="J52" s="77"/>
      <c r="K52" s="76"/>
      <c r="L52" s="76"/>
      <c r="M52" s="74"/>
      <c r="N52" s="74"/>
      <c r="O52" s="78"/>
      <c r="P52" s="78"/>
      <c r="Q52" s="78"/>
      <c r="R52" s="78"/>
      <c r="S52" s="79"/>
      <c r="T52" s="79"/>
      <c r="U52" s="79"/>
      <c r="V52" s="79"/>
      <c r="W52" s="79"/>
      <c r="X52" s="79"/>
      <c r="Y52" s="79"/>
      <c r="Z52" s="79"/>
      <c r="AA52" s="79"/>
    </row>
    <row r="53" spans="1:27" x14ac:dyDescent="0.2">
      <c r="A53" s="73"/>
      <c r="B53" s="74"/>
      <c r="C53" s="74"/>
      <c r="D53" s="74"/>
      <c r="E53" s="74"/>
      <c r="F53" s="74"/>
      <c r="G53" s="75"/>
      <c r="H53" s="75"/>
      <c r="I53" s="76"/>
      <c r="J53" s="77"/>
      <c r="K53" s="76"/>
      <c r="L53" s="76"/>
      <c r="M53" s="74"/>
      <c r="N53" s="74"/>
      <c r="O53" s="78"/>
      <c r="P53" s="78"/>
      <c r="Q53" s="78"/>
      <c r="R53" s="78"/>
      <c r="S53" s="79"/>
      <c r="T53" s="79"/>
      <c r="U53" s="79"/>
      <c r="V53" s="79"/>
      <c r="W53" s="79"/>
      <c r="X53" s="79"/>
      <c r="Y53" s="79"/>
      <c r="Z53" s="79"/>
      <c r="AA53" s="79"/>
    </row>
    <row r="54" spans="1:27" x14ac:dyDescent="0.2">
      <c r="A54" s="73"/>
      <c r="B54" s="74"/>
      <c r="C54" s="74"/>
      <c r="D54" s="74"/>
      <c r="E54" s="74"/>
      <c r="F54" s="74"/>
      <c r="G54" s="75"/>
      <c r="H54" s="75"/>
      <c r="I54" s="76"/>
      <c r="J54" s="77"/>
      <c r="K54" s="76"/>
      <c r="L54" s="76"/>
      <c r="M54" s="74"/>
      <c r="N54" s="74"/>
      <c r="O54" s="78"/>
      <c r="P54" s="78"/>
      <c r="Q54" s="78"/>
      <c r="R54" s="78"/>
      <c r="S54" s="79"/>
      <c r="T54" s="79"/>
      <c r="U54" s="79"/>
      <c r="V54" s="79"/>
      <c r="W54" s="79"/>
      <c r="X54" s="79"/>
      <c r="Y54" s="79"/>
      <c r="Z54" s="79"/>
      <c r="AA54" s="79"/>
    </row>
    <row r="55" spans="1:27" x14ac:dyDescent="0.2">
      <c r="A55" s="73"/>
      <c r="B55" s="74"/>
      <c r="C55" s="74"/>
      <c r="D55" s="74"/>
      <c r="E55" s="74"/>
      <c r="F55" s="74"/>
      <c r="G55" s="75"/>
      <c r="H55" s="75"/>
      <c r="I55" s="76"/>
      <c r="J55" s="77"/>
      <c r="K55" s="76"/>
      <c r="L55" s="76"/>
      <c r="M55" s="74"/>
      <c r="N55" s="74"/>
      <c r="O55" s="78"/>
      <c r="P55" s="78"/>
      <c r="Q55" s="78"/>
      <c r="R55" s="78"/>
      <c r="S55" s="79"/>
      <c r="T55" s="79"/>
      <c r="U55" s="79"/>
      <c r="V55" s="79"/>
      <c r="W55" s="79"/>
      <c r="X55" s="79"/>
      <c r="Y55" s="79"/>
      <c r="Z55" s="79"/>
      <c r="AA55" s="79"/>
    </row>
    <row r="56" spans="1:27" x14ac:dyDescent="0.2">
      <c r="A56" s="73"/>
      <c r="B56" s="74"/>
      <c r="C56" s="74"/>
      <c r="D56" s="74"/>
      <c r="E56" s="74"/>
      <c r="F56" s="74"/>
      <c r="G56" s="75"/>
      <c r="H56" s="75"/>
      <c r="I56" s="76"/>
      <c r="J56" s="77"/>
      <c r="K56" s="76"/>
      <c r="L56" s="76"/>
      <c r="M56" s="74"/>
      <c r="N56" s="74"/>
      <c r="O56" s="78"/>
      <c r="P56" s="78"/>
      <c r="Q56" s="78"/>
      <c r="R56" s="78"/>
      <c r="S56" s="79"/>
      <c r="T56" s="79"/>
      <c r="U56" s="79"/>
      <c r="V56" s="79"/>
      <c r="W56" s="79"/>
      <c r="X56" s="79"/>
      <c r="Y56" s="79"/>
      <c r="Z56" s="79"/>
      <c r="AA56" s="79"/>
    </row>
    <row r="57" spans="1:27" x14ac:dyDescent="0.2">
      <c r="A57" s="73"/>
      <c r="B57" s="74"/>
      <c r="C57" s="74"/>
      <c r="D57" s="74"/>
      <c r="E57" s="74"/>
      <c r="F57" s="74"/>
      <c r="G57" s="75"/>
      <c r="H57" s="75"/>
      <c r="I57" s="76"/>
      <c r="J57" s="77"/>
      <c r="K57" s="76"/>
      <c r="L57" s="76"/>
      <c r="M57" s="74"/>
      <c r="N57" s="74"/>
      <c r="O57" s="78"/>
      <c r="P57" s="78"/>
      <c r="Q57" s="78"/>
      <c r="R57" s="78"/>
      <c r="S57" s="79"/>
      <c r="T57" s="79"/>
      <c r="U57" s="79"/>
      <c r="V57" s="79"/>
      <c r="W57" s="79"/>
      <c r="X57" s="79"/>
      <c r="Y57" s="79"/>
      <c r="Z57" s="79"/>
      <c r="AA57" s="79"/>
    </row>
    <row r="58" spans="1:27" x14ac:dyDescent="0.2">
      <c r="A58" s="73"/>
      <c r="B58" s="74"/>
      <c r="C58" s="74"/>
      <c r="D58" s="74"/>
      <c r="E58" s="74"/>
      <c r="F58" s="74"/>
      <c r="G58" s="75"/>
      <c r="H58" s="75"/>
      <c r="I58" s="76"/>
      <c r="J58" s="77"/>
      <c r="K58" s="76"/>
      <c r="L58" s="76"/>
      <c r="M58" s="74"/>
      <c r="N58" s="74"/>
      <c r="O58" s="78"/>
      <c r="P58" s="78"/>
      <c r="Q58" s="78"/>
      <c r="R58" s="78"/>
      <c r="S58" s="79"/>
      <c r="T58" s="79"/>
      <c r="U58" s="79"/>
      <c r="V58" s="79"/>
      <c r="W58" s="79"/>
      <c r="X58" s="79"/>
      <c r="Y58" s="79"/>
      <c r="Z58" s="79"/>
      <c r="AA58" s="79"/>
    </row>
    <row r="59" spans="1:27" x14ac:dyDescent="0.2">
      <c r="A59" s="73"/>
      <c r="B59" s="74"/>
      <c r="C59" s="74"/>
      <c r="D59" s="74"/>
      <c r="E59" s="74"/>
      <c r="F59" s="74"/>
      <c r="G59" s="75"/>
      <c r="H59" s="75"/>
      <c r="I59" s="76"/>
      <c r="J59" s="77"/>
      <c r="K59" s="76"/>
      <c r="L59" s="76"/>
      <c r="M59" s="74"/>
      <c r="N59" s="74"/>
      <c r="O59" s="78"/>
      <c r="P59" s="78"/>
      <c r="Q59" s="78"/>
      <c r="R59" s="78"/>
      <c r="S59" s="79"/>
      <c r="T59" s="79"/>
      <c r="U59" s="79"/>
      <c r="V59" s="79"/>
      <c r="W59" s="79"/>
      <c r="X59" s="79"/>
      <c r="Y59" s="79"/>
      <c r="Z59" s="79"/>
      <c r="AA59" s="79"/>
    </row>
    <row r="60" spans="1:27" x14ac:dyDescent="0.2">
      <c r="A60" s="73"/>
      <c r="B60" s="74"/>
      <c r="C60" s="74"/>
      <c r="D60" s="74"/>
      <c r="E60" s="74"/>
      <c r="F60" s="74"/>
      <c r="G60" s="75"/>
      <c r="H60" s="75"/>
      <c r="I60" s="76"/>
      <c r="J60" s="77"/>
      <c r="K60" s="76"/>
      <c r="L60" s="76"/>
      <c r="M60" s="74"/>
      <c r="N60" s="74"/>
      <c r="O60" s="78"/>
      <c r="P60" s="78"/>
      <c r="Q60" s="78"/>
      <c r="R60" s="78"/>
      <c r="S60" s="79"/>
      <c r="T60" s="79"/>
      <c r="U60" s="79"/>
      <c r="V60" s="79"/>
      <c r="W60" s="79"/>
      <c r="X60" s="79"/>
      <c r="Y60" s="79"/>
      <c r="Z60" s="79"/>
      <c r="AA60" s="79"/>
    </row>
    <row r="61" spans="1:27" x14ac:dyDescent="0.2">
      <c r="A61" s="73"/>
      <c r="B61" s="74"/>
      <c r="C61" s="74"/>
      <c r="D61" s="74"/>
      <c r="E61" s="74"/>
      <c r="F61" s="74"/>
      <c r="G61" s="75"/>
      <c r="H61" s="75"/>
      <c r="I61" s="76"/>
      <c r="J61" s="77"/>
      <c r="K61" s="76"/>
      <c r="L61" s="76"/>
      <c r="M61" s="74"/>
      <c r="N61" s="74"/>
      <c r="O61" s="78"/>
      <c r="P61" s="78"/>
      <c r="Q61" s="78"/>
      <c r="R61" s="78"/>
      <c r="S61" s="79"/>
      <c r="T61" s="79"/>
      <c r="U61" s="79"/>
      <c r="V61" s="79"/>
      <c r="W61" s="79"/>
      <c r="X61" s="79"/>
      <c r="Y61" s="79"/>
      <c r="Z61" s="79"/>
      <c r="AA61" s="79"/>
    </row>
    <row r="62" spans="1:27" x14ac:dyDescent="0.2">
      <c r="A62" s="73"/>
      <c r="B62" s="74"/>
      <c r="C62" s="74"/>
      <c r="D62" s="74"/>
      <c r="E62" s="74"/>
      <c r="F62" s="74"/>
      <c r="G62" s="75"/>
      <c r="H62" s="75"/>
      <c r="I62" s="76"/>
      <c r="J62" s="77"/>
      <c r="K62" s="76"/>
      <c r="L62" s="76"/>
      <c r="M62" s="74"/>
      <c r="N62" s="74"/>
      <c r="O62" s="78"/>
      <c r="P62" s="78"/>
      <c r="Q62" s="78"/>
      <c r="R62" s="78"/>
      <c r="S62" s="79"/>
      <c r="T62" s="79"/>
      <c r="U62" s="79"/>
      <c r="V62" s="79"/>
      <c r="W62" s="79"/>
      <c r="X62" s="79"/>
      <c r="Y62" s="79"/>
      <c r="Z62" s="79"/>
      <c r="AA62" s="79"/>
    </row>
    <row r="63" spans="1:27" x14ac:dyDescent="0.2">
      <c r="A63" s="73"/>
      <c r="B63" s="74"/>
      <c r="C63" s="74"/>
      <c r="D63" s="74"/>
      <c r="E63" s="74"/>
      <c r="F63" s="74"/>
      <c r="G63" s="75"/>
      <c r="H63" s="75"/>
      <c r="I63" s="76"/>
      <c r="J63" s="77"/>
      <c r="K63" s="76"/>
      <c r="L63" s="76"/>
      <c r="M63" s="74"/>
      <c r="N63" s="74"/>
      <c r="O63" s="78"/>
      <c r="P63" s="78"/>
      <c r="Q63" s="78"/>
      <c r="R63" s="78"/>
      <c r="S63" s="79"/>
      <c r="T63" s="79"/>
      <c r="U63" s="79"/>
      <c r="V63" s="79"/>
      <c r="W63" s="79"/>
      <c r="X63" s="79"/>
      <c r="Y63" s="79"/>
      <c r="Z63" s="79"/>
      <c r="AA63" s="79"/>
    </row>
    <row r="64" spans="1:27" x14ac:dyDescent="0.2">
      <c r="A64" s="73"/>
      <c r="B64" s="74"/>
      <c r="C64" s="74"/>
      <c r="D64" s="74"/>
      <c r="E64" s="74"/>
      <c r="F64" s="74"/>
      <c r="G64" s="75"/>
      <c r="H64" s="75"/>
      <c r="I64" s="76"/>
      <c r="J64" s="77"/>
      <c r="K64" s="76"/>
      <c r="L64" s="76"/>
      <c r="M64" s="74"/>
      <c r="N64" s="74"/>
      <c r="O64" s="78"/>
      <c r="P64" s="78"/>
      <c r="Q64" s="78"/>
      <c r="R64" s="78"/>
      <c r="S64" s="79"/>
      <c r="T64" s="79"/>
      <c r="U64" s="79"/>
      <c r="V64" s="79"/>
      <c r="W64" s="79"/>
      <c r="X64" s="79"/>
      <c r="Y64" s="79"/>
      <c r="Z64" s="79"/>
      <c r="AA64" s="79"/>
    </row>
    <row r="65" spans="1:27" x14ac:dyDescent="0.2">
      <c r="A65" s="73"/>
      <c r="B65" s="74"/>
      <c r="C65" s="74"/>
      <c r="D65" s="74"/>
      <c r="E65" s="74"/>
      <c r="F65" s="74"/>
      <c r="G65" s="75"/>
      <c r="H65" s="75"/>
      <c r="I65" s="76"/>
      <c r="J65" s="77"/>
      <c r="K65" s="76"/>
      <c r="L65" s="76"/>
      <c r="M65" s="74"/>
      <c r="N65" s="74"/>
      <c r="O65" s="78"/>
      <c r="P65" s="78"/>
      <c r="Q65" s="78"/>
      <c r="R65" s="78"/>
      <c r="S65" s="79"/>
      <c r="T65" s="79"/>
      <c r="U65" s="79"/>
      <c r="V65" s="79"/>
      <c r="W65" s="79"/>
      <c r="X65" s="79"/>
      <c r="Y65" s="79"/>
      <c r="Z65" s="79"/>
      <c r="AA65" s="79"/>
    </row>
    <row r="66" spans="1:27" x14ac:dyDescent="0.2">
      <c r="A66" s="73"/>
      <c r="B66" s="74"/>
      <c r="C66" s="74"/>
      <c r="D66" s="74"/>
      <c r="E66" s="74"/>
      <c r="F66" s="74"/>
      <c r="G66" s="75"/>
      <c r="H66" s="75"/>
      <c r="I66" s="76"/>
      <c r="J66" s="77"/>
      <c r="K66" s="76"/>
      <c r="L66" s="76"/>
      <c r="M66" s="74"/>
      <c r="N66" s="74"/>
      <c r="O66" s="78"/>
      <c r="P66" s="78"/>
      <c r="Q66" s="78"/>
      <c r="R66" s="78"/>
      <c r="S66" s="79"/>
      <c r="T66" s="79"/>
      <c r="U66" s="79"/>
      <c r="V66" s="79"/>
      <c r="W66" s="79"/>
      <c r="X66" s="79"/>
      <c r="Y66" s="79"/>
      <c r="Z66" s="79"/>
      <c r="AA66" s="79"/>
    </row>
    <row r="67" spans="1:27" x14ac:dyDescent="0.2">
      <c r="A67" s="73"/>
      <c r="B67" s="74"/>
      <c r="C67" s="74"/>
      <c r="D67" s="74"/>
      <c r="E67" s="74"/>
      <c r="F67" s="74"/>
      <c r="G67" s="75"/>
      <c r="H67" s="75"/>
      <c r="I67" s="76"/>
      <c r="J67" s="77"/>
      <c r="K67" s="76"/>
      <c r="L67" s="76"/>
      <c r="M67" s="74"/>
      <c r="N67" s="74"/>
      <c r="O67" s="78"/>
      <c r="P67" s="78"/>
      <c r="Q67" s="78"/>
      <c r="R67" s="78"/>
      <c r="S67" s="79"/>
      <c r="T67" s="79"/>
      <c r="U67" s="79"/>
      <c r="V67" s="79"/>
      <c r="W67" s="79"/>
      <c r="X67" s="79"/>
      <c r="Y67" s="79"/>
      <c r="Z67" s="79"/>
      <c r="AA67" s="79"/>
    </row>
    <row r="68" spans="1:27" x14ac:dyDescent="0.2">
      <c r="A68" s="73"/>
      <c r="B68" s="74"/>
      <c r="C68" s="74"/>
      <c r="D68" s="74"/>
      <c r="E68" s="74"/>
      <c r="F68" s="74"/>
      <c r="G68" s="75"/>
      <c r="H68" s="75"/>
      <c r="I68" s="76"/>
      <c r="J68" s="77"/>
      <c r="K68" s="76"/>
      <c r="L68" s="76"/>
      <c r="M68" s="74"/>
      <c r="N68" s="74"/>
      <c r="O68" s="78"/>
      <c r="P68" s="78"/>
      <c r="Q68" s="78"/>
      <c r="R68" s="78"/>
      <c r="S68" s="79"/>
      <c r="T68" s="79"/>
      <c r="U68" s="79"/>
      <c r="V68" s="79"/>
      <c r="W68" s="79"/>
      <c r="X68" s="79"/>
      <c r="Y68" s="79"/>
      <c r="Z68" s="79"/>
      <c r="AA68" s="79"/>
    </row>
    <row r="69" spans="1:27" x14ac:dyDescent="0.2">
      <c r="A69" s="73"/>
      <c r="B69" s="74"/>
      <c r="C69" s="74"/>
      <c r="D69" s="74"/>
      <c r="E69" s="74"/>
      <c r="F69" s="74"/>
      <c r="G69" s="75"/>
      <c r="H69" s="75"/>
      <c r="I69" s="76"/>
      <c r="J69" s="77"/>
      <c r="K69" s="76"/>
      <c r="L69" s="76"/>
      <c r="M69" s="74"/>
      <c r="N69" s="74"/>
      <c r="O69" s="78"/>
      <c r="P69" s="78"/>
      <c r="Q69" s="78"/>
      <c r="R69" s="78"/>
      <c r="S69" s="79"/>
      <c r="T69" s="79"/>
      <c r="U69" s="79"/>
      <c r="V69" s="79"/>
      <c r="W69" s="79"/>
      <c r="X69" s="79"/>
      <c r="Y69" s="79"/>
      <c r="Z69" s="79"/>
      <c r="AA69" s="79"/>
    </row>
    <row r="70" spans="1:27" x14ac:dyDescent="0.2">
      <c r="A70" s="73"/>
      <c r="B70" s="74"/>
      <c r="C70" s="74"/>
      <c r="D70" s="74"/>
      <c r="E70" s="74"/>
      <c r="F70" s="74"/>
      <c r="G70" s="75"/>
      <c r="H70" s="75"/>
      <c r="I70" s="76"/>
      <c r="J70" s="77"/>
      <c r="K70" s="76"/>
      <c r="L70" s="76"/>
      <c r="M70" s="74"/>
      <c r="N70" s="74"/>
      <c r="O70" s="78"/>
      <c r="P70" s="78"/>
      <c r="Q70" s="78"/>
      <c r="R70" s="78"/>
      <c r="S70" s="79"/>
      <c r="T70" s="79"/>
      <c r="U70" s="79"/>
      <c r="V70" s="79"/>
      <c r="W70" s="79"/>
      <c r="X70" s="79"/>
      <c r="Y70" s="79"/>
      <c r="Z70" s="79"/>
      <c r="AA70" s="79"/>
    </row>
    <row r="71" spans="1:27" x14ac:dyDescent="0.2">
      <c r="A71" s="73"/>
      <c r="B71" s="74"/>
      <c r="C71" s="74"/>
      <c r="D71" s="74"/>
      <c r="E71" s="74"/>
      <c r="F71" s="74"/>
      <c r="G71" s="75"/>
      <c r="H71" s="75"/>
      <c r="I71" s="76"/>
      <c r="J71" s="77"/>
      <c r="K71" s="76"/>
      <c r="L71" s="76"/>
      <c r="M71" s="74"/>
      <c r="N71" s="74"/>
      <c r="O71" s="78"/>
      <c r="P71" s="78"/>
      <c r="Q71" s="78"/>
      <c r="R71" s="78"/>
      <c r="S71" s="79"/>
      <c r="T71" s="79"/>
      <c r="U71" s="79"/>
      <c r="V71" s="79"/>
      <c r="W71" s="79"/>
      <c r="X71" s="79"/>
      <c r="Y71" s="79"/>
      <c r="Z71" s="79"/>
      <c r="AA71" s="79"/>
    </row>
    <row r="72" spans="1:27" x14ac:dyDescent="0.2">
      <c r="A72" s="73"/>
      <c r="B72" s="74"/>
      <c r="C72" s="74"/>
      <c r="D72" s="74"/>
      <c r="E72" s="74"/>
      <c r="F72" s="74"/>
      <c r="G72" s="75"/>
      <c r="H72" s="75"/>
      <c r="I72" s="76"/>
      <c r="J72" s="77"/>
      <c r="K72" s="76"/>
      <c r="L72" s="76"/>
      <c r="M72" s="74"/>
      <c r="N72" s="74"/>
      <c r="O72" s="78"/>
      <c r="P72" s="78"/>
      <c r="Q72" s="78"/>
      <c r="R72" s="78"/>
      <c r="S72" s="79"/>
      <c r="T72" s="79"/>
      <c r="U72" s="79"/>
      <c r="V72" s="79"/>
      <c r="W72" s="79"/>
      <c r="X72" s="79"/>
      <c r="Y72" s="79"/>
      <c r="Z72" s="79"/>
      <c r="AA72" s="79"/>
    </row>
    <row r="73" spans="1:27" x14ac:dyDescent="0.2">
      <c r="A73" s="73"/>
      <c r="B73" s="74"/>
      <c r="C73" s="74"/>
      <c r="D73" s="74"/>
      <c r="E73" s="74"/>
      <c r="F73" s="74"/>
      <c r="G73" s="75"/>
      <c r="H73" s="75"/>
      <c r="I73" s="76"/>
      <c r="J73" s="77"/>
      <c r="K73" s="76"/>
      <c r="L73" s="76"/>
      <c r="M73" s="74"/>
      <c r="N73" s="74"/>
      <c r="O73" s="78"/>
      <c r="P73" s="78"/>
      <c r="Q73" s="78"/>
      <c r="R73" s="78"/>
      <c r="S73" s="79"/>
      <c r="T73" s="79"/>
      <c r="U73" s="79"/>
      <c r="V73" s="79"/>
      <c r="W73" s="79"/>
      <c r="X73" s="79"/>
      <c r="Y73" s="79"/>
      <c r="Z73" s="79"/>
      <c r="AA73" s="79"/>
    </row>
    <row r="74" spans="1:27" x14ac:dyDescent="0.2">
      <c r="A74" s="73"/>
      <c r="B74" s="74"/>
      <c r="C74" s="74"/>
      <c r="D74" s="74"/>
      <c r="E74" s="74"/>
      <c r="F74" s="74"/>
      <c r="G74" s="75"/>
      <c r="H74" s="75"/>
      <c r="I74" s="76"/>
      <c r="J74" s="77"/>
      <c r="K74" s="76"/>
      <c r="L74" s="76"/>
      <c r="M74" s="74"/>
      <c r="N74" s="74"/>
      <c r="O74" s="78"/>
      <c r="P74" s="78"/>
      <c r="Q74" s="78"/>
      <c r="R74" s="78"/>
      <c r="S74" s="79"/>
      <c r="T74" s="79"/>
      <c r="U74" s="79"/>
      <c r="V74" s="79"/>
      <c r="W74" s="79"/>
      <c r="X74" s="79"/>
      <c r="Y74" s="79"/>
      <c r="Z74" s="79"/>
      <c r="AA74" s="79"/>
    </row>
    <row r="75" spans="1:27" x14ac:dyDescent="0.2">
      <c r="A75" s="73"/>
      <c r="B75" s="74"/>
      <c r="C75" s="74"/>
      <c r="D75" s="74"/>
      <c r="E75" s="74"/>
      <c r="F75" s="74"/>
      <c r="G75" s="75"/>
      <c r="H75" s="75"/>
      <c r="I75" s="76"/>
      <c r="J75" s="77"/>
      <c r="K75" s="76"/>
      <c r="L75" s="76"/>
      <c r="M75" s="74"/>
      <c r="N75" s="74"/>
      <c r="O75" s="78"/>
      <c r="P75" s="78"/>
      <c r="Q75" s="78"/>
      <c r="R75" s="78"/>
      <c r="S75" s="79"/>
      <c r="T75" s="79"/>
      <c r="U75" s="79"/>
      <c r="V75" s="79"/>
      <c r="W75" s="79"/>
      <c r="X75" s="79"/>
      <c r="Y75" s="79"/>
      <c r="Z75" s="79"/>
      <c r="AA75" s="79"/>
    </row>
    <row r="76" spans="1:27" x14ac:dyDescent="0.2">
      <c r="A76" s="73"/>
      <c r="B76" s="74"/>
      <c r="C76" s="74"/>
      <c r="D76" s="74"/>
      <c r="E76" s="74"/>
      <c r="F76" s="74"/>
      <c r="G76" s="75"/>
      <c r="H76" s="75"/>
      <c r="I76" s="76"/>
      <c r="J76" s="77"/>
      <c r="K76" s="76"/>
      <c r="L76" s="76"/>
      <c r="M76" s="74"/>
      <c r="N76" s="74"/>
      <c r="O76" s="78"/>
      <c r="P76" s="78"/>
      <c r="Q76" s="78"/>
      <c r="R76" s="78"/>
      <c r="S76" s="79"/>
      <c r="T76" s="79"/>
      <c r="U76" s="79"/>
      <c r="V76" s="79"/>
      <c r="W76" s="79"/>
      <c r="X76" s="79"/>
      <c r="Y76" s="79"/>
      <c r="Z76" s="79"/>
      <c r="AA76" s="79"/>
    </row>
    <row r="77" spans="1:27" x14ac:dyDescent="0.2">
      <c r="A77" s="73"/>
      <c r="B77" s="74"/>
      <c r="C77" s="74"/>
      <c r="D77" s="74"/>
      <c r="E77" s="74"/>
      <c r="F77" s="74"/>
      <c r="G77" s="75"/>
      <c r="H77" s="75"/>
      <c r="I77" s="76"/>
      <c r="J77" s="77"/>
      <c r="K77" s="76"/>
      <c r="L77" s="76"/>
      <c r="M77" s="74"/>
      <c r="N77" s="74"/>
      <c r="O77" s="78"/>
      <c r="P77" s="78"/>
      <c r="Q77" s="78"/>
      <c r="R77" s="78"/>
      <c r="S77" s="79"/>
      <c r="T77" s="79"/>
      <c r="U77" s="79"/>
      <c r="V77" s="79"/>
      <c r="W77" s="79"/>
      <c r="X77" s="79"/>
      <c r="Y77" s="79"/>
      <c r="Z77" s="79"/>
      <c r="AA77" s="79"/>
    </row>
    <row r="78" spans="1:27" x14ac:dyDescent="0.2">
      <c r="A78" s="73"/>
      <c r="B78" s="74"/>
      <c r="C78" s="74"/>
      <c r="D78" s="74"/>
      <c r="E78" s="74"/>
      <c r="F78" s="74"/>
      <c r="G78" s="75"/>
      <c r="H78" s="75"/>
      <c r="I78" s="76"/>
      <c r="J78" s="77"/>
      <c r="K78" s="76"/>
      <c r="L78" s="76"/>
      <c r="M78" s="74"/>
      <c r="N78" s="74"/>
      <c r="O78" s="78"/>
      <c r="P78" s="78"/>
      <c r="Q78" s="78"/>
      <c r="R78" s="78"/>
      <c r="S78" s="79"/>
      <c r="T78" s="79"/>
      <c r="U78" s="79"/>
      <c r="V78" s="79"/>
      <c r="W78" s="79"/>
      <c r="X78" s="79"/>
      <c r="Y78" s="79"/>
      <c r="Z78" s="79"/>
      <c r="AA78" s="79"/>
    </row>
    <row r="79" spans="1:27" x14ac:dyDescent="0.2">
      <c r="A79" s="73"/>
      <c r="B79" s="74"/>
      <c r="C79" s="74"/>
      <c r="D79" s="74"/>
      <c r="E79" s="74"/>
      <c r="F79" s="74"/>
      <c r="G79" s="75"/>
      <c r="H79" s="75"/>
      <c r="I79" s="76"/>
      <c r="J79" s="77"/>
      <c r="K79" s="76"/>
      <c r="L79" s="76"/>
      <c r="M79" s="74"/>
      <c r="N79" s="74"/>
      <c r="O79" s="78"/>
      <c r="P79" s="78"/>
      <c r="Q79" s="78"/>
      <c r="R79" s="78"/>
      <c r="S79" s="79"/>
      <c r="T79" s="79"/>
      <c r="U79" s="79"/>
      <c r="V79" s="79"/>
      <c r="W79" s="79"/>
      <c r="X79" s="79"/>
      <c r="Y79" s="79"/>
      <c r="Z79" s="79"/>
      <c r="AA79" s="79"/>
    </row>
    <row r="80" spans="1:27" x14ac:dyDescent="0.2">
      <c r="A80" s="73"/>
      <c r="B80" s="74"/>
      <c r="C80" s="74"/>
      <c r="D80" s="74"/>
      <c r="E80" s="74"/>
      <c r="F80" s="74"/>
      <c r="G80" s="75"/>
      <c r="H80" s="75"/>
      <c r="I80" s="76"/>
      <c r="J80" s="77"/>
      <c r="K80" s="76"/>
      <c r="L80" s="76"/>
      <c r="M80" s="74"/>
      <c r="N80" s="74"/>
      <c r="O80" s="78"/>
      <c r="P80" s="78"/>
      <c r="Q80" s="78"/>
      <c r="R80" s="78"/>
      <c r="S80" s="79"/>
      <c r="T80" s="79"/>
      <c r="U80" s="79"/>
      <c r="V80" s="79"/>
      <c r="W80" s="79"/>
      <c r="X80" s="79"/>
      <c r="Y80" s="79"/>
      <c r="Z80" s="79"/>
      <c r="AA80" s="79"/>
    </row>
    <row r="81" spans="1:27" x14ac:dyDescent="0.2">
      <c r="A81" s="73"/>
      <c r="B81" s="74"/>
      <c r="C81" s="74"/>
      <c r="D81" s="74"/>
      <c r="E81" s="74"/>
      <c r="F81" s="74"/>
      <c r="G81" s="75"/>
      <c r="H81" s="75"/>
      <c r="I81" s="76"/>
      <c r="J81" s="77"/>
      <c r="K81" s="76"/>
      <c r="L81" s="76"/>
      <c r="M81" s="74"/>
      <c r="N81" s="74"/>
      <c r="O81" s="78"/>
      <c r="P81" s="78"/>
      <c r="Q81" s="78"/>
      <c r="R81" s="78"/>
      <c r="S81" s="79"/>
      <c r="T81" s="79"/>
      <c r="U81" s="79"/>
      <c r="V81" s="79"/>
      <c r="W81" s="79"/>
      <c r="X81" s="79"/>
      <c r="Y81" s="79"/>
      <c r="Z81" s="79"/>
      <c r="AA81" s="79"/>
    </row>
    <row r="82" spans="1:27" x14ac:dyDescent="0.2">
      <c r="A82" s="73"/>
      <c r="B82" s="74"/>
      <c r="C82" s="74"/>
      <c r="D82" s="74"/>
      <c r="E82" s="74"/>
      <c r="F82" s="74"/>
      <c r="G82" s="75"/>
      <c r="H82" s="75"/>
      <c r="I82" s="76"/>
      <c r="J82" s="77"/>
      <c r="K82" s="76"/>
      <c r="L82" s="76"/>
      <c r="M82" s="74"/>
      <c r="N82" s="74"/>
      <c r="O82" s="78"/>
      <c r="P82" s="78"/>
      <c r="Q82" s="78"/>
      <c r="R82" s="78"/>
      <c r="S82" s="79"/>
      <c r="T82" s="79"/>
      <c r="U82" s="79"/>
      <c r="V82" s="79"/>
      <c r="W82" s="79"/>
      <c r="X82" s="79"/>
      <c r="Y82" s="79"/>
      <c r="Z82" s="79"/>
      <c r="AA82" s="79"/>
    </row>
    <row r="83" spans="1:27" x14ac:dyDescent="0.2">
      <c r="A83" s="73"/>
      <c r="B83" s="74"/>
      <c r="C83" s="74"/>
      <c r="D83" s="74"/>
      <c r="E83" s="74"/>
      <c r="F83" s="74"/>
      <c r="G83" s="75"/>
      <c r="H83" s="75"/>
      <c r="I83" s="76"/>
      <c r="J83" s="77"/>
      <c r="K83" s="76"/>
      <c r="L83" s="76"/>
      <c r="M83" s="74"/>
      <c r="N83" s="74"/>
      <c r="O83" s="78"/>
      <c r="P83" s="78"/>
      <c r="Q83" s="78"/>
      <c r="R83" s="78"/>
      <c r="S83" s="79"/>
      <c r="T83" s="79"/>
      <c r="U83" s="79"/>
      <c r="V83" s="79"/>
      <c r="W83" s="79"/>
      <c r="X83" s="79"/>
      <c r="Y83" s="79"/>
      <c r="Z83" s="79"/>
      <c r="AA83" s="79"/>
    </row>
    <row r="84" spans="1:27" x14ac:dyDescent="0.2">
      <c r="A84" s="73"/>
      <c r="B84" s="74"/>
      <c r="C84" s="74"/>
      <c r="D84" s="74"/>
      <c r="E84" s="74"/>
      <c r="F84" s="74"/>
      <c r="G84" s="75"/>
      <c r="H84" s="75"/>
      <c r="I84" s="76"/>
      <c r="J84" s="77"/>
      <c r="K84" s="76"/>
      <c r="L84" s="76"/>
      <c r="M84" s="74"/>
      <c r="N84" s="74"/>
      <c r="O84" s="78"/>
      <c r="P84" s="78"/>
      <c r="Q84" s="78"/>
      <c r="R84" s="78"/>
      <c r="S84" s="79"/>
      <c r="T84" s="79"/>
      <c r="U84" s="79"/>
      <c r="V84" s="79"/>
      <c r="W84" s="79"/>
      <c r="X84" s="79"/>
      <c r="Y84" s="79"/>
      <c r="Z84" s="79"/>
      <c r="AA84" s="79"/>
    </row>
    <row r="85" spans="1:27" x14ac:dyDescent="0.2">
      <c r="A85" s="73"/>
      <c r="B85" s="74"/>
      <c r="C85" s="74"/>
      <c r="D85" s="74"/>
      <c r="E85" s="74"/>
      <c r="F85" s="74"/>
      <c r="G85" s="75"/>
      <c r="H85" s="75"/>
      <c r="I85" s="76"/>
      <c r="J85" s="77"/>
      <c r="K85" s="76"/>
      <c r="L85" s="76"/>
      <c r="M85" s="74"/>
      <c r="N85" s="74"/>
      <c r="O85" s="78"/>
      <c r="P85" s="78"/>
      <c r="Q85" s="78"/>
      <c r="R85" s="78"/>
      <c r="S85" s="79"/>
      <c r="T85" s="79"/>
      <c r="U85" s="79"/>
      <c r="V85" s="79"/>
      <c r="W85" s="79"/>
      <c r="X85" s="79"/>
      <c r="Y85" s="79"/>
      <c r="Z85" s="79"/>
      <c r="AA85" s="79"/>
    </row>
    <row r="86" spans="1:27" x14ac:dyDescent="0.2">
      <c r="A86" s="73"/>
      <c r="B86" s="74"/>
      <c r="C86" s="74"/>
      <c r="D86" s="74"/>
      <c r="E86" s="74"/>
      <c r="F86" s="74"/>
      <c r="G86" s="75"/>
      <c r="H86" s="75"/>
      <c r="I86" s="76"/>
      <c r="J86" s="77"/>
      <c r="K86" s="76"/>
      <c r="L86" s="76"/>
      <c r="M86" s="74"/>
      <c r="N86" s="74"/>
      <c r="O86" s="78"/>
      <c r="P86" s="78"/>
      <c r="Q86" s="78"/>
      <c r="R86" s="78"/>
      <c r="S86" s="79"/>
      <c r="T86" s="79"/>
      <c r="U86" s="79"/>
      <c r="V86" s="79"/>
      <c r="W86" s="79"/>
      <c r="X86" s="79"/>
      <c r="Y86" s="79"/>
      <c r="Z86" s="79"/>
      <c r="AA86" s="79"/>
    </row>
    <row r="87" spans="1:27" x14ac:dyDescent="0.2">
      <c r="A87" s="73"/>
      <c r="B87" s="74"/>
      <c r="C87" s="74"/>
      <c r="D87" s="74"/>
      <c r="E87" s="74"/>
      <c r="F87" s="74"/>
      <c r="G87" s="75"/>
      <c r="H87" s="75"/>
      <c r="I87" s="76"/>
      <c r="J87" s="77"/>
      <c r="K87" s="76"/>
      <c r="L87" s="76"/>
      <c r="M87" s="74"/>
      <c r="N87" s="74"/>
      <c r="O87" s="78"/>
      <c r="P87" s="78"/>
      <c r="Q87" s="78"/>
      <c r="R87" s="78"/>
      <c r="S87" s="79"/>
      <c r="T87" s="79"/>
      <c r="U87" s="79"/>
      <c r="V87" s="79"/>
      <c r="W87" s="79"/>
      <c r="X87" s="79"/>
      <c r="Y87" s="79"/>
      <c r="Z87" s="79"/>
      <c r="AA87" s="79"/>
    </row>
    <row r="88" spans="1:27" x14ac:dyDescent="0.2">
      <c r="A88" s="73"/>
      <c r="B88" s="74"/>
      <c r="C88" s="74"/>
      <c r="D88" s="74"/>
      <c r="E88" s="74"/>
      <c r="F88" s="74"/>
      <c r="G88" s="75"/>
      <c r="H88" s="75"/>
      <c r="I88" s="76"/>
      <c r="J88" s="77"/>
      <c r="K88" s="76"/>
      <c r="L88" s="76"/>
      <c r="M88" s="74"/>
      <c r="N88" s="74"/>
      <c r="O88" s="78"/>
      <c r="P88" s="78"/>
      <c r="Q88" s="78"/>
      <c r="R88" s="78"/>
      <c r="S88" s="79"/>
      <c r="T88" s="79"/>
      <c r="U88" s="79"/>
      <c r="V88" s="79"/>
      <c r="W88" s="79"/>
      <c r="X88" s="79"/>
      <c r="Y88" s="79"/>
      <c r="Z88" s="79"/>
      <c r="AA88" s="79"/>
    </row>
    <row r="89" spans="1:27" x14ac:dyDescent="0.2">
      <c r="A89" s="73"/>
      <c r="B89" s="74"/>
      <c r="C89" s="74"/>
      <c r="D89" s="74"/>
      <c r="E89" s="74"/>
      <c r="F89" s="74"/>
      <c r="G89" s="75"/>
      <c r="H89" s="75"/>
      <c r="I89" s="76"/>
      <c r="J89" s="77"/>
      <c r="K89" s="76"/>
      <c r="L89" s="76"/>
      <c r="M89" s="74"/>
      <c r="N89" s="74"/>
      <c r="O89" s="78"/>
      <c r="P89" s="78"/>
      <c r="Q89" s="78"/>
      <c r="R89" s="78"/>
      <c r="S89" s="79"/>
      <c r="T89" s="79"/>
      <c r="U89" s="79"/>
      <c r="V89" s="79"/>
      <c r="W89" s="79"/>
      <c r="X89" s="79"/>
      <c r="Y89" s="79"/>
      <c r="Z89" s="79"/>
      <c r="AA89" s="79"/>
    </row>
    <row r="90" spans="1:27" x14ac:dyDescent="0.2">
      <c r="A90" s="73"/>
      <c r="B90" s="74"/>
      <c r="C90" s="74"/>
      <c r="D90" s="74"/>
      <c r="E90" s="74"/>
      <c r="F90" s="74"/>
      <c r="G90" s="75"/>
      <c r="H90" s="75"/>
      <c r="I90" s="76"/>
      <c r="J90" s="77"/>
      <c r="K90" s="76"/>
      <c r="L90" s="76"/>
      <c r="M90" s="74"/>
      <c r="N90" s="74"/>
      <c r="O90" s="78"/>
      <c r="P90" s="78"/>
      <c r="Q90" s="78"/>
      <c r="R90" s="78"/>
      <c r="S90" s="79"/>
      <c r="T90" s="79"/>
      <c r="U90" s="79"/>
      <c r="V90" s="79"/>
      <c r="W90" s="79"/>
      <c r="X90" s="79"/>
      <c r="Y90" s="79"/>
      <c r="Z90" s="79"/>
      <c r="AA90" s="79"/>
    </row>
    <row r="91" spans="1:27" x14ac:dyDescent="0.2">
      <c r="A91" s="73"/>
      <c r="B91" s="74"/>
      <c r="C91" s="74"/>
      <c r="D91" s="74"/>
      <c r="E91" s="74"/>
      <c r="F91" s="74"/>
      <c r="G91" s="75"/>
      <c r="H91" s="75"/>
      <c r="I91" s="76"/>
      <c r="J91" s="77"/>
      <c r="K91" s="76"/>
      <c r="L91" s="76"/>
      <c r="M91" s="74"/>
      <c r="N91" s="74"/>
      <c r="O91" s="78"/>
      <c r="P91" s="78"/>
      <c r="Q91" s="78"/>
      <c r="R91" s="78"/>
      <c r="S91" s="79"/>
      <c r="T91" s="79"/>
      <c r="U91" s="79"/>
      <c r="V91" s="79"/>
      <c r="W91" s="79"/>
      <c r="X91" s="79"/>
      <c r="Y91" s="79"/>
      <c r="Z91" s="79"/>
      <c r="AA91" s="79"/>
    </row>
    <row r="92" spans="1:27" x14ac:dyDescent="0.2">
      <c r="A92" s="73"/>
      <c r="B92" s="74"/>
      <c r="C92" s="74"/>
      <c r="D92" s="74"/>
      <c r="E92" s="74"/>
      <c r="F92" s="74"/>
      <c r="G92" s="75"/>
      <c r="H92" s="75"/>
      <c r="I92" s="76"/>
      <c r="J92" s="77"/>
      <c r="K92" s="76"/>
      <c r="L92" s="76"/>
      <c r="M92" s="74"/>
      <c r="N92" s="74"/>
      <c r="O92" s="78"/>
      <c r="P92" s="78"/>
      <c r="Q92" s="78"/>
      <c r="R92" s="78"/>
      <c r="S92" s="79"/>
      <c r="T92" s="79"/>
      <c r="U92" s="79"/>
      <c r="V92" s="79"/>
      <c r="W92" s="79"/>
      <c r="X92" s="79"/>
      <c r="Y92" s="79"/>
      <c r="Z92" s="79"/>
      <c r="AA92" s="79"/>
    </row>
    <row r="93" spans="1:27" x14ac:dyDescent="0.2">
      <c r="A93" s="73"/>
      <c r="B93" s="74"/>
      <c r="C93" s="74"/>
      <c r="D93" s="74"/>
      <c r="E93" s="74"/>
      <c r="F93" s="74"/>
      <c r="G93" s="75"/>
      <c r="H93" s="75"/>
      <c r="I93" s="76"/>
      <c r="J93" s="77"/>
      <c r="K93" s="76"/>
      <c r="L93" s="76"/>
      <c r="M93" s="74"/>
      <c r="N93" s="74"/>
      <c r="O93" s="78"/>
      <c r="P93" s="78"/>
      <c r="Q93" s="78"/>
      <c r="R93" s="78"/>
      <c r="S93" s="79"/>
      <c r="T93" s="79"/>
      <c r="U93" s="79"/>
      <c r="V93" s="79"/>
      <c r="W93" s="79"/>
      <c r="X93" s="79"/>
      <c r="Y93" s="79"/>
      <c r="Z93" s="79"/>
      <c r="AA93" s="79"/>
    </row>
    <row r="94" spans="1:27" x14ac:dyDescent="0.2">
      <c r="A94" s="73"/>
      <c r="B94" s="74"/>
      <c r="C94" s="74"/>
      <c r="D94" s="74"/>
      <c r="E94" s="74"/>
      <c r="F94" s="74"/>
      <c r="G94" s="75"/>
      <c r="H94" s="75"/>
      <c r="I94" s="76"/>
      <c r="J94" s="77"/>
      <c r="K94" s="76"/>
      <c r="L94" s="76"/>
      <c r="M94" s="74"/>
      <c r="N94" s="74"/>
      <c r="O94" s="78"/>
      <c r="P94" s="78"/>
      <c r="Q94" s="78"/>
      <c r="R94" s="78"/>
      <c r="S94" s="79"/>
      <c r="T94" s="79"/>
      <c r="U94" s="79"/>
      <c r="V94" s="79"/>
      <c r="W94" s="79"/>
      <c r="X94" s="79"/>
      <c r="Y94" s="79"/>
      <c r="Z94" s="79"/>
      <c r="AA94" s="79"/>
    </row>
    <row r="95" spans="1:27" x14ac:dyDescent="0.2">
      <c r="A95" s="73"/>
      <c r="B95" s="74"/>
      <c r="C95" s="74"/>
      <c r="D95" s="74"/>
      <c r="E95" s="74"/>
      <c r="F95" s="74"/>
      <c r="G95" s="75"/>
      <c r="H95" s="75"/>
      <c r="I95" s="76"/>
      <c r="J95" s="77"/>
      <c r="K95" s="76"/>
      <c r="L95" s="76"/>
      <c r="M95" s="74"/>
      <c r="N95" s="74"/>
      <c r="O95" s="78"/>
      <c r="P95" s="78"/>
      <c r="Q95" s="78"/>
      <c r="R95" s="78"/>
      <c r="S95" s="79"/>
      <c r="T95" s="79"/>
      <c r="U95" s="79"/>
      <c r="V95" s="79"/>
      <c r="W95" s="79"/>
      <c r="X95" s="79"/>
      <c r="Y95" s="79"/>
      <c r="Z95" s="79"/>
      <c r="AA95" s="79"/>
    </row>
    <row r="96" spans="1:27" x14ac:dyDescent="0.2">
      <c r="A96" s="73"/>
      <c r="B96" s="74"/>
      <c r="C96" s="74"/>
      <c r="D96" s="74"/>
      <c r="E96" s="74"/>
      <c r="F96" s="74"/>
      <c r="G96" s="75"/>
      <c r="H96" s="75"/>
      <c r="I96" s="76"/>
      <c r="J96" s="77"/>
      <c r="K96" s="76"/>
      <c r="L96" s="76"/>
      <c r="M96" s="74"/>
      <c r="N96" s="74"/>
      <c r="O96" s="78"/>
      <c r="P96" s="78"/>
      <c r="Q96" s="78"/>
      <c r="R96" s="78"/>
      <c r="S96" s="79"/>
      <c r="T96" s="79"/>
      <c r="U96" s="79"/>
      <c r="V96" s="79"/>
      <c r="W96" s="79"/>
      <c r="X96" s="79"/>
      <c r="Y96" s="79"/>
      <c r="Z96" s="79"/>
      <c r="AA96" s="79"/>
    </row>
    <row r="97" spans="1:27" x14ac:dyDescent="0.2">
      <c r="A97" s="73"/>
      <c r="B97" s="74"/>
      <c r="C97" s="74"/>
      <c r="D97" s="74"/>
      <c r="E97" s="74"/>
      <c r="F97" s="74"/>
      <c r="G97" s="75"/>
      <c r="H97" s="75"/>
      <c r="I97" s="76"/>
      <c r="J97" s="77"/>
      <c r="K97" s="76"/>
      <c r="L97" s="76"/>
      <c r="M97" s="74"/>
      <c r="N97" s="74"/>
      <c r="O97" s="78"/>
      <c r="P97" s="78"/>
      <c r="Q97" s="78"/>
      <c r="R97" s="78"/>
      <c r="S97" s="79"/>
      <c r="T97" s="79"/>
      <c r="U97" s="79"/>
      <c r="V97" s="79"/>
      <c r="W97" s="79"/>
      <c r="X97" s="79"/>
      <c r="Y97" s="79"/>
      <c r="Z97" s="79"/>
      <c r="AA97" s="79"/>
    </row>
    <row r="98" spans="1:27" x14ac:dyDescent="0.2">
      <c r="A98" s="73"/>
      <c r="B98" s="74"/>
      <c r="C98" s="74"/>
      <c r="D98" s="74"/>
      <c r="E98" s="74"/>
      <c r="F98" s="74"/>
      <c r="G98" s="75"/>
      <c r="H98" s="75"/>
      <c r="I98" s="76"/>
      <c r="J98" s="77"/>
      <c r="K98" s="76"/>
      <c r="L98" s="76"/>
      <c r="M98" s="74"/>
      <c r="N98" s="74"/>
      <c r="O98" s="78"/>
      <c r="P98" s="78"/>
      <c r="Q98" s="78"/>
      <c r="R98" s="78"/>
      <c r="S98" s="79"/>
      <c r="T98" s="79"/>
      <c r="U98" s="79"/>
      <c r="V98" s="79"/>
      <c r="W98" s="79"/>
      <c r="X98" s="79"/>
      <c r="Y98" s="79"/>
      <c r="Z98" s="79"/>
      <c r="AA98" s="79"/>
    </row>
    <row r="99" spans="1:27" x14ac:dyDescent="0.2">
      <c r="A99" s="73"/>
      <c r="B99" s="74"/>
      <c r="C99" s="74"/>
      <c r="D99" s="74"/>
      <c r="E99" s="74"/>
      <c r="F99" s="74"/>
      <c r="G99" s="75"/>
      <c r="H99" s="75"/>
      <c r="I99" s="76"/>
      <c r="J99" s="77"/>
      <c r="K99" s="76"/>
      <c r="L99" s="76"/>
      <c r="M99" s="74"/>
      <c r="N99" s="74"/>
      <c r="O99" s="78"/>
      <c r="P99" s="78"/>
      <c r="Q99" s="78"/>
      <c r="R99" s="78"/>
      <c r="S99" s="79"/>
      <c r="T99" s="79"/>
      <c r="U99" s="79"/>
      <c r="V99" s="79"/>
      <c r="W99" s="79"/>
      <c r="X99" s="79"/>
      <c r="Y99" s="79"/>
      <c r="Z99" s="79"/>
      <c r="AA99" s="79"/>
    </row>
    <row r="100" spans="1:27" x14ac:dyDescent="0.2">
      <c r="A100" s="73"/>
      <c r="B100" s="74"/>
      <c r="C100" s="74"/>
      <c r="D100" s="74"/>
      <c r="E100" s="74"/>
      <c r="F100" s="74"/>
      <c r="G100" s="75"/>
      <c r="H100" s="75"/>
      <c r="I100" s="76"/>
      <c r="J100" s="77"/>
      <c r="K100" s="76"/>
      <c r="L100" s="76"/>
      <c r="M100" s="74"/>
      <c r="N100" s="74"/>
      <c r="O100" s="78"/>
      <c r="P100" s="78"/>
      <c r="Q100" s="78"/>
      <c r="R100" s="78"/>
      <c r="S100" s="79"/>
      <c r="T100" s="79"/>
      <c r="U100" s="79"/>
      <c r="V100" s="79"/>
      <c r="W100" s="79"/>
      <c r="X100" s="79"/>
      <c r="Y100" s="79"/>
      <c r="Z100" s="79"/>
      <c r="AA100" s="79"/>
    </row>
    <row r="101" spans="1:27" x14ac:dyDescent="0.2">
      <c r="A101" s="73"/>
      <c r="B101" s="74"/>
      <c r="C101" s="74"/>
      <c r="D101" s="74"/>
      <c r="E101" s="74"/>
      <c r="F101" s="74"/>
      <c r="G101" s="75"/>
      <c r="H101" s="75"/>
      <c r="I101" s="76"/>
      <c r="J101" s="77"/>
      <c r="K101" s="76"/>
      <c r="L101" s="76"/>
      <c r="M101" s="74"/>
      <c r="N101" s="74"/>
      <c r="O101" s="78"/>
      <c r="P101" s="78"/>
      <c r="Q101" s="78"/>
      <c r="R101" s="78"/>
      <c r="S101" s="79"/>
      <c r="T101" s="79"/>
      <c r="U101" s="79"/>
      <c r="V101" s="79"/>
      <c r="W101" s="79"/>
      <c r="X101" s="79"/>
      <c r="Y101" s="79"/>
      <c r="Z101" s="79"/>
      <c r="AA101" s="79"/>
    </row>
    <row r="102" spans="1:27" x14ac:dyDescent="0.2">
      <c r="A102" s="73"/>
      <c r="B102" s="74"/>
      <c r="C102" s="74"/>
      <c r="D102" s="74"/>
      <c r="E102" s="74"/>
      <c r="F102" s="74"/>
      <c r="G102" s="75"/>
      <c r="H102" s="75"/>
      <c r="I102" s="76"/>
      <c r="J102" s="77"/>
      <c r="K102" s="76"/>
      <c r="L102" s="76"/>
      <c r="M102" s="74"/>
      <c r="N102" s="74"/>
      <c r="O102" s="78"/>
      <c r="P102" s="78"/>
      <c r="Q102" s="78"/>
      <c r="R102" s="78"/>
      <c r="S102" s="79"/>
      <c r="T102" s="79"/>
      <c r="U102" s="79"/>
      <c r="V102" s="79"/>
      <c r="W102" s="79"/>
      <c r="X102" s="79"/>
      <c r="Y102" s="79"/>
      <c r="Z102" s="79"/>
      <c r="AA102" s="79"/>
    </row>
    <row r="103" spans="1:27" x14ac:dyDescent="0.2">
      <c r="A103" s="73"/>
      <c r="B103" s="74"/>
      <c r="C103" s="74"/>
      <c r="D103" s="74"/>
      <c r="E103" s="74"/>
      <c r="F103" s="74"/>
      <c r="G103" s="75"/>
      <c r="H103" s="75"/>
      <c r="I103" s="76"/>
      <c r="J103" s="77"/>
      <c r="K103" s="76"/>
      <c r="L103" s="76"/>
      <c r="M103" s="74"/>
      <c r="N103" s="74"/>
      <c r="O103" s="78"/>
      <c r="P103" s="78"/>
      <c r="Q103" s="78"/>
      <c r="R103" s="78"/>
      <c r="S103" s="79"/>
      <c r="T103" s="79"/>
      <c r="U103" s="79"/>
      <c r="V103" s="79"/>
      <c r="W103" s="79"/>
      <c r="X103" s="79"/>
      <c r="Y103" s="79"/>
      <c r="Z103" s="79"/>
      <c r="AA103" s="79"/>
    </row>
    <row r="104" spans="1:27" x14ac:dyDescent="0.2">
      <c r="A104" s="73"/>
      <c r="B104" s="74"/>
      <c r="C104" s="74"/>
      <c r="D104" s="74"/>
      <c r="E104" s="74"/>
      <c r="F104" s="74"/>
      <c r="G104" s="75"/>
      <c r="H104" s="75"/>
      <c r="I104" s="76"/>
      <c r="J104" s="77"/>
      <c r="K104" s="76"/>
      <c r="L104" s="76"/>
      <c r="M104" s="74"/>
      <c r="N104" s="74"/>
      <c r="O104" s="78"/>
      <c r="P104" s="78"/>
      <c r="Q104" s="78"/>
      <c r="R104" s="78"/>
      <c r="S104" s="79"/>
      <c r="T104" s="79"/>
      <c r="U104" s="79"/>
      <c r="V104" s="79"/>
      <c r="W104" s="79"/>
      <c r="X104" s="79"/>
      <c r="Y104" s="79"/>
      <c r="Z104" s="79"/>
      <c r="AA104" s="79"/>
    </row>
    <row r="105" spans="1:27" x14ac:dyDescent="0.2">
      <c r="A105" s="73"/>
      <c r="B105" s="74"/>
      <c r="C105" s="74"/>
      <c r="D105" s="74"/>
      <c r="E105" s="74"/>
      <c r="F105" s="74"/>
      <c r="G105" s="75"/>
      <c r="H105" s="75"/>
      <c r="I105" s="76"/>
      <c r="J105" s="77"/>
      <c r="K105" s="76"/>
      <c r="L105" s="76"/>
      <c r="M105" s="74"/>
      <c r="N105" s="74"/>
      <c r="O105" s="78"/>
      <c r="P105" s="78"/>
      <c r="Q105" s="78"/>
      <c r="R105" s="78"/>
      <c r="S105" s="79"/>
      <c r="T105" s="79"/>
      <c r="U105" s="79"/>
      <c r="V105" s="79"/>
      <c r="W105" s="79"/>
      <c r="X105" s="79"/>
      <c r="Y105" s="79"/>
      <c r="Z105" s="79"/>
      <c r="AA105" s="79"/>
    </row>
    <row r="106" spans="1:27" x14ac:dyDescent="0.2">
      <c r="A106" s="73"/>
      <c r="B106" s="74"/>
      <c r="C106" s="74"/>
      <c r="D106" s="74"/>
      <c r="E106" s="74"/>
      <c r="F106" s="74"/>
      <c r="G106" s="75"/>
      <c r="H106" s="75"/>
      <c r="I106" s="76"/>
      <c r="J106" s="77"/>
      <c r="K106" s="76"/>
      <c r="L106" s="76"/>
      <c r="M106" s="74"/>
      <c r="N106" s="74"/>
      <c r="O106" s="78"/>
      <c r="P106" s="78"/>
      <c r="Q106" s="78"/>
      <c r="R106" s="78"/>
      <c r="S106" s="79"/>
      <c r="T106" s="79"/>
      <c r="U106" s="79"/>
      <c r="V106" s="79"/>
      <c r="W106" s="79"/>
      <c r="X106" s="79"/>
      <c r="Y106" s="79"/>
      <c r="Z106" s="79"/>
      <c r="AA106" s="79"/>
    </row>
    <row r="107" spans="1:27" x14ac:dyDescent="0.2">
      <c r="A107" s="73"/>
      <c r="B107" s="74"/>
      <c r="C107" s="74"/>
      <c r="D107" s="74"/>
      <c r="E107" s="74"/>
      <c r="F107" s="74"/>
      <c r="G107" s="75"/>
      <c r="H107" s="75"/>
      <c r="I107" s="76"/>
      <c r="J107" s="77"/>
      <c r="K107" s="76"/>
      <c r="L107" s="76"/>
      <c r="M107" s="74"/>
      <c r="N107" s="74"/>
      <c r="O107" s="78"/>
      <c r="P107" s="78"/>
      <c r="Q107" s="78"/>
      <c r="R107" s="78"/>
      <c r="S107" s="79"/>
      <c r="T107" s="79"/>
      <c r="U107" s="79"/>
      <c r="V107" s="79"/>
      <c r="W107" s="79"/>
      <c r="X107" s="79"/>
      <c r="Y107" s="79"/>
      <c r="Z107" s="79"/>
      <c r="AA107" s="79"/>
    </row>
    <row r="108" spans="1:27" x14ac:dyDescent="0.2">
      <c r="A108" s="73"/>
      <c r="B108" s="74"/>
      <c r="C108" s="74"/>
      <c r="D108" s="74"/>
      <c r="E108" s="74"/>
      <c r="F108" s="74"/>
      <c r="G108" s="75"/>
      <c r="H108" s="75"/>
      <c r="I108" s="76"/>
      <c r="J108" s="77"/>
      <c r="K108" s="76"/>
      <c r="L108" s="76"/>
      <c r="M108" s="74"/>
      <c r="N108" s="74"/>
      <c r="O108" s="78"/>
      <c r="P108" s="78"/>
      <c r="Q108" s="78"/>
      <c r="R108" s="78"/>
      <c r="S108" s="79"/>
      <c r="T108" s="79"/>
      <c r="U108" s="79"/>
      <c r="V108" s="79"/>
      <c r="W108" s="79"/>
      <c r="X108" s="79"/>
      <c r="Y108" s="79"/>
      <c r="Z108" s="79"/>
      <c r="AA108" s="79"/>
    </row>
    <row r="109" spans="1:27" x14ac:dyDescent="0.2">
      <c r="A109" s="73"/>
      <c r="B109" s="74"/>
      <c r="C109" s="74"/>
      <c r="D109" s="74"/>
      <c r="E109" s="74"/>
      <c r="F109" s="74"/>
      <c r="G109" s="75"/>
      <c r="H109" s="75"/>
      <c r="I109" s="76"/>
      <c r="J109" s="77"/>
      <c r="K109" s="76"/>
      <c r="L109" s="76"/>
      <c r="M109" s="74"/>
      <c r="N109" s="74"/>
      <c r="O109" s="78"/>
      <c r="P109" s="78"/>
      <c r="Q109" s="78"/>
      <c r="R109" s="78"/>
      <c r="S109" s="79"/>
      <c r="T109" s="79"/>
      <c r="U109" s="79"/>
      <c r="V109" s="79"/>
      <c r="W109" s="79"/>
      <c r="X109" s="79"/>
      <c r="Y109" s="79"/>
      <c r="Z109" s="79"/>
      <c r="AA109" s="79"/>
    </row>
    <row r="110" spans="1:27" x14ac:dyDescent="0.2">
      <c r="A110" s="73"/>
      <c r="B110" s="74"/>
      <c r="C110" s="74"/>
      <c r="D110" s="74"/>
      <c r="E110" s="74"/>
      <c r="F110" s="74"/>
      <c r="G110" s="75"/>
      <c r="H110" s="75"/>
      <c r="I110" s="76"/>
      <c r="J110" s="77"/>
      <c r="K110" s="76"/>
      <c r="L110" s="76"/>
      <c r="M110" s="74"/>
      <c r="N110" s="74"/>
      <c r="O110" s="78"/>
      <c r="P110" s="78"/>
      <c r="Q110" s="78"/>
      <c r="R110" s="78"/>
      <c r="S110" s="79"/>
      <c r="T110" s="79"/>
      <c r="U110" s="79"/>
      <c r="V110" s="79"/>
      <c r="W110" s="79"/>
      <c r="X110" s="79"/>
      <c r="Y110" s="79"/>
      <c r="Z110" s="79"/>
      <c r="AA110" s="79"/>
    </row>
    <row r="111" spans="1:27" x14ac:dyDescent="0.2">
      <c r="A111" s="73"/>
      <c r="B111" s="74"/>
      <c r="C111" s="74"/>
      <c r="D111" s="74"/>
      <c r="E111" s="74"/>
      <c r="F111" s="74"/>
      <c r="G111" s="75"/>
      <c r="H111" s="75"/>
      <c r="I111" s="76"/>
      <c r="J111" s="77"/>
      <c r="K111" s="76"/>
      <c r="L111" s="76"/>
      <c r="M111" s="74"/>
      <c r="N111" s="74"/>
      <c r="O111" s="78"/>
      <c r="P111" s="78"/>
      <c r="Q111" s="78"/>
      <c r="R111" s="78"/>
      <c r="S111" s="79"/>
      <c r="T111" s="79"/>
      <c r="U111" s="79"/>
      <c r="V111" s="79"/>
      <c r="W111" s="79"/>
      <c r="X111" s="79"/>
      <c r="Y111" s="79"/>
      <c r="Z111" s="79"/>
      <c r="AA111" s="79"/>
    </row>
    <row r="112" spans="1:27" x14ac:dyDescent="0.2">
      <c r="A112" s="73"/>
      <c r="B112" s="74"/>
      <c r="C112" s="74"/>
      <c r="D112" s="74"/>
      <c r="E112" s="74"/>
      <c r="F112" s="74"/>
      <c r="G112" s="75"/>
      <c r="H112" s="75"/>
      <c r="I112" s="76"/>
      <c r="J112" s="77"/>
      <c r="K112" s="76"/>
      <c r="L112" s="76"/>
      <c r="M112" s="74"/>
      <c r="N112" s="74"/>
      <c r="O112" s="78"/>
      <c r="P112" s="78"/>
      <c r="Q112" s="78"/>
      <c r="R112" s="78"/>
      <c r="S112" s="79"/>
      <c r="T112" s="79"/>
      <c r="U112" s="79"/>
      <c r="V112" s="79"/>
      <c r="W112" s="79"/>
      <c r="X112" s="79"/>
      <c r="Y112" s="79"/>
      <c r="Z112" s="79"/>
      <c r="AA112" s="79"/>
    </row>
    <row r="113" spans="1:27" x14ac:dyDescent="0.2">
      <c r="A113" s="73"/>
      <c r="B113" s="74"/>
      <c r="C113" s="74"/>
      <c r="D113" s="74"/>
      <c r="E113" s="74"/>
      <c r="F113" s="74"/>
      <c r="G113" s="75"/>
      <c r="H113" s="75"/>
      <c r="I113" s="76"/>
      <c r="J113" s="77"/>
      <c r="K113" s="76"/>
      <c r="L113" s="76"/>
      <c r="M113" s="74"/>
      <c r="N113" s="74"/>
      <c r="O113" s="78"/>
      <c r="P113" s="78"/>
      <c r="Q113" s="78"/>
      <c r="R113" s="78"/>
      <c r="S113" s="79"/>
      <c r="T113" s="79"/>
      <c r="U113" s="79"/>
      <c r="V113" s="79"/>
      <c r="W113" s="79"/>
      <c r="X113" s="79"/>
      <c r="Y113" s="79"/>
      <c r="Z113" s="79"/>
      <c r="AA113" s="79"/>
    </row>
    <row r="114" spans="1:27" x14ac:dyDescent="0.2">
      <c r="A114" s="73"/>
      <c r="B114" s="74"/>
      <c r="C114" s="74"/>
      <c r="D114" s="74"/>
      <c r="E114" s="74"/>
      <c r="F114" s="74"/>
      <c r="G114" s="75"/>
      <c r="H114" s="75"/>
      <c r="I114" s="76"/>
      <c r="J114" s="77"/>
      <c r="K114" s="76"/>
      <c r="L114" s="76"/>
      <c r="M114" s="74"/>
      <c r="N114" s="74"/>
      <c r="O114" s="78"/>
      <c r="P114" s="78"/>
      <c r="Q114" s="78"/>
      <c r="R114" s="78"/>
      <c r="S114" s="79"/>
      <c r="T114" s="79"/>
      <c r="U114" s="79"/>
      <c r="V114" s="79"/>
      <c r="W114" s="79"/>
      <c r="X114" s="79"/>
      <c r="Y114" s="79"/>
      <c r="Z114" s="79"/>
      <c r="AA114" s="79"/>
    </row>
    <row r="115" spans="1:27" x14ac:dyDescent="0.2">
      <c r="A115" s="73"/>
      <c r="B115" s="74"/>
      <c r="C115" s="74"/>
      <c r="D115" s="74"/>
      <c r="E115" s="74"/>
      <c r="F115" s="74"/>
      <c r="G115" s="75"/>
      <c r="H115" s="75"/>
      <c r="I115" s="76"/>
      <c r="J115" s="77"/>
      <c r="K115" s="76"/>
      <c r="L115" s="76"/>
      <c r="M115" s="74"/>
      <c r="N115" s="74"/>
      <c r="O115" s="78"/>
      <c r="P115" s="78"/>
      <c r="Q115" s="78"/>
      <c r="R115" s="78"/>
      <c r="S115" s="79"/>
      <c r="T115" s="79"/>
      <c r="U115" s="79"/>
      <c r="V115" s="79"/>
      <c r="W115" s="79"/>
      <c r="X115" s="79"/>
      <c r="Y115" s="79"/>
      <c r="Z115" s="79"/>
      <c r="AA115" s="79"/>
    </row>
    <row r="116" spans="1:27" x14ac:dyDescent="0.2">
      <c r="A116" s="73"/>
      <c r="B116" s="74"/>
      <c r="C116" s="74"/>
      <c r="D116" s="74"/>
      <c r="E116" s="74"/>
      <c r="F116" s="74"/>
      <c r="G116" s="75"/>
      <c r="H116" s="75"/>
      <c r="I116" s="76"/>
      <c r="J116" s="77"/>
      <c r="K116" s="76"/>
      <c r="L116" s="76"/>
      <c r="M116" s="74"/>
      <c r="N116" s="74"/>
      <c r="O116" s="78"/>
      <c r="P116" s="78"/>
      <c r="Q116" s="78"/>
      <c r="R116" s="78"/>
      <c r="S116" s="79"/>
      <c r="T116" s="79"/>
      <c r="U116" s="79"/>
      <c r="V116" s="79"/>
      <c r="W116" s="79"/>
      <c r="X116" s="79"/>
      <c r="Y116" s="79"/>
      <c r="Z116" s="79"/>
      <c r="AA116" s="79"/>
    </row>
    <row r="117" spans="1:27" x14ac:dyDescent="0.2">
      <c r="A117" s="73"/>
      <c r="B117" s="74"/>
      <c r="C117" s="74"/>
      <c r="D117" s="74"/>
      <c r="E117" s="74"/>
      <c r="F117" s="74"/>
      <c r="G117" s="75"/>
      <c r="H117" s="75"/>
      <c r="I117" s="76"/>
      <c r="J117" s="77"/>
      <c r="K117" s="76"/>
      <c r="L117" s="76"/>
      <c r="M117" s="74"/>
      <c r="N117" s="74"/>
      <c r="O117" s="78"/>
      <c r="P117" s="78"/>
      <c r="Q117" s="78"/>
      <c r="R117" s="78"/>
      <c r="S117" s="79"/>
      <c r="T117" s="79"/>
      <c r="U117" s="79"/>
      <c r="V117" s="79"/>
      <c r="W117" s="79"/>
      <c r="X117" s="79"/>
      <c r="Y117" s="79"/>
      <c r="Z117" s="79"/>
      <c r="AA117" s="79"/>
    </row>
    <row r="118" spans="1:27" x14ac:dyDescent="0.2">
      <c r="A118" s="73"/>
      <c r="B118" s="74"/>
      <c r="C118" s="74"/>
      <c r="D118" s="74"/>
      <c r="E118" s="74"/>
      <c r="F118" s="74"/>
      <c r="G118" s="75"/>
      <c r="H118" s="75"/>
      <c r="I118" s="76"/>
      <c r="J118" s="77"/>
      <c r="K118" s="76"/>
      <c r="L118" s="76"/>
      <c r="M118" s="74"/>
      <c r="N118" s="74"/>
      <c r="O118" s="78"/>
      <c r="P118" s="78"/>
      <c r="Q118" s="78"/>
      <c r="R118" s="78"/>
      <c r="S118" s="79"/>
      <c r="T118" s="79"/>
      <c r="U118" s="79"/>
      <c r="V118" s="79"/>
      <c r="W118" s="79"/>
      <c r="X118" s="79"/>
      <c r="Y118" s="79"/>
      <c r="Z118" s="79"/>
      <c r="AA118" s="79"/>
    </row>
    <row r="119" spans="1:27" x14ac:dyDescent="0.2">
      <c r="A119" s="73"/>
      <c r="B119" s="74"/>
      <c r="C119" s="74"/>
      <c r="D119" s="74"/>
      <c r="E119" s="74"/>
      <c r="F119" s="74"/>
      <c r="G119" s="75"/>
      <c r="H119" s="75"/>
      <c r="I119" s="76"/>
      <c r="J119" s="77"/>
      <c r="K119" s="76"/>
      <c r="L119" s="76"/>
      <c r="M119" s="74"/>
      <c r="N119" s="74"/>
      <c r="O119" s="78"/>
      <c r="P119" s="78"/>
      <c r="Q119" s="78"/>
      <c r="R119" s="78"/>
      <c r="S119" s="79"/>
      <c r="T119" s="79"/>
      <c r="U119" s="79"/>
      <c r="V119" s="79"/>
      <c r="W119" s="79"/>
      <c r="X119" s="79"/>
      <c r="Y119" s="79"/>
      <c r="Z119" s="79"/>
      <c r="AA119" s="79"/>
    </row>
    <row r="120" spans="1:27" x14ac:dyDescent="0.2">
      <c r="A120" s="73"/>
      <c r="B120" s="74"/>
      <c r="C120" s="74"/>
      <c r="D120" s="74"/>
      <c r="E120" s="74"/>
      <c r="F120" s="74"/>
      <c r="G120" s="75"/>
      <c r="H120" s="75"/>
      <c r="I120" s="76"/>
      <c r="J120" s="77"/>
      <c r="K120" s="76"/>
      <c r="L120" s="76"/>
      <c r="M120" s="74"/>
      <c r="N120" s="74"/>
      <c r="O120" s="78"/>
      <c r="P120" s="78"/>
      <c r="Q120" s="78"/>
      <c r="R120" s="78"/>
      <c r="S120" s="79"/>
      <c r="T120" s="79"/>
      <c r="U120" s="79"/>
      <c r="V120" s="79"/>
      <c r="W120" s="79"/>
      <c r="X120" s="79"/>
      <c r="Y120" s="79"/>
      <c r="Z120" s="79"/>
      <c r="AA120" s="79"/>
    </row>
    <row r="121" spans="1:27" x14ac:dyDescent="0.2">
      <c r="A121" s="73"/>
      <c r="B121" s="74"/>
      <c r="C121" s="74"/>
      <c r="D121" s="74"/>
      <c r="E121" s="74"/>
      <c r="F121" s="74"/>
      <c r="G121" s="75"/>
      <c r="H121" s="75"/>
      <c r="I121" s="76"/>
      <c r="J121" s="77"/>
      <c r="K121" s="76"/>
      <c r="L121" s="76"/>
      <c r="M121" s="74"/>
      <c r="N121" s="74"/>
      <c r="O121" s="78"/>
      <c r="P121" s="78"/>
      <c r="Q121" s="78"/>
      <c r="R121" s="78"/>
      <c r="S121" s="79"/>
      <c r="T121" s="79"/>
      <c r="U121" s="79"/>
      <c r="V121" s="79"/>
      <c r="W121" s="79"/>
      <c r="X121" s="79"/>
      <c r="Y121" s="79"/>
      <c r="Z121" s="79"/>
      <c r="AA121" s="79"/>
    </row>
    <row r="122" spans="1:27" x14ac:dyDescent="0.2">
      <c r="A122" s="73"/>
      <c r="B122" s="74"/>
      <c r="C122" s="74"/>
      <c r="D122" s="74"/>
      <c r="E122" s="74"/>
      <c r="F122" s="74"/>
      <c r="G122" s="75"/>
      <c r="H122" s="75"/>
      <c r="I122" s="76"/>
      <c r="J122" s="77"/>
      <c r="K122" s="76"/>
      <c r="L122" s="76"/>
      <c r="M122" s="74"/>
      <c r="N122" s="74"/>
      <c r="O122" s="78"/>
      <c r="P122" s="78"/>
      <c r="Q122" s="78"/>
      <c r="R122" s="78"/>
      <c r="S122" s="79"/>
      <c r="T122" s="79"/>
      <c r="U122" s="79"/>
      <c r="V122" s="79"/>
      <c r="W122" s="79"/>
      <c r="X122" s="79"/>
      <c r="Y122" s="79"/>
      <c r="Z122" s="79"/>
      <c r="AA122" s="79"/>
    </row>
    <row r="123" spans="1:27" x14ac:dyDescent="0.2">
      <c r="A123" s="73"/>
      <c r="B123" s="74"/>
      <c r="C123" s="74"/>
      <c r="D123" s="74"/>
      <c r="E123" s="74"/>
      <c r="F123" s="74"/>
      <c r="G123" s="75"/>
      <c r="H123" s="75"/>
      <c r="I123" s="76"/>
      <c r="J123" s="77"/>
      <c r="K123" s="76"/>
      <c r="L123" s="76"/>
      <c r="M123" s="74"/>
      <c r="N123" s="74"/>
      <c r="O123" s="78"/>
      <c r="P123" s="78"/>
      <c r="Q123" s="78"/>
      <c r="R123" s="78"/>
      <c r="S123" s="79"/>
      <c r="T123" s="79"/>
      <c r="U123" s="79"/>
      <c r="V123" s="79"/>
      <c r="W123" s="79"/>
      <c r="X123" s="79"/>
      <c r="Y123" s="79"/>
      <c r="Z123" s="79"/>
      <c r="AA123" s="79"/>
    </row>
    <row r="124" spans="1:27" x14ac:dyDescent="0.2">
      <c r="A124" s="73"/>
      <c r="B124" s="74"/>
      <c r="C124" s="74"/>
      <c r="D124" s="74"/>
      <c r="E124" s="74"/>
      <c r="F124" s="74"/>
      <c r="G124" s="75"/>
      <c r="H124" s="75"/>
      <c r="I124" s="76"/>
      <c r="J124" s="77"/>
      <c r="K124" s="76"/>
      <c r="L124" s="76"/>
      <c r="M124" s="74"/>
      <c r="N124" s="74"/>
      <c r="O124" s="78"/>
      <c r="P124" s="78"/>
      <c r="Q124" s="78"/>
      <c r="R124" s="78"/>
      <c r="S124" s="79"/>
      <c r="T124" s="79"/>
      <c r="U124" s="79"/>
      <c r="V124" s="79"/>
      <c r="W124" s="79"/>
      <c r="X124" s="79"/>
      <c r="Y124" s="79"/>
      <c r="Z124" s="79"/>
      <c r="AA124" s="79"/>
    </row>
    <row r="125" spans="1:27" x14ac:dyDescent="0.2">
      <c r="A125" s="73"/>
      <c r="B125" s="74"/>
      <c r="C125" s="74"/>
      <c r="D125" s="74"/>
      <c r="E125" s="74"/>
      <c r="F125" s="74"/>
      <c r="G125" s="75"/>
      <c r="H125" s="75"/>
      <c r="I125" s="76"/>
      <c r="J125" s="77"/>
      <c r="K125" s="76"/>
      <c r="L125" s="76"/>
      <c r="M125" s="74"/>
      <c r="N125" s="74"/>
      <c r="O125" s="78"/>
      <c r="P125" s="78"/>
      <c r="Q125" s="78"/>
      <c r="R125" s="78"/>
      <c r="S125" s="79"/>
      <c r="T125" s="79"/>
      <c r="U125" s="79"/>
      <c r="V125" s="79"/>
      <c r="W125" s="79"/>
      <c r="X125" s="79"/>
      <c r="Y125" s="79"/>
      <c r="Z125" s="79"/>
      <c r="AA125" s="79"/>
    </row>
    <row r="126" spans="1:27" x14ac:dyDescent="0.2">
      <c r="A126" s="73"/>
      <c r="B126" s="74"/>
      <c r="C126" s="74"/>
      <c r="D126" s="74"/>
      <c r="E126" s="74"/>
      <c r="F126" s="74"/>
      <c r="G126" s="75"/>
      <c r="H126" s="75"/>
      <c r="I126" s="76"/>
      <c r="J126" s="77"/>
      <c r="K126" s="76"/>
      <c r="L126" s="76"/>
      <c r="M126" s="74"/>
      <c r="N126" s="74"/>
      <c r="O126" s="78"/>
      <c r="P126" s="78"/>
      <c r="Q126" s="78"/>
      <c r="R126" s="78"/>
      <c r="S126" s="79"/>
      <c r="T126" s="79"/>
      <c r="U126" s="79"/>
      <c r="V126" s="79"/>
      <c r="W126" s="79"/>
      <c r="X126" s="79"/>
      <c r="Y126" s="79"/>
      <c r="Z126" s="79"/>
      <c r="AA126" s="79"/>
    </row>
    <row r="127" spans="1:27" x14ac:dyDescent="0.2">
      <c r="A127" s="73"/>
      <c r="B127" s="74"/>
      <c r="C127" s="74"/>
      <c r="D127" s="74"/>
      <c r="E127" s="74"/>
      <c r="F127" s="74"/>
      <c r="G127" s="75"/>
      <c r="H127" s="75"/>
      <c r="I127" s="76"/>
      <c r="J127" s="77"/>
      <c r="K127" s="76"/>
      <c r="L127" s="76"/>
      <c r="M127" s="74"/>
      <c r="N127" s="74"/>
      <c r="O127" s="78"/>
      <c r="P127" s="78"/>
      <c r="Q127" s="78"/>
      <c r="R127" s="78"/>
      <c r="S127" s="79"/>
      <c r="T127" s="79"/>
      <c r="U127" s="79"/>
      <c r="V127" s="79"/>
      <c r="W127" s="79"/>
      <c r="X127" s="79"/>
      <c r="Y127" s="79"/>
      <c r="Z127" s="79"/>
      <c r="AA127" s="79"/>
    </row>
    <row r="128" spans="1:27" x14ac:dyDescent="0.2">
      <c r="A128" s="73"/>
      <c r="B128" s="74"/>
      <c r="C128" s="74"/>
      <c r="D128" s="74"/>
      <c r="E128" s="74"/>
      <c r="F128" s="74"/>
      <c r="G128" s="75"/>
      <c r="H128" s="75"/>
      <c r="I128" s="76"/>
      <c r="J128" s="77"/>
      <c r="K128" s="76"/>
      <c r="L128" s="76"/>
      <c r="M128" s="74"/>
      <c r="N128" s="74"/>
      <c r="O128" s="78"/>
      <c r="P128" s="78"/>
      <c r="Q128" s="78"/>
      <c r="R128" s="78"/>
      <c r="S128" s="79"/>
      <c r="T128" s="79"/>
      <c r="U128" s="79"/>
      <c r="V128" s="79"/>
      <c r="W128" s="79"/>
      <c r="X128" s="79"/>
      <c r="Y128" s="79"/>
      <c r="Z128" s="79"/>
      <c r="AA128" s="79"/>
    </row>
    <row r="129" spans="1:27" x14ac:dyDescent="0.2">
      <c r="A129" s="73"/>
      <c r="B129" s="74"/>
      <c r="C129" s="74"/>
      <c r="D129" s="74"/>
      <c r="E129" s="74"/>
      <c r="F129" s="74"/>
      <c r="G129" s="75"/>
      <c r="H129" s="75"/>
      <c r="I129" s="76"/>
      <c r="J129" s="77"/>
      <c r="K129" s="76"/>
      <c r="L129" s="76"/>
      <c r="M129" s="74"/>
      <c r="N129" s="74"/>
      <c r="O129" s="78"/>
      <c r="P129" s="78"/>
      <c r="Q129" s="78"/>
      <c r="R129" s="78"/>
      <c r="S129" s="79"/>
      <c r="T129" s="79"/>
      <c r="U129" s="79"/>
      <c r="V129" s="79"/>
      <c r="W129" s="79"/>
      <c r="X129" s="79"/>
      <c r="Y129" s="79"/>
      <c r="Z129" s="79"/>
      <c r="AA129" s="79"/>
    </row>
    <row r="130" spans="1:27" x14ac:dyDescent="0.2">
      <c r="A130" s="73"/>
      <c r="B130" s="74"/>
      <c r="C130" s="74"/>
      <c r="D130" s="74"/>
      <c r="E130" s="74"/>
      <c r="F130" s="74"/>
      <c r="G130" s="75"/>
      <c r="H130" s="75"/>
      <c r="I130" s="76"/>
      <c r="J130" s="77"/>
      <c r="K130" s="76"/>
      <c r="L130" s="76"/>
      <c r="M130" s="74"/>
      <c r="N130" s="74"/>
      <c r="O130" s="78"/>
      <c r="P130" s="78"/>
      <c r="Q130" s="78"/>
      <c r="R130" s="78"/>
      <c r="S130" s="79"/>
      <c r="T130" s="79"/>
      <c r="U130" s="79"/>
      <c r="V130" s="79"/>
      <c r="W130" s="79"/>
      <c r="X130" s="79"/>
      <c r="Y130" s="79"/>
      <c r="Z130" s="79"/>
      <c r="AA130" s="79"/>
    </row>
    <row r="131" spans="1:27" x14ac:dyDescent="0.2">
      <c r="A131" s="73"/>
      <c r="B131" s="74"/>
      <c r="C131" s="74"/>
      <c r="D131" s="74"/>
      <c r="E131" s="74"/>
      <c r="F131" s="74"/>
      <c r="G131" s="75"/>
      <c r="H131" s="75"/>
      <c r="I131" s="76"/>
      <c r="J131" s="77"/>
      <c r="K131" s="76"/>
      <c r="L131" s="76"/>
      <c r="M131" s="74"/>
      <c r="N131" s="74"/>
      <c r="O131" s="78"/>
      <c r="P131" s="78"/>
      <c r="Q131" s="78"/>
      <c r="R131" s="78"/>
      <c r="S131" s="79"/>
      <c r="T131" s="79"/>
      <c r="U131" s="79"/>
      <c r="V131" s="79"/>
      <c r="W131" s="79"/>
      <c r="X131" s="79"/>
      <c r="Y131" s="79"/>
      <c r="Z131" s="79"/>
      <c r="AA131" s="79"/>
    </row>
    <row r="132" spans="1:27" x14ac:dyDescent="0.2">
      <c r="A132" s="73"/>
      <c r="B132" s="74"/>
      <c r="C132" s="74"/>
      <c r="D132" s="74"/>
      <c r="E132" s="74"/>
      <c r="F132" s="74"/>
      <c r="G132" s="75"/>
      <c r="H132" s="75"/>
      <c r="I132" s="76"/>
      <c r="J132" s="77"/>
      <c r="K132" s="76"/>
      <c r="L132" s="76"/>
      <c r="M132" s="74"/>
      <c r="N132" s="74"/>
      <c r="O132" s="78"/>
      <c r="P132" s="78"/>
      <c r="Q132" s="78"/>
      <c r="R132" s="78"/>
      <c r="S132" s="79"/>
      <c r="T132" s="79"/>
      <c r="U132" s="79"/>
      <c r="V132" s="79"/>
      <c r="W132" s="79"/>
      <c r="X132" s="79"/>
      <c r="Y132" s="79"/>
      <c r="Z132" s="79"/>
      <c r="AA132" s="79"/>
    </row>
    <row r="133" spans="1:27" x14ac:dyDescent="0.2">
      <c r="A133" s="73"/>
      <c r="B133" s="74"/>
      <c r="C133" s="74"/>
      <c r="D133" s="74"/>
      <c r="E133" s="74"/>
      <c r="F133" s="74"/>
      <c r="G133" s="75"/>
      <c r="H133" s="75"/>
      <c r="I133" s="76"/>
      <c r="J133" s="77"/>
      <c r="K133" s="76"/>
      <c r="L133" s="76"/>
      <c r="M133" s="74"/>
      <c r="N133" s="74"/>
      <c r="O133" s="78"/>
      <c r="P133" s="78"/>
      <c r="Q133" s="78"/>
      <c r="R133" s="78"/>
      <c r="S133" s="79"/>
      <c r="T133" s="79"/>
      <c r="U133" s="79"/>
      <c r="V133" s="79"/>
      <c r="W133" s="79"/>
      <c r="X133" s="79"/>
      <c r="Y133" s="79"/>
      <c r="Z133" s="79"/>
      <c r="AA133" s="79"/>
    </row>
    <row r="134" spans="1:27" x14ac:dyDescent="0.2">
      <c r="A134" s="73"/>
      <c r="B134" s="74"/>
      <c r="C134" s="74"/>
      <c r="D134" s="74"/>
      <c r="E134" s="74"/>
      <c r="F134" s="74"/>
      <c r="G134" s="75"/>
      <c r="H134" s="75"/>
      <c r="I134" s="76"/>
      <c r="J134" s="77"/>
      <c r="K134" s="76"/>
      <c r="L134" s="76"/>
      <c r="M134" s="74"/>
      <c r="N134" s="74"/>
      <c r="O134" s="78"/>
      <c r="P134" s="78"/>
      <c r="Q134" s="78"/>
      <c r="R134" s="78"/>
      <c r="S134" s="79"/>
      <c r="T134" s="79"/>
      <c r="U134" s="79"/>
      <c r="V134" s="79"/>
      <c r="W134" s="79"/>
      <c r="X134" s="79"/>
      <c r="Y134" s="79"/>
      <c r="Z134" s="79"/>
      <c r="AA134" s="79"/>
    </row>
    <row r="135" spans="1:27" x14ac:dyDescent="0.2">
      <c r="A135" s="73"/>
      <c r="B135" s="74"/>
      <c r="C135" s="74"/>
      <c r="D135" s="74"/>
      <c r="E135" s="74"/>
      <c r="F135" s="74"/>
      <c r="G135" s="75"/>
      <c r="H135" s="75"/>
      <c r="I135" s="76"/>
      <c r="J135" s="77"/>
      <c r="K135" s="76"/>
      <c r="L135" s="76"/>
      <c r="M135" s="74"/>
      <c r="N135" s="74"/>
      <c r="O135" s="78"/>
      <c r="P135" s="78"/>
      <c r="Q135" s="78"/>
      <c r="R135" s="78"/>
      <c r="S135" s="79"/>
      <c r="T135" s="79"/>
      <c r="U135" s="79"/>
      <c r="V135" s="79"/>
      <c r="W135" s="79"/>
      <c r="X135" s="79"/>
      <c r="Y135" s="79"/>
      <c r="Z135" s="79"/>
      <c r="AA135" s="79"/>
    </row>
    <row r="136" spans="1:27" x14ac:dyDescent="0.2">
      <c r="A136" s="73"/>
      <c r="B136" s="74"/>
      <c r="C136" s="74"/>
      <c r="D136" s="74"/>
      <c r="E136" s="74"/>
      <c r="F136" s="74"/>
      <c r="G136" s="75"/>
      <c r="H136" s="75"/>
      <c r="I136" s="76"/>
      <c r="J136" s="77"/>
      <c r="K136" s="76"/>
      <c r="L136" s="76"/>
      <c r="M136" s="74"/>
      <c r="N136" s="74"/>
      <c r="O136" s="78"/>
      <c r="P136" s="78"/>
      <c r="Q136" s="78"/>
      <c r="R136" s="78"/>
      <c r="S136" s="79"/>
      <c r="T136" s="79"/>
      <c r="U136" s="79"/>
      <c r="V136" s="79"/>
      <c r="W136" s="79"/>
      <c r="X136" s="79"/>
      <c r="Y136" s="79"/>
      <c r="Z136" s="79"/>
      <c r="AA136" s="79"/>
    </row>
    <row r="137" spans="1:27" x14ac:dyDescent="0.2">
      <c r="A137" s="73"/>
      <c r="B137" s="74"/>
      <c r="C137" s="74"/>
      <c r="D137" s="74"/>
      <c r="E137" s="74"/>
      <c r="F137" s="74"/>
      <c r="G137" s="75"/>
      <c r="H137" s="75"/>
      <c r="I137" s="76"/>
      <c r="J137" s="77"/>
      <c r="K137" s="76"/>
      <c r="L137" s="76"/>
      <c r="M137" s="74"/>
      <c r="N137" s="74"/>
      <c r="O137" s="78"/>
      <c r="P137" s="78"/>
      <c r="Q137" s="78"/>
      <c r="R137" s="78"/>
      <c r="S137" s="79"/>
      <c r="T137" s="79"/>
      <c r="U137" s="79"/>
      <c r="V137" s="79"/>
      <c r="W137" s="79"/>
      <c r="X137" s="79"/>
      <c r="Y137" s="79"/>
      <c r="Z137" s="79"/>
      <c r="AA137" s="79"/>
    </row>
    <row r="138" spans="1:27" x14ac:dyDescent="0.2">
      <c r="A138" s="73"/>
      <c r="B138" s="74"/>
      <c r="C138" s="74"/>
      <c r="D138" s="74"/>
      <c r="E138" s="74"/>
      <c r="F138" s="74"/>
      <c r="G138" s="75"/>
      <c r="H138" s="75"/>
      <c r="I138" s="76"/>
      <c r="J138" s="77"/>
      <c r="K138" s="76"/>
      <c r="L138" s="76"/>
      <c r="M138" s="74"/>
      <c r="N138" s="74"/>
      <c r="O138" s="78"/>
      <c r="P138" s="78"/>
      <c r="Q138" s="78"/>
      <c r="R138" s="78"/>
      <c r="S138" s="79"/>
      <c r="T138" s="79"/>
      <c r="U138" s="79"/>
      <c r="V138" s="79"/>
      <c r="W138" s="79"/>
      <c r="X138" s="79"/>
      <c r="Y138" s="79"/>
      <c r="Z138" s="79"/>
      <c r="AA138" s="79"/>
    </row>
    <row r="139" spans="1:27" x14ac:dyDescent="0.2">
      <c r="A139" s="73"/>
      <c r="B139" s="74"/>
      <c r="C139" s="74"/>
      <c r="D139" s="74"/>
      <c r="E139" s="74"/>
      <c r="F139" s="74"/>
      <c r="G139" s="75"/>
      <c r="H139" s="75"/>
      <c r="I139" s="76"/>
      <c r="J139" s="77"/>
      <c r="K139" s="76"/>
      <c r="L139" s="76"/>
      <c r="M139" s="74"/>
      <c r="N139" s="74"/>
      <c r="O139" s="78"/>
      <c r="P139" s="78"/>
      <c r="Q139" s="78"/>
      <c r="R139" s="78"/>
      <c r="S139" s="79"/>
      <c r="T139" s="79"/>
      <c r="U139" s="79"/>
      <c r="V139" s="79"/>
      <c r="W139" s="79"/>
      <c r="X139" s="79"/>
      <c r="Y139" s="79"/>
      <c r="Z139" s="79"/>
      <c r="AA139" s="79"/>
    </row>
    <row r="140" spans="1:27" x14ac:dyDescent="0.2">
      <c r="A140" s="73"/>
      <c r="B140" s="74"/>
      <c r="C140" s="74"/>
      <c r="D140" s="74"/>
      <c r="E140" s="74"/>
      <c r="F140" s="74"/>
      <c r="G140" s="75"/>
      <c r="H140" s="75"/>
      <c r="I140" s="76"/>
      <c r="J140" s="77"/>
      <c r="K140" s="76"/>
      <c r="L140" s="76"/>
      <c r="M140" s="74"/>
      <c r="N140" s="74"/>
      <c r="O140" s="78"/>
      <c r="P140" s="78"/>
      <c r="Q140" s="78"/>
      <c r="R140" s="78"/>
      <c r="S140" s="79"/>
      <c r="T140" s="79"/>
      <c r="U140" s="79"/>
      <c r="V140" s="79"/>
      <c r="W140" s="79"/>
      <c r="X140" s="79"/>
      <c r="Y140" s="79"/>
      <c r="Z140" s="79"/>
      <c r="AA140" s="79"/>
    </row>
    <row r="141" spans="1:27" x14ac:dyDescent="0.2">
      <c r="A141" s="73"/>
      <c r="B141" s="74"/>
      <c r="C141" s="74"/>
      <c r="D141" s="74"/>
      <c r="E141" s="74"/>
      <c r="F141" s="74"/>
      <c r="G141" s="75"/>
      <c r="H141" s="75"/>
      <c r="I141" s="76"/>
      <c r="J141" s="77"/>
      <c r="K141" s="76"/>
      <c r="L141" s="76"/>
      <c r="M141" s="74"/>
      <c r="N141" s="74"/>
      <c r="O141" s="78"/>
      <c r="P141" s="78"/>
      <c r="Q141" s="78"/>
      <c r="R141" s="78"/>
      <c r="S141" s="79"/>
      <c r="T141" s="79"/>
      <c r="U141" s="79"/>
      <c r="V141" s="79"/>
      <c r="W141" s="79"/>
      <c r="X141" s="79"/>
      <c r="Y141" s="79"/>
      <c r="Z141" s="79"/>
      <c r="AA141" s="79"/>
    </row>
    <row r="142" spans="1:27" x14ac:dyDescent="0.2">
      <c r="A142" s="73"/>
      <c r="B142" s="74"/>
      <c r="C142" s="74"/>
      <c r="D142" s="74"/>
      <c r="E142" s="74"/>
      <c r="F142" s="74"/>
      <c r="G142" s="75"/>
      <c r="H142" s="75"/>
      <c r="I142" s="76"/>
      <c r="J142" s="77"/>
      <c r="K142" s="76"/>
      <c r="L142" s="76"/>
      <c r="M142" s="74"/>
      <c r="N142" s="74"/>
      <c r="O142" s="78"/>
      <c r="P142" s="78"/>
      <c r="Q142" s="78"/>
      <c r="R142" s="78"/>
      <c r="S142" s="79"/>
      <c r="T142" s="79"/>
      <c r="U142" s="79"/>
      <c r="V142" s="79"/>
      <c r="W142" s="79"/>
      <c r="X142" s="79"/>
      <c r="Y142" s="79"/>
      <c r="Z142" s="79"/>
      <c r="AA142" s="79"/>
    </row>
    <row r="143" spans="1:27" x14ac:dyDescent="0.2">
      <c r="A143" s="73"/>
      <c r="B143" s="74"/>
      <c r="C143" s="74"/>
      <c r="D143" s="74"/>
      <c r="E143" s="74"/>
      <c r="F143" s="74"/>
      <c r="G143" s="75"/>
      <c r="H143" s="75"/>
      <c r="I143" s="76"/>
      <c r="J143" s="77"/>
      <c r="K143" s="76"/>
      <c r="L143" s="76"/>
      <c r="M143" s="74"/>
      <c r="N143" s="74"/>
      <c r="O143" s="78"/>
      <c r="P143" s="78"/>
      <c r="Q143" s="78"/>
      <c r="R143" s="78"/>
      <c r="S143" s="79"/>
      <c r="T143" s="79"/>
      <c r="U143" s="79"/>
      <c r="V143" s="79"/>
      <c r="W143" s="79"/>
      <c r="X143" s="79"/>
      <c r="Y143" s="79"/>
      <c r="Z143" s="79"/>
      <c r="AA143" s="79"/>
    </row>
    <row r="144" spans="1:27" x14ac:dyDescent="0.2">
      <c r="A144" s="73"/>
      <c r="B144" s="74"/>
      <c r="C144" s="74"/>
      <c r="D144" s="74"/>
      <c r="E144" s="74"/>
      <c r="F144" s="74"/>
      <c r="G144" s="75"/>
      <c r="H144" s="75"/>
      <c r="I144" s="76"/>
      <c r="J144" s="77"/>
      <c r="K144" s="76"/>
      <c r="L144" s="76"/>
      <c r="M144" s="74"/>
      <c r="N144" s="74"/>
      <c r="O144" s="78"/>
      <c r="P144" s="78"/>
      <c r="Q144" s="78"/>
      <c r="R144" s="78"/>
      <c r="S144" s="79"/>
      <c r="T144" s="79"/>
      <c r="U144" s="79"/>
      <c r="V144" s="79"/>
      <c r="W144" s="79"/>
      <c r="X144" s="79"/>
      <c r="Y144" s="79"/>
      <c r="Z144" s="79"/>
      <c r="AA144" s="79"/>
    </row>
    <row r="145" spans="1:27" x14ac:dyDescent="0.2">
      <c r="A145" s="73"/>
      <c r="B145" s="74"/>
      <c r="C145" s="74"/>
      <c r="D145" s="74"/>
      <c r="E145" s="74"/>
      <c r="F145" s="74"/>
      <c r="G145" s="75"/>
      <c r="H145" s="75"/>
      <c r="I145" s="76"/>
      <c r="J145" s="77"/>
      <c r="K145" s="76"/>
      <c r="L145" s="76"/>
      <c r="M145" s="74"/>
      <c r="N145" s="74"/>
      <c r="O145" s="78"/>
      <c r="P145" s="78"/>
      <c r="Q145" s="78"/>
      <c r="R145" s="78"/>
      <c r="S145" s="79"/>
      <c r="T145" s="79"/>
      <c r="U145" s="79"/>
      <c r="V145" s="79"/>
      <c r="W145" s="79"/>
      <c r="X145" s="79"/>
      <c r="Y145" s="79"/>
      <c r="Z145" s="79"/>
      <c r="AA145" s="79"/>
    </row>
    <row r="146" spans="1:27" x14ac:dyDescent="0.2">
      <c r="A146" s="73"/>
      <c r="B146" s="74"/>
      <c r="C146" s="74"/>
      <c r="D146" s="74"/>
      <c r="E146" s="74"/>
      <c r="F146" s="74"/>
      <c r="G146" s="75"/>
      <c r="H146" s="75"/>
      <c r="I146" s="76"/>
      <c r="J146" s="77"/>
      <c r="K146" s="76"/>
      <c r="L146" s="76"/>
      <c r="M146" s="74"/>
      <c r="N146" s="74"/>
      <c r="O146" s="78"/>
      <c r="P146" s="78"/>
      <c r="Q146" s="78"/>
      <c r="R146" s="78"/>
      <c r="S146" s="79"/>
      <c r="T146" s="79"/>
      <c r="U146" s="79"/>
      <c r="V146" s="79"/>
      <c r="W146" s="79"/>
      <c r="X146" s="79"/>
      <c r="Y146" s="79"/>
      <c r="Z146" s="79"/>
      <c r="AA146" s="79"/>
    </row>
    <row r="147" spans="1:27" x14ac:dyDescent="0.2">
      <c r="A147" s="73"/>
      <c r="B147" s="74"/>
      <c r="C147" s="74"/>
      <c r="D147" s="74"/>
      <c r="E147" s="74"/>
      <c r="F147" s="74"/>
      <c r="G147" s="75"/>
      <c r="H147" s="75"/>
      <c r="I147" s="76"/>
      <c r="J147" s="77"/>
      <c r="K147" s="76"/>
      <c r="L147" s="76"/>
      <c r="M147" s="74"/>
      <c r="N147" s="74"/>
      <c r="O147" s="78"/>
      <c r="P147" s="78"/>
      <c r="Q147" s="78"/>
      <c r="R147" s="78"/>
      <c r="S147" s="79"/>
      <c r="T147" s="79"/>
      <c r="U147" s="79"/>
      <c r="V147" s="79"/>
      <c r="W147" s="79"/>
      <c r="X147" s="79"/>
      <c r="Y147" s="79"/>
      <c r="Z147" s="79"/>
      <c r="AA147" s="79"/>
    </row>
    <row r="148" spans="1:27" x14ac:dyDescent="0.2">
      <c r="A148" s="73"/>
      <c r="B148" s="74"/>
      <c r="C148" s="74"/>
      <c r="D148" s="74"/>
      <c r="E148" s="74"/>
      <c r="F148" s="74"/>
      <c r="G148" s="75"/>
      <c r="H148" s="75"/>
      <c r="I148" s="76"/>
      <c r="J148" s="77"/>
      <c r="K148" s="76"/>
      <c r="L148" s="76"/>
      <c r="M148" s="74"/>
      <c r="N148" s="74"/>
      <c r="O148" s="78"/>
      <c r="P148" s="78"/>
      <c r="Q148" s="78"/>
      <c r="R148" s="78"/>
      <c r="S148" s="79"/>
      <c r="T148" s="79"/>
      <c r="U148" s="79"/>
      <c r="V148" s="79"/>
      <c r="W148" s="79"/>
      <c r="X148" s="79"/>
      <c r="Y148" s="79"/>
      <c r="Z148" s="79"/>
      <c r="AA148" s="79"/>
    </row>
    <row r="149" spans="1:27" x14ac:dyDescent="0.2">
      <c r="A149" s="73"/>
      <c r="B149" s="74"/>
      <c r="C149" s="74"/>
      <c r="D149" s="74"/>
      <c r="E149" s="74"/>
      <c r="F149" s="74"/>
      <c r="G149" s="75"/>
      <c r="H149" s="75"/>
      <c r="I149" s="76"/>
      <c r="J149" s="77"/>
      <c r="K149" s="76"/>
      <c r="L149" s="76"/>
      <c r="M149" s="74"/>
      <c r="N149" s="74"/>
      <c r="O149" s="78"/>
      <c r="P149" s="78"/>
      <c r="Q149" s="78"/>
      <c r="R149" s="78"/>
      <c r="S149" s="79"/>
      <c r="T149" s="79"/>
      <c r="U149" s="79"/>
      <c r="V149" s="79"/>
      <c r="W149" s="79"/>
      <c r="X149" s="79"/>
      <c r="Y149" s="79"/>
      <c r="Z149" s="79"/>
      <c r="AA149" s="79"/>
    </row>
    <row r="150" spans="1:27" x14ac:dyDescent="0.2">
      <c r="A150" s="73"/>
      <c r="B150" s="74"/>
      <c r="C150" s="74"/>
      <c r="D150" s="74"/>
      <c r="E150" s="74"/>
      <c r="F150" s="74"/>
      <c r="G150" s="75"/>
      <c r="H150" s="75"/>
      <c r="I150" s="76"/>
      <c r="J150" s="77"/>
      <c r="K150" s="76"/>
      <c r="L150" s="76"/>
      <c r="M150" s="74"/>
      <c r="N150" s="74"/>
      <c r="O150" s="78"/>
      <c r="P150" s="78"/>
      <c r="Q150" s="78"/>
      <c r="R150" s="78"/>
      <c r="S150" s="79"/>
      <c r="T150" s="79"/>
      <c r="U150" s="79"/>
      <c r="V150" s="79"/>
      <c r="W150" s="79"/>
      <c r="X150" s="79"/>
      <c r="Y150" s="79"/>
      <c r="Z150" s="79"/>
      <c r="AA150" s="79"/>
    </row>
    <row r="151" spans="1:27" x14ac:dyDescent="0.2">
      <c r="A151" s="73"/>
      <c r="B151" s="74"/>
      <c r="C151" s="74"/>
      <c r="D151" s="74"/>
      <c r="E151" s="74"/>
      <c r="F151" s="74"/>
      <c r="G151" s="75"/>
      <c r="H151" s="75"/>
      <c r="I151" s="76"/>
      <c r="J151" s="77"/>
      <c r="K151" s="76"/>
      <c r="L151" s="76"/>
      <c r="M151" s="74"/>
      <c r="N151" s="74"/>
      <c r="O151" s="78"/>
      <c r="P151" s="78"/>
      <c r="Q151" s="78"/>
      <c r="R151" s="78"/>
      <c r="S151" s="79"/>
      <c r="T151" s="79"/>
      <c r="U151" s="79"/>
      <c r="V151" s="79"/>
      <c r="W151" s="79"/>
      <c r="X151" s="79"/>
      <c r="Y151" s="79"/>
      <c r="Z151" s="79"/>
      <c r="AA151" s="79"/>
    </row>
    <row r="152" spans="1:27" x14ac:dyDescent="0.2">
      <c r="A152" s="73"/>
      <c r="B152" s="74"/>
      <c r="C152" s="74"/>
      <c r="D152" s="74"/>
      <c r="E152" s="74"/>
      <c r="F152" s="74"/>
      <c r="G152" s="75"/>
      <c r="H152" s="75"/>
      <c r="I152" s="76"/>
      <c r="J152" s="77"/>
      <c r="K152" s="76"/>
      <c r="L152" s="76"/>
      <c r="M152" s="74"/>
      <c r="N152" s="74"/>
      <c r="O152" s="78"/>
      <c r="P152" s="78"/>
      <c r="Q152" s="78"/>
      <c r="R152" s="78"/>
      <c r="S152" s="79"/>
      <c r="T152" s="79"/>
      <c r="U152" s="79"/>
      <c r="V152" s="79"/>
      <c r="W152" s="79"/>
      <c r="X152" s="79"/>
      <c r="Y152" s="79"/>
      <c r="Z152" s="79"/>
      <c r="AA152" s="79"/>
    </row>
    <row r="153" spans="1:27" x14ac:dyDescent="0.2">
      <c r="A153" s="73"/>
      <c r="B153" s="74"/>
      <c r="C153" s="74"/>
      <c r="D153" s="74"/>
      <c r="E153" s="74"/>
      <c r="F153" s="74"/>
      <c r="G153" s="75"/>
      <c r="H153" s="75"/>
      <c r="I153" s="76"/>
      <c r="J153" s="77"/>
      <c r="K153" s="76"/>
      <c r="L153" s="76"/>
      <c r="M153" s="74"/>
      <c r="N153" s="74"/>
      <c r="O153" s="78"/>
      <c r="P153" s="78"/>
      <c r="Q153" s="78"/>
      <c r="R153" s="78"/>
      <c r="S153" s="79"/>
      <c r="T153" s="79"/>
      <c r="U153" s="79"/>
      <c r="V153" s="79"/>
      <c r="W153" s="79"/>
      <c r="X153" s="79"/>
      <c r="Y153" s="79"/>
      <c r="Z153" s="79"/>
      <c r="AA153" s="79"/>
    </row>
    <row r="154" spans="1:27" x14ac:dyDescent="0.2">
      <c r="A154" s="73"/>
      <c r="B154" s="74"/>
      <c r="C154" s="74"/>
      <c r="D154" s="74"/>
      <c r="E154" s="74"/>
      <c r="F154" s="74"/>
      <c r="G154" s="75"/>
      <c r="H154" s="75"/>
      <c r="I154" s="76"/>
      <c r="J154" s="77"/>
      <c r="K154" s="76"/>
      <c r="L154" s="76"/>
      <c r="M154" s="74"/>
      <c r="N154" s="74"/>
      <c r="O154" s="78"/>
      <c r="P154" s="78"/>
      <c r="Q154" s="78"/>
      <c r="R154" s="78"/>
      <c r="S154" s="79"/>
      <c r="T154" s="79"/>
      <c r="U154" s="79"/>
      <c r="V154" s="79"/>
      <c r="W154" s="79"/>
      <c r="X154" s="79"/>
      <c r="Y154" s="79"/>
      <c r="Z154" s="79"/>
      <c r="AA154" s="79"/>
    </row>
    <row r="155" spans="1:27" x14ac:dyDescent="0.2">
      <c r="A155" s="73"/>
      <c r="B155" s="74"/>
      <c r="C155" s="74"/>
      <c r="D155" s="74"/>
      <c r="E155" s="74"/>
      <c r="F155" s="74"/>
      <c r="G155" s="75"/>
      <c r="H155" s="75"/>
      <c r="I155" s="76"/>
      <c r="J155" s="77"/>
      <c r="K155" s="76"/>
      <c r="L155" s="76"/>
      <c r="M155" s="74"/>
      <c r="N155" s="74"/>
      <c r="O155" s="78"/>
      <c r="P155" s="78"/>
      <c r="Q155" s="78"/>
      <c r="R155" s="78"/>
      <c r="S155" s="79"/>
      <c r="T155" s="79"/>
      <c r="U155" s="79"/>
      <c r="V155" s="79"/>
      <c r="W155" s="79"/>
      <c r="X155" s="79"/>
      <c r="Y155" s="79"/>
      <c r="Z155" s="79"/>
      <c r="AA155" s="79"/>
    </row>
    <row r="156" spans="1:27" x14ac:dyDescent="0.2">
      <c r="A156" s="73"/>
      <c r="B156" s="74"/>
      <c r="C156" s="74"/>
      <c r="D156" s="74"/>
      <c r="E156" s="74"/>
      <c r="F156" s="74"/>
      <c r="G156" s="75"/>
      <c r="H156" s="75"/>
      <c r="I156" s="76"/>
      <c r="J156" s="77"/>
      <c r="K156" s="76"/>
      <c r="L156" s="76"/>
      <c r="M156" s="74"/>
      <c r="N156" s="74"/>
      <c r="O156" s="78"/>
      <c r="P156" s="78"/>
      <c r="Q156" s="78"/>
      <c r="R156" s="78"/>
      <c r="S156" s="79"/>
      <c r="T156" s="79"/>
      <c r="U156" s="79"/>
      <c r="V156" s="79"/>
      <c r="W156" s="79"/>
      <c r="X156" s="79"/>
      <c r="Y156" s="79"/>
      <c r="Z156" s="79"/>
      <c r="AA156" s="79"/>
    </row>
    <row r="157" spans="1:27" x14ac:dyDescent="0.2">
      <c r="A157" s="73"/>
      <c r="B157" s="74"/>
      <c r="C157" s="74"/>
      <c r="D157" s="74"/>
      <c r="E157" s="74"/>
      <c r="F157" s="74"/>
      <c r="G157" s="75"/>
      <c r="H157" s="75"/>
      <c r="I157" s="76"/>
      <c r="J157" s="77"/>
      <c r="K157" s="76"/>
      <c r="L157" s="76"/>
      <c r="M157" s="74"/>
      <c r="N157" s="74"/>
      <c r="O157" s="78"/>
      <c r="P157" s="78"/>
      <c r="Q157" s="78"/>
      <c r="R157" s="78"/>
      <c r="S157" s="79"/>
      <c r="T157" s="79"/>
      <c r="U157" s="79"/>
      <c r="V157" s="79"/>
      <c r="W157" s="79"/>
      <c r="X157" s="79"/>
      <c r="Y157" s="79"/>
      <c r="Z157" s="79"/>
      <c r="AA157" s="79"/>
    </row>
    <row r="158" spans="1:27" x14ac:dyDescent="0.2">
      <c r="A158" s="73"/>
      <c r="B158" s="74"/>
      <c r="C158" s="74"/>
      <c r="D158" s="74"/>
      <c r="E158" s="74"/>
      <c r="F158" s="74"/>
      <c r="G158" s="75"/>
      <c r="H158" s="75"/>
      <c r="I158" s="76"/>
      <c r="J158" s="77"/>
      <c r="K158" s="76"/>
      <c r="L158" s="76"/>
      <c r="M158" s="74"/>
      <c r="N158" s="74"/>
      <c r="O158" s="78"/>
      <c r="P158" s="78"/>
      <c r="Q158" s="78"/>
      <c r="R158" s="78"/>
      <c r="S158" s="79"/>
      <c r="T158" s="79"/>
      <c r="U158" s="79"/>
      <c r="V158" s="79"/>
      <c r="W158" s="79"/>
      <c r="X158" s="79"/>
      <c r="Y158" s="79"/>
      <c r="Z158" s="79"/>
      <c r="AA158" s="79"/>
    </row>
    <row r="159" spans="1:27" x14ac:dyDescent="0.2">
      <c r="A159" s="73"/>
      <c r="B159" s="74"/>
      <c r="C159" s="74"/>
      <c r="D159" s="74"/>
      <c r="E159" s="74"/>
      <c r="F159" s="74"/>
      <c r="G159" s="75"/>
      <c r="H159" s="75"/>
      <c r="I159" s="76"/>
      <c r="J159" s="77"/>
      <c r="K159" s="76"/>
      <c r="L159" s="76"/>
      <c r="M159" s="74"/>
      <c r="N159" s="74"/>
      <c r="O159" s="78"/>
      <c r="P159" s="78"/>
      <c r="Q159" s="78"/>
      <c r="R159" s="78"/>
      <c r="S159" s="79"/>
      <c r="T159" s="79"/>
      <c r="U159" s="79"/>
      <c r="V159" s="79"/>
      <c r="W159" s="79"/>
      <c r="X159" s="79"/>
      <c r="Y159" s="79"/>
      <c r="Z159" s="79"/>
      <c r="AA159" s="79"/>
    </row>
    <row r="160" spans="1:27" x14ac:dyDescent="0.2">
      <c r="A160" s="73"/>
      <c r="B160" s="74"/>
      <c r="C160" s="74"/>
      <c r="D160" s="74"/>
      <c r="E160" s="74"/>
      <c r="F160" s="74"/>
      <c r="G160" s="75"/>
      <c r="H160" s="75"/>
      <c r="I160" s="76"/>
      <c r="J160" s="77"/>
      <c r="K160" s="76"/>
      <c r="L160" s="76"/>
      <c r="M160" s="74"/>
      <c r="N160" s="74"/>
      <c r="O160" s="78"/>
      <c r="P160" s="78"/>
      <c r="Q160" s="78"/>
      <c r="R160" s="78"/>
      <c r="S160" s="79"/>
      <c r="T160" s="79"/>
      <c r="U160" s="79"/>
      <c r="V160" s="79"/>
      <c r="W160" s="79"/>
      <c r="X160" s="79"/>
      <c r="Y160" s="79"/>
      <c r="Z160" s="79"/>
      <c r="AA160" s="79"/>
    </row>
    <row r="161" spans="1:27" x14ac:dyDescent="0.2">
      <c r="A161" s="73"/>
      <c r="B161" s="74"/>
      <c r="C161" s="74"/>
      <c r="D161" s="74"/>
      <c r="E161" s="74"/>
      <c r="F161" s="74"/>
      <c r="G161" s="75"/>
      <c r="H161" s="75"/>
      <c r="I161" s="76"/>
      <c r="J161" s="77"/>
      <c r="K161" s="76"/>
      <c r="L161" s="76"/>
      <c r="M161" s="74"/>
      <c r="N161" s="74"/>
      <c r="O161" s="78"/>
      <c r="P161" s="78"/>
      <c r="Q161" s="78"/>
      <c r="R161" s="78"/>
      <c r="S161" s="79"/>
      <c r="T161" s="79"/>
      <c r="U161" s="79"/>
      <c r="V161" s="79"/>
      <c r="W161" s="79"/>
      <c r="X161" s="79"/>
      <c r="Y161" s="79"/>
      <c r="Z161" s="79"/>
      <c r="AA161" s="79"/>
    </row>
    <row r="162" spans="1:27" x14ac:dyDescent="0.2">
      <c r="A162" s="73"/>
      <c r="B162" s="74"/>
      <c r="C162" s="74"/>
      <c r="D162" s="74"/>
      <c r="E162" s="74"/>
      <c r="F162" s="74"/>
      <c r="G162" s="75"/>
      <c r="H162" s="75"/>
      <c r="I162" s="76"/>
      <c r="J162" s="77"/>
      <c r="K162" s="76"/>
      <c r="L162" s="76"/>
      <c r="M162" s="74"/>
      <c r="N162" s="74"/>
      <c r="O162" s="78"/>
      <c r="P162" s="78"/>
      <c r="Q162" s="78"/>
      <c r="R162" s="78"/>
      <c r="S162" s="79"/>
      <c r="T162" s="79"/>
      <c r="U162" s="79"/>
      <c r="V162" s="79"/>
      <c r="W162" s="79"/>
      <c r="X162" s="79"/>
      <c r="Y162" s="79"/>
      <c r="Z162" s="79"/>
      <c r="AA162" s="79"/>
    </row>
    <row r="163" spans="1:27" x14ac:dyDescent="0.2">
      <c r="A163" s="73"/>
      <c r="B163" s="74"/>
      <c r="C163" s="74"/>
      <c r="D163" s="74"/>
      <c r="E163" s="74"/>
      <c r="F163" s="74"/>
      <c r="G163" s="75"/>
      <c r="H163" s="75"/>
      <c r="I163" s="76"/>
      <c r="J163" s="77"/>
      <c r="K163" s="76"/>
      <c r="L163" s="76"/>
      <c r="M163" s="74"/>
      <c r="N163" s="74"/>
      <c r="O163" s="78"/>
      <c r="P163" s="78"/>
      <c r="Q163" s="78"/>
      <c r="R163" s="78"/>
      <c r="S163" s="79"/>
      <c r="T163" s="79"/>
      <c r="U163" s="79"/>
      <c r="V163" s="79"/>
      <c r="W163" s="79"/>
      <c r="X163" s="79"/>
      <c r="Y163" s="79"/>
      <c r="Z163" s="79"/>
      <c r="AA163" s="79"/>
    </row>
    <row r="164" spans="1:27" x14ac:dyDescent="0.2">
      <c r="A164" s="73"/>
      <c r="B164" s="74"/>
      <c r="C164" s="74"/>
      <c r="D164" s="74"/>
      <c r="E164" s="74"/>
      <c r="F164" s="74"/>
      <c r="G164" s="75"/>
      <c r="H164" s="75"/>
      <c r="I164" s="76"/>
      <c r="J164" s="77"/>
      <c r="K164" s="76"/>
      <c r="L164" s="76"/>
      <c r="M164" s="74"/>
      <c r="N164" s="74"/>
      <c r="O164" s="78"/>
      <c r="P164" s="78"/>
      <c r="Q164" s="78"/>
      <c r="R164" s="78"/>
      <c r="S164" s="79"/>
      <c r="T164" s="79"/>
      <c r="U164" s="79"/>
      <c r="V164" s="79"/>
      <c r="W164" s="79"/>
      <c r="X164" s="79"/>
      <c r="Y164" s="79"/>
      <c r="Z164" s="79"/>
      <c r="AA164" s="79"/>
    </row>
    <row r="165" spans="1:27" x14ac:dyDescent="0.2">
      <c r="A165" s="73"/>
      <c r="B165" s="74"/>
      <c r="C165" s="74"/>
      <c r="D165" s="74"/>
      <c r="E165" s="74"/>
      <c r="F165" s="74"/>
      <c r="G165" s="75"/>
      <c r="H165" s="75"/>
      <c r="I165" s="76"/>
      <c r="J165" s="77"/>
      <c r="K165" s="76"/>
      <c r="L165" s="76"/>
      <c r="M165" s="74"/>
      <c r="N165" s="74"/>
      <c r="O165" s="78"/>
      <c r="P165" s="78"/>
      <c r="Q165" s="78"/>
      <c r="R165" s="78"/>
      <c r="S165" s="79"/>
      <c r="T165" s="79"/>
      <c r="U165" s="79"/>
      <c r="V165" s="79"/>
      <c r="W165" s="79"/>
      <c r="X165" s="79"/>
      <c r="Y165" s="79"/>
      <c r="Z165" s="79"/>
      <c r="AA165" s="79"/>
    </row>
    <row r="166" spans="1:27" x14ac:dyDescent="0.2">
      <c r="A166" s="73"/>
      <c r="B166" s="74"/>
      <c r="C166" s="74"/>
      <c r="D166" s="74"/>
      <c r="E166" s="74"/>
      <c r="F166" s="74"/>
      <c r="G166" s="75"/>
      <c r="H166" s="75"/>
      <c r="I166" s="76"/>
      <c r="J166" s="77"/>
      <c r="K166" s="76"/>
      <c r="L166" s="76"/>
      <c r="M166" s="74"/>
      <c r="N166" s="74"/>
      <c r="O166" s="78"/>
      <c r="P166" s="78"/>
      <c r="Q166" s="78"/>
      <c r="R166" s="78"/>
      <c r="S166" s="79"/>
      <c r="T166" s="79"/>
      <c r="U166" s="79"/>
      <c r="V166" s="79"/>
      <c r="W166" s="79"/>
      <c r="X166" s="79"/>
      <c r="Y166" s="79"/>
      <c r="Z166" s="79"/>
      <c r="AA166" s="79"/>
    </row>
    <row r="167" spans="1:27" x14ac:dyDescent="0.2">
      <c r="A167" s="73"/>
      <c r="B167" s="74"/>
      <c r="C167" s="74"/>
      <c r="D167" s="74"/>
      <c r="E167" s="74"/>
      <c r="F167" s="74"/>
      <c r="G167" s="75"/>
      <c r="H167" s="75"/>
      <c r="I167" s="76"/>
      <c r="J167" s="77"/>
      <c r="K167" s="76"/>
      <c r="L167" s="76"/>
      <c r="M167" s="74"/>
      <c r="N167" s="74"/>
      <c r="O167" s="78"/>
      <c r="P167" s="78"/>
      <c r="Q167" s="78"/>
      <c r="R167" s="78"/>
      <c r="S167" s="79"/>
      <c r="T167" s="79"/>
      <c r="U167" s="79"/>
      <c r="V167" s="79"/>
      <c r="W167" s="79"/>
      <c r="X167" s="79"/>
      <c r="Y167" s="79"/>
      <c r="Z167" s="79"/>
      <c r="AA167" s="79"/>
    </row>
    <row r="168" spans="1:27" x14ac:dyDescent="0.2">
      <c r="A168" s="73"/>
      <c r="B168" s="74"/>
      <c r="C168" s="74"/>
      <c r="D168" s="74"/>
      <c r="E168" s="74"/>
      <c r="F168" s="74"/>
      <c r="G168" s="75"/>
      <c r="H168" s="75"/>
      <c r="I168" s="76"/>
      <c r="J168" s="77"/>
      <c r="K168" s="76"/>
      <c r="L168" s="76"/>
      <c r="M168" s="74"/>
      <c r="N168" s="74"/>
      <c r="O168" s="78"/>
      <c r="P168" s="78"/>
      <c r="Q168" s="78"/>
      <c r="R168" s="78"/>
      <c r="S168" s="79"/>
      <c r="T168" s="79"/>
      <c r="U168" s="79"/>
      <c r="V168" s="79"/>
      <c r="W168" s="79"/>
      <c r="X168" s="79"/>
      <c r="Y168" s="79"/>
      <c r="Z168" s="79"/>
      <c r="AA168" s="79"/>
    </row>
    <row r="169" spans="1:27" x14ac:dyDescent="0.2">
      <c r="A169" s="73"/>
      <c r="B169" s="74"/>
      <c r="C169" s="74"/>
      <c r="D169" s="74"/>
      <c r="E169" s="74"/>
      <c r="F169" s="74"/>
      <c r="G169" s="75"/>
      <c r="H169" s="75"/>
      <c r="I169" s="76"/>
      <c r="J169" s="77"/>
      <c r="K169" s="76"/>
      <c r="L169" s="76"/>
      <c r="M169" s="74"/>
      <c r="N169" s="74"/>
      <c r="O169" s="78"/>
      <c r="P169" s="78"/>
      <c r="Q169" s="78"/>
      <c r="R169" s="78"/>
      <c r="S169" s="79"/>
      <c r="T169" s="79"/>
      <c r="U169" s="79"/>
      <c r="V169" s="79"/>
      <c r="W169" s="79"/>
      <c r="X169" s="79"/>
      <c r="Y169" s="79"/>
      <c r="Z169" s="79"/>
      <c r="AA169" s="79"/>
    </row>
    <row r="170" spans="1:27" x14ac:dyDescent="0.2">
      <c r="A170" s="73"/>
      <c r="B170" s="74"/>
      <c r="C170" s="74"/>
      <c r="D170" s="74"/>
      <c r="E170" s="74"/>
      <c r="F170" s="74"/>
      <c r="G170" s="75"/>
      <c r="H170" s="75"/>
      <c r="I170" s="76"/>
      <c r="J170" s="77"/>
      <c r="K170" s="76"/>
      <c r="L170" s="76"/>
      <c r="M170" s="74"/>
      <c r="N170" s="74"/>
      <c r="O170" s="78"/>
      <c r="P170" s="78"/>
      <c r="Q170" s="78"/>
      <c r="R170" s="78"/>
      <c r="S170" s="79"/>
      <c r="T170" s="79"/>
      <c r="U170" s="79"/>
      <c r="V170" s="79"/>
      <c r="W170" s="79"/>
      <c r="X170" s="79"/>
      <c r="Y170" s="79"/>
      <c r="Z170" s="79"/>
      <c r="AA170" s="79"/>
    </row>
    <row r="171" spans="1:27" x14ac:dyDescent="0.2">
      <c r="A171" s="73"/>
      <c r="B171" s="74"/>
      <c r="C171" s="74"/>
      <c r="D171" s="74"/>
      <c r="E171" s="74"/>
      <c r="F171" s="74"/>
      <c r="G171" s="75"/>
      <c r="H171" s="75"/>
      <c r="I171" s="76"/>
      <c r="J171" s="77"/>
      <c r="K171" s="76"/>
      <c r="L171" s="76"/>
      <c r="M171" s="74"/>
      <c r="N171" s="74"/>
      <c r="O171" s="78"/>
      <c r="P171" s="78"/>
      <c r="Q171" s="78"/>
      <c r="R171" s="78"/>
      <c r="S171" s="79"/>
      <c r="T171" s="79"/>
      <c r="U171" s="79"/>
      <c r="V171" s="79"/>
      <c r="W171" s="79"/>
      <c r="X171" s="79"/>
      <c r="Y171" s="79"/>
      <c r="Z171" s="79"/>
      <c r="AA171" s="79"/>
    </row>
    <row r="172" spans="1:27" x14ac:dyDescent="0.2">
      <c r="A172" s="73"/>
      <c r="B172" s="74"/>
      <c r="C172" s="74"/>
      <c r="D172" s="74"/>
      <c r="E172" s="74"/>
      <c r="F172" s="74"/>
      <c r="G172" s="75"/>
      <c r="H172" s="75"/>
      <c r="I172" s="76"/>
      <c r="J172" s="77"/>
      <c r="K172" s="76"/>
      <c r="L172" s="76"/>
      <c r="M172" s="74"/>
      <c r="N172" s="74"/>
      <c r="O172" s="78"/>
      <c r="P172" s="78"/>
      <c r="Q172" s="78"/>
      <c r="R172" s="78"/>
      <c r="S172" s="79"/>
      <c r="T172" s="79"/>
      <c r="U172" s="79"/>
      <c r="V172" s="79"/>
      <c r="W172" s="79"/>
      <c r="X172" s="79"/>
      <c r="Y172" s="79"/>
      <c r="Z172" s="79"/>
      <c r="AA172" s="79"/>
    </row>
    <row r="173" spans="1:27" x14ac:dyDescent="0.2">
      <c r="A173" s="73"/>
      <c r="B173" s="74"/>
      <c r="C173" s="74"/>
      <c r="D173" s="74"/>
      <c r="E173" s="74"/>
      <c r="F173" s="74"/>
      <c r="G173" s="75"/>
      <c r="H173" s="75"/>
      <c r="I173" s="76"/>
      <c r="J173" s="77"/>
      <c r="K173" s="76"/>
      <c r="L173" s="76"/>
      <c r="M173" s="74"/>
      <c r="N173" s="74"/>
      <c r="O173" s="78"/>
      <c r="P173" s="78"/>
      <c r="Q173" s="78"/>
      <c r="R173" s="78"/>
      <c r="S173" s="79"/>
      <c r="T173" s="79"/>
      <c r="U173" s="79"/>
      <c r="V173" s="79"/>
      <c r="W173" s="79"/>
      <c r="X173" s="79"/>
      <c r="Y173" s="79"/>
      <c r="Z173" s="79"/>
      <c r="AA173" s="79"/>
    </row>
    <row r="174" spans="1:27" x14ac:dyDescent="0.2">
      <c r="A174" s="73"/>
      <c r="B174" s="74"/>
      <c r="C174" s="74"/>
      <c r="D174" s="74"/>
      <c r="E174" s="74"/>
      <c r="F174" s="74"/>
      <c r="G174" s="75"/>
      <c r="H174" s="75"/>
      <c r="I174" s="76"/>
      <c r="J174" s="77"/>
      <c r="K174" s="76"/>
      <c r="L174" s="76"/>
      <c r="M174" s="74"/>
      <c r="N174" s="74"/>
      <c r="O174" s="78"/>
      <c r="P174" s="78"/>
      <c r="Q174" s="78"/>
      <c r="R174" s="78"/>
      <c r="S174" s="79"/>
      <c r="T174" s="79"/>
      <c r="U174" s="79"/>
      <c r="V174" s="79"/>
      <c r="W174" s="79"/>
      <c r="X174" s="79"/>
      <c r="Y174" s="79"/>
      <c r="Z174" s="79"/>
      <c r="AA174" s="79"/>
    </row>
    <row r="175" spans="1:27" x14ac:dyDescent="0.2">
      <c r="A175" s="73"/>
      <c r="B175" s="74"/>
      <c r="C175" s="74"/>
      <c r="D175" s="74"/>
      <c r="E175" s="74"/>
      <c r="F175" s="74"/>
      <c r="G175" s="75"/>
      <c r="H175" s="75"/>
      <c r="I175" s="76"/>
      <c r="J175" s="77"/>
      <c r="K175" s="76"/>
      <c r="L175" s="76"/>
      <c r="M175" s="74"/>
      <c r="N175" s="74"/>
      <c r="O175" s="78"/>
      <c r="P175" s="78"/>
      <c r="Q175" s="78"/>
      <c r="R175" s="78"/>
      <c r="S175" s="79"/>
      <c r="T175" s="79"/>
      <c r="U175" s="79"/>
      <c r="V175" s="79"/>
      <c r="W175" s="79"/>
      <c r="X175" s="79"/>
      <c r="Y175" s="79"/>
      <c r="Z175" s="79"/>
      <c r="AA175" s="79"/>
    </row>
    <row r="176" spans="1:27" x14ac:dyDescent="0.2">
      <c r="A176" s="73"/>
      <c r="B176" s="74"/>
      <c r="C176" s="74"/>
      <c r="D176" s="74"/>
      <c r="E176" s="74"/>
      <c r="F176" s="74"/>
      <c r="G176" s="75"/>
      <c r="H176" s="75"/>
      <c r="I176" s="76"/>
      <c r="J176" s="77"/>
      <c r="K176" s="76"/>
      <c r="L176" s="76"/>
      <c r="M176" s="74"/>
      <c r="N176" s="74"/>
      <c r="O176" s="78"/>
      <c r="P176" s="78"/>
      <c r="Q176" s="78"/>
      <c r="R176" s="78"/>
      <c r="S176" s="79"/>
      <c r="T176" s="79"/>
      <c r="U176" s="79"/>
      <c r="V176" s="79"/>
      <c r="W176" s="79"/>
      <c r="X176" s="79"/>
      <c r="Y176" s="79"/>
      <c r="Z176" s="79"/>
      <c r="AA176" s="79"/>
    </row>
    <row r="177" spans="1:27" x14ac:dyDescent="0.2">
      <c r="A177" s="73"/>
      <c r="B177" s="74"/>
      <c r="C177" s="74"/>
      <c r="D177" s="74"/>
      <c r="E177" s="74"/>
      <c r="F177" s="74"/>
      <c r="G177" s="75"/>
      <c r="H177" s="75"/>
      <c r="I177" s="76"/>
      <c r="J177" s="77"/>
      <c r="K177" s="76"/>
      <c r="L177" s="76"/>
      <c r="M177" s="74"/>
      <c r="N177" s="74"/>
      <c r="O177" s="78"/>
      <c r="P177" s="78"/>
      <c r="Q177" s="78"/>
      <c r="R177" s="78"/>
      <c r="S177" s="79"/>
      <c r="T177" s="79"/>
      <c r="U177" s="79"/>
      <c r="V177" s="79"/>
      <c r="W177" s="79"/>
      <c r="X177" s="79"/>
      <c r="Y177" s="79"/>
      <c r="Z177" s="79"/>
      <c r="AA177" s="79"/>
    </row>
    <row r="178" spans="1:27" x14ac:dyDescent="0.2">
      <c r="A178" s="73"/>
      <c r="B178" s="74"/>
      <c r="C178" s="74"/>
      <c r="D178" s="74"/>
      <c r="E178" s="74"/>
      <c r="F178" s="74"/>
      <c r="G178" s="75"/>
      <c r="H178" s="75"/>
      <c r="I178" s="76"/>
      <c r="J178" s="77"/>
      <c r="K178" s="76"/>
      <c r="L178" s="76"/>
      <c r="M178" s="74"/>
      <c r="N178" s="74"/>
      <c r="O178" s="78"/>
      <c r="P178" s="78"/>
      <c r="Q178" s="78"/>
      <c r="R178" s="78"/>
      <c r="S178" s="79"/>
      <c r="T178" s="79"/>
      <c r="U178" s="79"/>
      <c r="V178" s="79"/>
      <c r="W178" s="79"/>
      <c r="X178" s="79"/>
      <c r="Y178" s="79"/>
      <c r="Z178" s="79"/>
      <c r="AA178" s="79"/>
    </row>
    <row r="179" spans="1:27" x14ac:dyDescent="0.2">
      <c r="A179" s="73"/>
      <c r="B179" s="74"/>
      <c r="C179" s="74"/>
      <c r="D179" s="74"/>
      <c r="E179" s="74"/>
      <c r="F179" s="74"/>
      <c r="G179" s="75"/>
      <c r="H179" s="75"/>
      <c r="I179" s="76"/>
      <c r="J179" s="77"/>
      <c r="K179" s="76"/>
      <c r="L179" s="76"/>
      <c r="M179" s="74"/>
      <c r="N179" s="74"/>
      <c r="O179" s="78"/>
      <c r="P179" s="78"/>
      <c r="Q179" s="78"/>
      <c r="R179" s="78"/>
      <c r="S179" s="79"/>
      <c r="T179" s="79"/>
      <c r="U179" s="79"/>
      <c r="V179" s="79"/>
      <c r="W179" s="79"/>
      <c r="X179" s="79"/>
      <c r="Y179" s="79"/>
      <c r="Z179" s="79"/>
      <c r="AA179" s="79"/>
    </row>
    <row r="180" spans="1:27" x14ac:dyDescent="0.2">
      <c r="A180" s="73"/>
      <c r="B180" s="74"/>
      <c r="C180" s="74"/>
      <c r="D180" s="74"/>
      <c r="E180" s="74"/>
      <c r="F180" s="74"/>
      <c r="G180" s="75"/>
      <c r="H180" s="75"/>
      <c r="I180" s="76"/>
      <c r="J180" s="77"/>
      <c r="K180" s="76"/>
      <c r="L180" s="76"/>
      <c r="M180" s="74"/>
      <c r="N180" s="74"/>
      <c r="O180" s="78"/>
      <c r="P180" s="78"/>
      <c r="Q180" s="78"/>
      <c r="R180" s="78"/>
      <c r="S180" s="79"/>
      <c r="T180" s="79"/>
      <c r="U180" s="79"/>
      <c r="V180" s="79"/>
      <c r="W180" s="79"/>
      <c r="X180" s="79"/>
      <c r="Y180" s="79"/>
      <c r="Z180" s="79"/>
      <c r="AA180" s="79"/>
    </row>
    <row r="181" spans="1:27" x14ac:dyDescent="0.2">
      <c r="A181" s="73"/>
      <c r="B181" s="74"/>
      <c r="C181" s="74"/>
      <c r="D181" s="74"/>
      <c r="E181" s="74"/>
      <c r="F181" s="74"/>
      <c r="G181" s="75"/>
      <c r="H181" s="75"/>
      <c r="I181" s="76"/>
      <c r="J181" s="77"/>
      <c r="K181" s="76"/>
      <c r="L181" s="76"/>
      <c r="M181" s="74"/>
      <c r="N181" s="74"/>
      <c r="O181" s="78"/>
      <c r="P181" s="78"/>
      <c r="Q181" s="78"/>
      <c r="R181" s="78"/>
      <c r="S181" s="79"/>
      <c r="T181" s="79"/>
      <c r="U181" s="79"/>
      <c r="V181" s="79"/>
      <c r="W181" s="79"/>
      <c r="X181" s="79"/>
      <c r="Y181" s="79"/>
      <c r="Z181" s="79"/>
      <c r="AA181" s="79"/>
    </row>
    <row r="182" spans="1:27" x14ac:dyDescent="0.2">
      <c r="A182" s="73"/>
      <c r="B182" s="74"/>
      <c r="C182" s="74"/>
      <c r="D182" s="74"/>
      <c r="E182" s="74"/>
      <c r="F182" s="74"/>
      <c r="G182" s="75"/>
      <c r="H182" s="75"/>
      <c r="I182" s="76"/>
      <c r="J182" s="77"/>
      <c r="K182" s="76"/>
      <c r="L182" s="76"/>
      <c r="M182" s="74"/>
      <c r="N182" s="74"/>
      <c r="O182" s="78"/>
      <c r="P182" s="78"/>
      <c r="Q182" s="78"/>
      <c r="R182" s="78"/>
      <c r="S182" s="79"/>
      <c r="T182" s="79"/>
      <c r="U182" s="79"/>
      <c r="V182" s="79"/>
      <c r="W182" s="79"/>
      <c r="X182" s="79"/>
      <c r="Y182" s="79"/>
      <c r="Z182" s="79"/>
      <c r="AA182" s="79"/>
    </row>
    <row r="183" spans="1:27" x14ac:dyDescent="0.2">
      <c r="A183" s="73"/>
      <c r="B183" s="74"/>
      <c r="C183" s="74"/>
      <c r="D183" s="74"/>
      <c r="E183" s="74"/>
      <c r="F183" s="74"/>
      <c r="G183" s="75"/>
      <c r="H183" s="75"/>
      <c r="I183" s="76"/>
      <c r="J183" s="77"/>
      <c r="K183" s="76"/>
      <c r="L183" s="76"/>
      <c r="M183" s="74"/>
      <c r="N183" s="74"/>
      <c r="O183" s="78"/>
      <c r="P183" s="78"/>
      <c r="Q183" s="78"/>
      <c r="R183" s="78"/>
      <c r="S183" s="79"/>
      <c r="T183" s="79"/>
      <c r="U183" s="79"/>
      <c r="V183" s="79"/>
      <c r="W183" s="79"/>
      <c r="X183" s="79"/>
      <c r="Y183" s="79"/>
      <c r="Z183" s="79"/>
      <c r="AA183" s="79"/>
    </row>
    <row r="184" spans="1:27" x14ac:dyDescent="0.2">
      <c r="A184" s="73"/>
      <c r="B184" s="74"/>
      <c r="C184" s="74"/>
      <c r="D184" s="74"/>
      <c r="E184" s="74"/>
      <c r="F184" s="74"/>
      <c r="G184" s="75"/>
      <c r="H184" s="75"/>
      <c r="I184" s="76"/>
      <c r="J184" s="77"/>
      <c r="K184" s="76"/>
      <c r="L184" s="76"/>
      <c r="M184" s="74"/>
      <c r="N184" s="74"/>
      <c r="O184" s="78"/>
      <c r="P184" s="78"/>
      <c r="Q184" s="78"/>
      <c r="R184" s="78"/>
      <c r="S184" s="79"/>
      <c r="T184" s="79"/>
      <c r="U184" s="79"/>
      <c r="V184" s="79"/>
      <c r="W184" s="79"/>
      <c r="X184" s="79"/>
      <c r="Y184" s="79"/>
      <c r="Z184" s="79"/>
      <c r="AA184" s="79"/>
    </row>
    <row r="185" spans="1:27" x14ac:dyDescent="0.2">
      <c r="A185" s="73"/>
      <c r="B185" s="74"/>
      <c r="C185" s="74"/>
      <c r="D185" s="74"/>
      <c r="E185" s="74"/>
      <c r="F185" s="74"/>
      <c r="G185" s="75"/>
      <c r="H185" s="75"/>
      <c r="I185" s="76"/>
      <c r="J185" s="77"/>
      <c r="K185" s="76"/>
      <c r="L185" s="76"/>
      <c r="M185" s="74"/>
      <c r="N185" s="74"/>
      <c r="O185" s="78"/>
      <c r="P185" s="78"/>
      <c r="Q185" s="78"/>
      <c r="R185" s="78"/>
      <c r="S185" s="79"/>
      <c r="T185" s="79"/>
      <c r="U185" s="79"/>
      <c r="V185" s="79"/>
      <c r="W185" s="79"/>
      <c r="X185" s="79"/>
      <c r="Y185" s="79"/>
      <c r="Z185" s="79"/>
      <c r="AA185" s="79"/>
    </row>
    <row r="186" spans="1:27" x14ac:dyDescent="0.2">
      <c r="A186" s="73"/>
      <c r="B186" s="74"/>
      <c r="C186" s="74"/>
      <c r="D186" s="74"/>
      <c r="E186" s="74"/>
      <c r="F186" s="74"/>
      <c r="G186" s="75"/>
      <c r="H186" s="75"/>
      <c r="I186" s="76"/>
      <c r="J186" s="77"/>
      <c r="K186" s="76"/>
      <c r="L186" s="76"/>
      <c r="M186" s="74"/>
      <c r="N186" s="74"/>
      <c r="O186" s="78"/>
      <c r="P186" s="78"/>
      <c r="Q186" s="78"/>
      <c r="R186" s="78"/>
      <c r="S186" s="79"/>
      <c r="T186" s="79"/>
      <c r="U186" s="79"/>
      <c r="V186" s="79"/>
      <c r="W186" s="79"/>
      <c r="X186" s="79"/>
      <c r="Y186" s="79"/>
      <c r="Z186" s="79"/>
      <c r="AA186" s="79"/>
    </row>
    <row r="187" spans="1:27" x14ac:dyDescent="0.2">
      <c r="A187" s="73"/>
      <c r="B187" s="74"/>
      <c r="C187" s="74"/>
      <c r="D187" s="74"/>
      <c r="E187" s="74"/>
      <c r="F187" s="74"/>
      <c r="G187" s="75"/>
      <c r="H187" s="75"/>
      <c r="I187" s="76"/>
      <c r="J187" s="77"/>
      <c r="K187" s="76"/>
      <c r="L187" s="76"/>
      <c r="M187" s="74"/>
      <c r="N187" s="74"/>
      <c r="O187" s="78"/>
      <c r="P187" s="78"/>
      <c r="Q187" s="78"/>
      <c r="R187" s="78"/>
      <c r="S187" s="79"/>
      <c r="T187" s="79"/>
      <c r="U187" s="79"/>
      <c r="V187" s="79"/>
      <c r="W187" s="79"/>
      <c r="X187" s="79"/>
      <c r="Y187" s="79"/>
      <c r="Z187" s="79"/>
      <c r="AA187" s="79"/>
    </row>
    <row r="188" spans="1:27" x14ac:dyDescent="0.2">
      <c r="A188" s="73"/>
      <c r="B188" s="74"/>
      <c r="C188" s="74"/>
      <c r="D188" s="74"/>
      <c r="E188" s="74"/>
      <c r="F188" s="74"/>
      <c r="G188" s="75"/>
      <c r="H188" s="75"/>
      <c r="I188" s="76"/>
      <c r="J188" s="77"/>
      <c r="K188" s="76"/>
      <c r="L188" s="76"/>
      <c r="M188" s="74"/>
      <c r="N188" s="74"/>
      <c r="O188" s="78"/>
      <c r="P188" s="78"/>
      <c r="Q188" s="78"/>
      <c r="R188" s="78"/>
      <c r="S188" s="79"/>
      <c r="T188" s="79"/>
      <c r="U188" s="79"/>
      <c r="V188" s="79"/>
      <c r="W188" s="79"/>
      <c r="X188" s="79"/>
      <c r="Y188" s="79"/>
      <c r="Z188" s="79"/>
      <c r="AA188" s="79"/>
    </row>
    <row r="189" spans="1:27" x14ac:dyDescent="0.2">
      <c r="A189" s="73"/>
      <c r="B189" s="74"/>
      <c r="C189" s="74"/>
      <c r="D189" s="74"/>
      <c r="E189" s="74"/>
      <c r="F189" s="74"/>
      <c r="G189" s="75"/>
      <c r="H189" s="75"/>
      <c r="I189" s="76"/>
      <c r="J189" s="77"/>
      <c r="K189" s="76"/>
      <c r="L189" s="76"/>
      <c r="M189" s="74"/>
      <c r="N189" s="74"/>
      <c r="O189" s="78"/>
      <c r="P189" s="78"/>
      <c r="Q189" s="78"/>
      <c r="R189" s="78"/>
      <c r="S189" s="79"/>
      <c r="T189" s="79"/>
      <c r="U189" s="79"/>
      <c r="V189" s="79"/>
      <c r="W189" s="79"/>
      <c r="X189" s="79"/>
      <c r="Y189" s="79"/>
      <c r="Z189" s="79"/>
      <c r="AA189" s="79"/>
    </row>
    <row r="190" spans="1:27" x14ac:dyDescent="0.2">
      <c r="A190" s="73"/>
      <c r="B190" s="74"/>
      <c r="C190" s="74"/>
      <c r="D190" s="74"/>
      <c r="E190" s="74"/>
      <c r="F190" s="74"/>
      <c r="G190" s="75"/>
      <c r="H190" s="75"/>
      <c r="I190" s="76"/>
      <c r="J190" s="77"/>
      <c r="K190" s="76"/>
      <c r="L190" s="76"/>
      <c r="M190" s="74"/>
      <c r="N190" s="74"/>
      <c r="O190" s="78"/>
      <c r="P190" s="78"/>
      <c r="Q190" s="78"/>
      <c r="R190" s="78"/>
      <c r="S190" s="79"/>
      <c r="T190" s="79"/>
      <c r="U190" s="79"/>
      <c r="V190" s="79"/>
      <c r="W190" s="79"/>
      <c r="X190" s="79"/>
      <c r="Y190" s="79"/>
      <c r="Z190" s="79"/>
      <c r="AA190" s="79"/>
    </row>
    <row r="191" spans="1:27" x14ac:dyDescent="0.2">
      <c r="A191" s="73"/>
      <c r="B191" s="74"/>
      <c r="C191" s="74"/>
      <c r="D191" s="74"/>
      <c r="E191" s="74"/>
      <c r="F191" s="74"/>
      <c r="G191" s="75"/>
      <c r="H191" s="75"/>
      <c r="I191" s="76"/>
      <c r="J191" s="77"/>
      <c r="K191" s="76"/>
      <c r="L191" s="76"/>
      <c r="M191" s="74"/>
      <c r="N191" s="74"/>
      <c r="O191" s="78"/>
      <c r="P191" s="78"/>
      <c r="Q191" s="78"/>
      <c r="R191" s="78"/>
      <c r="S191" s="79"/>
      <c r="T191" s="79"/>
      <c r="U191" s="79"/>
      <c r="V191" s="79"/>
      <c r="W191" s="79"/>
      <c r="X191" s="79"/>
      <c r="Y191" s="79"/>
      <c r="Z191" s="79"/>
      <c r="AA191" s="79"/>
    </row>
    <row r="192" spans="1:27" x14ac:dyDescent="0.2">
      <c r="A192" s="73"/>
      <c r="B192" s="74"/>
      <c r="C192" s="74"/>
      <c r="D192" s="74"/>
      <c r="E192" s="74"/>
      <c r="F192" s="74"/>
      <c r="G192" s="75"/>
      <c r="H192" s="75"/>
      <c r="I192" s="76"/>
      <c r="J192" s="77"/>
      <c r="K192" s="76"/>
      <c r="L192" s="76"/>
      <c r="M192" s="74"/>
      <c r="N192" s="74"/>
      <c r="O192" s="78"/>
      <c r="P192" s="78"/>
      <c r="Q192" s="78"/>
      <c r="R192" s="78"/>
      <c r="S192" s="79"/>
      <c r="T192" s="79"/>
      <c r="U192" s="79"/>
      <c r="V192" s="79"/>
      <c r="W192" s="79"/>
      <c r="X192" s="79"/>
      <c r="Y192" s="79"/>
      <c r="Z192" s="79"/>
      <c r="AA192" s="79"/>
    </row>
    <row r="193" spans="1:27" x14ac:dyDescent="0.2">
      <c r="A193" s="73"/>
      <c r="B193" s="74"/>
      <c r="C193" s="74"/>
      <c r="D193" s="74"/>
      <c r="E193" s="74"/>
      <c r="F193" s="74"/>
      <c r="G193" s="75"/>
      <c r="H193" s="75"/>
      <c r="I193" s="76"/>
      <c r="J193" s="77"/>
      <c r="K193" s="76"/>
      <c r="L193" s="76"/>
      <c r="M193" s="74"/>
      <c r="N193" s="74"/>
      <c r="O193" s="78"/>
      <c r="P193" s="78"/>
      <c r="Q193" s="78"/>
      <c r="R193" s="78"/>
      <c r="S193" s="79"/>
      <c r="T193" s="79"/>
      <c r="U193" s="79"/>
      <c r="V193" s="79"/>
      <c r="W193" s="79"/>
      <c r="X193" s="79"/>
      <c r="Y193" s="79"/>
      <c r="Z193" s="79"/>
      <c r="AA193" s="79"/>
    </row>
    <row r="194" spans="1:27" x14ac:dyDescent="0.2">
      <c r="A194" s="73"/>
      <c r="B194" s="74"/>
      <c r="C194" s="74"/>
      <c r="D194" s="74"/>
      <c r="E194" s="74"/>
      <c r="F194" s="74"/>
      <c r="G194" s="75"/>
      <c r="H194" s="75"/>
      <c r="I194" s="76"/>
      <c r="J194" s="77"/>
      <c r="K194" s="76"/>
      <c r="L194" s="76"/>
      <c r="M194" s="74"/>
      <c r="N194" s="74"/>
      <c r="O194" s="78"/>
      <c r="P194" s="78"/>
      <c r="Q194" s="78"/>
      <c r="R194" s="78"/>
      <c r="S194" s="79"/>
      <c r="T194" s="79"/>
      <c r="U194" s="79"/>
      <c r="V194" s="79"/>
      <c r="W194" s="79"/>
      <c r="X194" s="79"/>
      <c r="Y194" s="79"/>
      <c r="Z194" s="79"/>
      <c r="AA194" s="79"/>
    </row>
    <row r="195" spans="1:27" x14ac:dyDescent="0.2">
      <c r="A195" s="73"/>
      <c r="B195" s="74"/>
      <c r="C195" s="74"/>
      <c r="D195" s="74"/>
      <c r="E195" s="74"/>
      <c r="F195" s="74"/>
      <c r="G195" s="75"/>
      <c r="H195" s="75"/>
      <c r="I195" s="76"/>
      <c r="J195" s="77"/>
      <c r="K195" s="76"/>
      <c r="L195" s="76"/>
      <c r="M195" s="74"/>
      <c r="N195" s="74"/>
      <c r="O195" s="78"/>
      <c r="P195" s="78"/>
      <c r="Q195" s="78"/>
      <c r="R195" s="78"/>
      <c r="S195" s="79"/>
      <c r="T195" s="79"/>
      <c r="U195" s="79"/>
      <c r="V195" s="79"/>
      <c r="W195" s="79"/>
      <c r="X195" s="79"/>
      <c r="Y195" s="79"/>
      <c r="Z195" s="79"/>
      <c r="AA195" s="79"/>
    </row>
    <row r="196" spans="1:27" x14ac:dyDescent="0.2">
      <c r="A196" s="73"/>
      <c r="B196" s="74"/>
      <c r="C196" s="74"/>
      <c r="D196" s="74"/>
      <c r="E196" s="74"/>
      <c r="F196" s="74"/>
      <c r="G196" s="75"/>
      <c r="H196" s="75"/>
      <c r="I196" s="76"/>
      <c r="J196" s="77"/>
      <c r="K196" s="76"/>
      <c r="L196" s="76"/>
      <c r="M196" s="74"/>
      <c r="N196" s="74"/>
      <c r="O196" s="78"/>
      <c r="P196" s="78"/>
      <c r="Q196" s="78"/>
      <c r="R196" s="78"/>
      <c r="S196" s="79"/>
      <c r="T196" s="79"/>
      <c r="U196" s="79"/>
      <c r="V196" s="79"/>
      <c r="W196" s="79"/>
      <c r="X196" s="79"/>
      <c r="Y196" s="79"/>
      <c r="Z196" s="79"/>
      <c r="AA196" s="79"/>
    </row>
    <row r="197" spans="1:27" x14ac:dyDescent="0.2">
      <c r="A197" s="73"/>
      <c r="B197" s="74"/>
      <c r="C197" s="74"/>
      <c r="D197" s="74"/>
      <c r="E197" s="74"/>
      <c r="F197" s="74"/>
      <c r="G197" s="75"/>
      <c r="H197" s="75"/>
      <c r="I197" s="76"/>
      <c r="J197" s="77"/>
      <c r="K197" s="76"/>
      <c r="L197" s="76"/>
      <c r="M197" s="74"/>
      <c r="N197" s="74"/>
      <c r="O197" s="78"/>
      <c r="P197" s="78"/>
      <c r="Q197" s="78"/>
      <c r="R197" s="78"/>
      <c r="S197" s="79"/>
      <c r="T197" s="79"/>
      <c r="U197" s="79"/>
      <c r="V197" s="79"/>
      <c r="W197" s="79"/>
      <c r="X197" s="79"/>
      <c r="Y197" s="79"/>
      <c r="Z197" s="79"/>
      <c r="AA197" s="79"/>
    </row>
    <row r="198" spans="1:27" x14ac:dyDescent="0.2">
      <c r="A198" s="73"/>
      <c r="B198" s="74"/>
      <c r="C198" s="74"/>
      <c r="D198" s="74"/>
      <c r="E198" s="74"/>
      <c r="F198" s="74"/>
      <c r="G198" s="75"/>
      <c r="H198" s="75"/>
      <c r="I198" s="76"/>
      <c r="J198" s="77"/>
      <c r="K198" s="76"/>
      <c r="L198" s="76"/>
      <c r="M198" s="74"/>
      <c r="N198" s="74"/>
      <c r="O198" s="78"/>
      <c r="P198" s="78"/>
      <c r="Q198" s="78"/>
      <c r="R198" s="78"/>
      <c r="S198" s="79"/>
      <c r="T198" s="79"/>
      <c r="U198" s="79"/>
      <c r="V198" s="79"/>
      <c r="W198" s="79"/>
      <c r="X198" s="79"/>
      <c r="Y198" s="79"/>
      <c r="Z198" s="79"/>
      <c r="AA198" s="79"/>
    </row>
    <row r="199" spans="1:27" x14ac:dyDescent="0.2">
      <c r="A199" s="73"/>
      <c r="B199" s="74"/>
      <c r="C199" s="74"/>
      <c r="D199" s="74"/>
      <c r="E199" s="74"/>
      <c r="F199" s="74"/>
      <c r="G199" s="75"/>
      <c r="H199" s="75"/>
      <c r="I199" s="76"/>
      <c r="J199" s="77"/>
      <c r="K199" s="76"/>
      <c r="L199" s="76"/>
      <c r="M199" s="74"/>
      <c r="N199" s="74"/>
      <c r="O199" s="78"/>
      <c r="P199" s="78"/>
      <c r="Q199" s="78"/>
      <c r="R199" s="78"/>
      <c r="S199" s="79"/>
      <c r="T199" s="79"/>
      <c r="U199" s="79"/>
      <c r="V199" s="79"/>
      <c r="W199" s="79"/>
      <c r="X199" s="79"/>
      <c r="Y199" s="79"/>
      <c r="Z199" s="79"/>
      <c r="AA199" s="79"/>
    </row>
    <row r="200" spans="1:27" x14ac:dyDescent="0.2">
      <c r="A200" s="73"/>
      <c r="B200" s="74"/>
      <c r="C200" s="74"/>
      <c r="D200" s="74"/>
      <c r="E200" s="74"/>
      <c r="F200" s="74"/>
      <c r="G200" s="75"/>
      <c r="H200" s="75"/>
      <c r="I200" s="76"/>
      <c r="J200" s="77"/>
      <c r="K200" s="76"/>
      <c r="L200" s="76"/>
      <c r="M200" s="74"/>
      <c r="N200" s="74"/>
      <c r="O200" s="78"/>
      <c r="P200" s="78"/>
      <c r="Q200" s="78"/>
      <c r="R200" s="78"/>
      <c r="S200" s="79"/>
      <c r="T200" s="79"/>
      <c r="U200" s="79"/>
      <c r="V200" s="79"/>
      <c r="W200" s="79"/>
      <c r="X200" s="79"/>
      <c r="Y200" s="79"/>
      <c r="Z200" s="79"/>
      <c r="AA200" s="79"/>
    </row>
    <row r="201" spans="1:27" x14ac:dyDescent="0.2">
      <c r="A201" s="73"/>
      <c r="B201" s="74"/>
      <c r="C201" s="74"/>
      <c r="D201" s="74"/>
      <c r="E201" s="74"/>
      <c r="F201" s="74"/>
      <c r="G201" s="75"/>
      <c r="H201" s="75"/>
      <c r="I201" s="76"/>
      <c r="J201" s="77"/>
      <c r="K201" s="76"/>
      <c r="L201" s="76"/>
      <c r="M201" s="74"/>
      <c r="N201" s="74"/>
      <c r="O201" s="78"/>
      <c r="P201" s="78"/>
      <c r="Q201" s="78"/>
      <c r="R201" s="78"/>
      <c r="S201" s="79"/>
      <c r="T201" s="79"/>
      <c r="U201" s="79"/>
      <c r="V201" s="79"/>
      <c r="W201" s="79"/>
      <c r="X201" s="79"/>
      <c r="Y201" s="79"/>
      <c r="Z201" s="79"/>
      <c r="AA201" s="79"/>
    </row>
    <row r="202" spans="1:27" x14ac:dyDescent="0.2">
      <c r="A202" s="73"/>
      <c r="B202" s="74"/>
      <c r="C202" s="74"/>
      <c r="D202" s="74"/>
      <c r="E202" s="74"/>
      <c r="F202" s="74"/>
      <c r="G202" s="75"/>
      <c r="H202" s="75"/>
      <c r="I202" s="76"/>
      <c r="J202" s="77"/>
      <c r="K202" s="76"/>
      <c r="L202" s="76"/>
      <c r="M202" s="74"/>
      <c r="N202" s="74"/>
      <c r="O202" s="78"/>
      <c r="P202" s="78"/>
      <c r="Q202" s="78"/>
      <c r="R202" s="78"/>
      <c r="S202" s="79"/>
      <c r="T202" s="79"/>
      <c r="U202" s="79"/>
      <c r="V202" s="79"/>
      <c r="W202" s="79"/>
      <c r="X202" s="79"/>
      <c r="Y202" s="79"/>
      <c r="Z202" s="79"/>
      <c r="AA202" s="79"/>
    </row>
    <row r="203" spans="1:27" x14ac:dyDescent="0.2">
      <c r="A203" s="73"/>
      <c r="B203" s="74"/>
      <c r="C203" s="74"/>
      <c r="D203" s="74"/>
      <c r="E203" s="74"/>
      <c r="F203" s="74"/>
      <c r="G203" s="75"/>
      <c r="H203" s="75"/>
      <c r="I203" s="76"/>
      <c r="J203" s="77"/>
      <c r="K203" s="76"/>
      <c r="L203" s="76"/>
      <c r="M203" s="74"/>
      <c r="N203" s="74"/>
      <c r="O203" s="78"/>
      <c r="P203" s="78"/>
      <c r="Q203" s="78"/>
      <c r="R203" s="78"/>
      <c r="S203" s="79"/>
      <c r="T203" s="79"/>
      <c r="U203" s="79"/>
      <c r="V203" s="79"/>
      <c r="W203" s="79"/>
      <c r="X203" s="79"/>
      <c r="Y203" s="79"/>
      <c r="Z203" s="79"/>
      <c r="AA203" s="79"/>
    </row>
    <row r="204" spans="1:27" x14ac:dyDescent="0.2">
      <c r="A204" s="73"/>
      <c r="B204" s="74"/>
      <c r="C204" s="74"/>
      <c r="D204" s="74"/>
      <c r="E204" s="74"/>
      <c r="F204" s="74"/>
      <c r="G204" s="75"/>
      <c r="H204" s="75"/>
      <c r="I204" s="76"/>
      <c r="J204" s="77"/>
      <c r="K204" s="76"/>
      <c r="L204" s="76"/>
      <c r="M204" s="74"/>
      <c r="N204" s="74"/>
      <c r="O204" s="78"/>
      <c r="P204" s="78"/>
      <c r="Q204" s="78"/>
      <c r="R204" s="78"/>
      <c r="S204" s="79"/>
      <c r="T204" s="79"/>
      <c r="U204" s="79"/>
      <c r="V204" s="79"/>
      <c r="W204" s="79"/>
      <c r="X204" s="79"/>
      <c r="Y204" s="79"/>
      <c r="Z204" s="79"/>
      <c r="AA204" s="79"/>
    </row>
    <row r="205" spans="1:27" x14ac:dyDescent="0.2">
      <c r="A205" s="73"/>
      <c r="B205" s="74"/>
      <c r="C205" s="74"/>
      <c r="D205" s="74"/>
      <c r="E205" s="74"/>
      <c r="F205" s="74"/>
      <c r="G205" s="75"/>
      <c r="H205" s="75"/>
      <c r="I205" s="76"/>
      <c r="J205" s="77"/>
      <c r="K205" s="76"/>
      <c r="L205" s="76"/>
      <c r="M205" s="74"/>
      <c r="N205" s="74"/>
      <c r="O205" s="78"/>
      <c r="P205" s="78"/>
      <c r="Q205" s="78"/>
      <c r="R205" s="78"/>
      <c r="S205" s="79"/>
      <c r="T205" s="79"/>
      <c r="U205" s="79"/>
      <c r="V205" s="79"/>
      <c r="W205" s="79"/>
      <c r="X205" s="79"/>
      <c r="Y205" s="79"/>
      <c r="Z205" s="79"/>
      <c r="AA205" s="79"/>
    </row>
    <row r="206" spans="1:27" x14ac:dyDescent="0.2">
      <c r="A206" s="73"/>
      <c r="B206" s="74"/>
      <c r="C206" s="74"/>
      <c r="D206" s="74"/>
      <c r="E206" s="74"/>
      <c r="F206" s="74"/>
      <c r="G206" s="75"/>
      <c r="H206" s="75"/>
      <c r="I206" s="76"/>
      <c r="J206" s="77"/>
      <c r="K206" s="76"/>
      <c r="L206" s="76"/>
      <c r="M206" s="74"/>
      <c r="N206" s="74"/>
      <c r="O206" s="78"/>
      <c r="P206" s="78"/>
      <c r="Q206" s="78"/>
      <c r="R206" s="78"/>
      <c r="S206" s="79"/>
      <c r="T206" s="79"/>
      <c r="U206" s="79"/>
      <c r="V206" s="79"/>
      <c r="W206" s="79"/>
      <c r="X206" s="79"/>
      <c r="Y206" s="79"/>
      <c r="Z206" s="79"/>
      <c r="AA206" s="79"/>
    </row>
    <row r="207" spans="1:27" x14ac:dyDescent="0.2">
      <c r="A207" s="73"/>
      <c r="B207" s="74"/>
      <c r="C207" s="74"/>
      <c r="D207" s="74"/>
      <c r="E207" s="74"/>
      <c r="F207" s="74"/>
      <c r="G207" s="75"/>
      <c r="H207" s="75"/>
      <c r="I207" s="76"/>
      <c r="J207" s="77"/>
      <c r="K207" s="76"/>
      <c r="L207" s="76"/>
      <c r="M207" s="74"/>
      <c r="N207" s="74"/>
      <c r="O207" s="78"/>
      <c r="P207" s="78"/>
      <c r="Q207" s="78"/>
      <c r="R207" s="78"/>
      <c r="S207" s="79"/>
      <c r="T207" s="79"/>
      <c r="U207" s="79"/>
      <c r="V207" s="79"/>
      <c r="W207" s="79"/>
      <c r="X207" s="79"/>
      <c r="Y207" s="79"/>
      <c r="Z207" s="79"/>
      <c r="AA207" s="79"/>
    </row>
    <row r="208" spans="1:27" x14ac:dyDescent="0.2">
      <c r="A208" s="73"/>
      <c r="B208" s="74"/>
      <c r="C208" s="74"/>
      <c r="D208" s="74"/>
      <c r="E208" s="74"/>
      <c r="F208" s="74"/>
      <c r="G208" s="75"/>
      <c r="H208" s="75"/>
      <c r="I208" s="76"/>
      <c r="J208" s="77"/>
      <c r="K208" s="76"/>
      <c r="L208" s="76"/>
      <c r="M208" s="74"/>
      <c r="N208" s="74"/>
      <c r="O208" s="78"/>
      <c r="P208" s="78"/>
      <c r="Q208" s="78"/>
      <c r="R208" s="78"/>
      <c r="S208" s="79"/>
      <c r="T208" s="79"/>
      <c r="U208" s="79"/>
      <c r="V208" s="79"/>
      <c r="W208" s="79"/>
      <c r="X208" s="79"/>
      <c r="Y208" s="79"/>
      <c r="Z208" s="79"/>
      <c r="AA208" s="79"/>
    </row>
    <row r="209" spans="1:27" x14ac:dyDescent="0.2">
      <c r="A209" s="73"/>
      <c r="B209" s="74"/>
      <c r="C209" s="74"/>
      <c r="D209" s="74"/>
      <c r="E209" s="74"/>
      <c r="F209" s="74"/>
      <c r="G209" s="75"/>
      <c r="H209" s="75"/>
      <c r="I209" s="76"/>
      <c r="J209" s="77"/>
      <c r="K209" s="76"/>
      <c r="L209" s="76"/>
      <c r="M209" s="74"/>
      <c r="N209" s="74"/>
      <c r="O209" s="78"/>
      <c r="P209" s="78"/>
      <c r="Q209" s="78"/>
      <c r="R209" s="78"/>
      <c r="S209" s="79"/>
      <c r="T209" s="79"/>
      <c r="U209" s="79"/>
      <c r="V209" s="79"/>
      <c r="W209" s="79"/>
      <c r="X209" s="79"/>
      <c r="Y209" s="79"/>
      <c r="Z209" s="79"/>
      <c r="AA209" s="79"/>
    </row>
    <row r="210" spans="1:27" x14ac:dyDescent="0.2">
      <c r="A210" s="73"/>
      <c r="B210" s="74"/>
      <c r="C210" s="74"/>
      <c r="D210" s="74"/>
      <c r="E210" s="74"/>
      <c r="F210" s="74"/>
      <c r="G210" s="75"/>
      <c r="H210" s="75"/>
      <c r="I210" s="76"/>
      <c r="J210" s="77"/>
      <c r="K210" s="76"/>
      <c r="L210" s="76"/>
      <c r="M210" s="74"/>
      <c r="N210" s="74"/>
      <c r="O210" s="78"/>
      <c r="P210" s="78"/>
      <c r="Q210" s="78"/>
      <c r="R210" s="78"/>
      <c r="S210" s="79"/>
      <c r="T210" s="79"/>
      <c r="U210" s="79"/>
      <c r="V210" s="79"/>
      <c r="W210" s="79"/>
      <c r="X210" s="79"/>
      <c r="Y210" s="79"/>
      <c r="Z210" s="79"/>
      <c r="AA210" s="79"/>
    </row>
    <row r="211" spans="1:27" x14ac:dyDescent="0.2">
      <c r="A211" s="73"/>
      <c r="B211" s="74"/>
      <c r="C211" s="74"/>
      <c r="D211" s="74"/>
      <c r="E211" s="74"/>
      <c r="F211" s="74"/>
      <c r="G211" s="75"/>
      <c r="H211" s="75"/>
      <c r="I211" s="76"/>
      <c r="J211" s="77"/>
      <c r="K211" s="76"/>
      <c r="L211" s="76"/>
      <c r="M211" s="74"/>
      <c r="N211" s="74"/>
      <c r="O211" s="78"/>
      <c r="P211" s="78"/>
      <c r="Q211" s="78"/>
      <c r="R211" s="78"/>
      <c r="S211" s="79"/>
      <c r="T211" s="79"/>
      <c r="U211" s="79"/>
      <c r="V211" s="79"/>
      <c r="W211" s="79"/>
      <c r="X211" s="79"/>
      <c r="Y211" s="79"/>
      <c r="Z211" s="79"/>
      <c r="AA211" s="79"/>
    </row>
    <row r="212" spans="1:27" x14ac:dyDescent="0.2">
      <c r="A212" s="73"/>
      <c r="B212" s="74"/>
      <c r="C212" s="74"/>
      <c r="D212" s="74"/>
      <c r="E212" s="74"/>
      <c r="F212" s="74"/>
      <c r="G212" s="75"/>
      <c r="H212" s="75"/>
      <c r="I212" s="76"/>
      <c r="J212" s="77"/>
      <c r="K212" s="76"/>
      <c r="L212" s="76"/>
      <c r="M212" s="74"/>
      <c r="N212" s="74"/>
      <c r="O212" s="78"/>
      <c r="P212" s="78"/>
      <c r="Q212" s="78"/>
      <c r="R212" s="78"/>
      <c r="S212" s="79"/>
      <c r="T212" s="79"/>
      <c r="U212" s="79"/>
      <c r="V212" s="79"/>
      <c r="W212" s="79"/>
      <c r="X212" s="79"/>
      <c r="Y212" s="79"/>
      <c r="Z212" s="79"/>
      <c r="AA212" s="79"/>
    </row>
    <row r="213" spans="1:27" x14ac:dyDescent="0.2">
      <c r="A213" s="73"/>
      <c r="B213" s="74"/>
      <c r="C213" s="74"/>
      <c r="D213" s="74"/>
      <c r="E213" s="74"/>
      <c r="F213" s="74"/>
      <c r="G213" s="75"/>
      <c r="H213" s="75"/>
      <c r="I213" s="76"/>
      <c r="J213" s="77"/>
      <c r="K213" s="76"/>
      <c r="L213" s="76"/>
      <c r="M213" s="74"/>
      <c r="N213" s="74"/>
      <c r="O213" s="78"/>
      <c r="P213" s="78"/>
      <c r="Q213" s="78"/>
      <c r="R213" s="78"/>
      <c r="S213" s="79"/>
      <c r="T213" s="79"/>
      <c r="U213" s="79"/>
      <c r="V213" s="79"/>
      <c r="W213" s="79"/>
      <c r="X213" s="79"/>
      <c r="Y213" s="79"/>
      <c r="Z213" s="79"/>
      <c r="AA213" s="79"/>
    </row>
    <row r="214" spans="1:27" x14ac:dyDescent="0.2">
      <c r="A214" s="73"/>
      <c r="B214" s="74"/>
      <c r="C214" s="74"/>
      <c r="D214" s="74"/>
      <c r="E214" s="74"/>
      <c r="F214" s="74"/>
      <c r="G214" s="75"/>
      <c r="H214" s="75"/>
      <c r="I214" s="76"/>
      <c r="J214" s="77"/>
      <c r="K214" s="76"/>
      <c r="L214" s="76"/>
      <c r="M214" s="74"/>
      <c r="N214" s="74"/>
      <c r="O214" s="78"/>
      <c r="P214" s="78"/>
      <c r="Q214" s="78"/>
      <c r="R214" s="78"/>
      <c r="S214" s="79"/>
      <c r="T214" s="79"/>
      <c r="U214" s="79"/>
      <c r="V214" s="79"/>
      <c r="W214" s="79"/>
      <c r="X214" s="79"/>
      <c r="Y214" s="79"/>
      <c r="Z214" s="79"/>
      <c r="AA214" s="79"/>
    </row>
    <row r="215" spans="1:27" x14ac:dyDescent="0.2">
      <c r="A215" s="73"/>
      <c r="B215" s="74"/>
      <c r="C215" s="74"/>
      <c r="D215" s="74"/>
      <c r="E215" s="74"/>
      <c r="F215" s="74"/>
      <c r="G215" s="75"/>
      <c r="H215" s="75"/>
      <c r="I215" s="76"/>
      <c r="J215" s="77"/>
      <c r="K215" s="76"/>
      <c r="L215" s="76"/>
      <c r="M215" s="74"/>
      <c r="N215" s="74"/>
      <c r="O215" s="78"/>
      <c r="P215" s="78"/>
      <c r="Q215" s="78"/>
      <c r="R215" s="78"/>
      <c r="S215" s="79"/>
      <c r="T215" s="79"/>
      <c r="U215" s="79"/>
      <c r="V215" s="79"/>
      <c r="W215" s="79"/>
      <c r="X215" s="79"/>
      <c r="Y215" s="79"/>
      <c r="Z215" s="79"/>
      <c r="AA215" s="79"/>
    </row>
    <row r="216" spans="1:27" x14ac:dyDescent="0.2">
      <c r="A216" s="73"/>
      <c r="B216" s="74"/>
      <c r="C216" s="74"/>
      <c r="D216" s="74"/>
      <c r="E216" s="74"/>
      <c r="F216" s="74"/>
      <c r="G216" s="75"/>
      <c r="H216" s="75"/>
      <c r="I216" s="76"/>
      <c r="J216" s="77"/>
      <c r="K216" s="76"/>
      <c r="L216" s="76"/>
      <c r="M216" s="74"/>
      <c r="N216" s="74"/>
      <c r="O216" s="78"/>
      <c r="P216" s="78"/>
      <c r="Q216" s="78"/>
      <c r="R216" s="78"/>
      <c r="S216" s="79"/>
      <c r="T216" s="79"/>
      <c r="U216" s="79"/>
      <c r="V216" s="79"/>
      <c r="W216" s="79"/>
      <c r="X216" s="79"/>
      <c r="Y216" s="79"/>
      <c r="Z216" s="79"/>
      <c r="AA216" s="79"/>
    </row>
    <row r="217" spans="1:27" x14ac:dyDescent="0.2">
      <c r="A217" s="73"/>
      <c r="B217" s="74"/>
      <c r="C217" s="74"/>
      <c r="D217" s="74"/>
      <c r="E217" s="74"/>
      <c r="F217" s="74"/>
      <c r="G217" s="75"/>
      <c r="H217" s="75"/>
      <c r="I217" s="76"/>
      <c r="J217" s="77"/>
      <c r="K217" s="76"/>
      <c r="L217" s="76"/>
      <c r="M217" s="74"/>
      <c r="N217" s="74"/>
      <c r="O217" s="78"/>
      <c r="P217" s="78"/>
      <c r="Q217" s="78"/>
      <c r="R217" s="78"/>
      <c r="S217" s="79"/>
      <c r="T217" s="79"/>
      <c r="U217" s="79"/>
      <c r="V217" s="79"/>
      <c r="W217" s="79"/>
      <c r="X217" s="79"/>
      <c r="Y217" s="79"/>
      <c r="Z217" s="79"/>
      <c r="AA217" s="79"/>
    </row>
    <row r="218" spans="1:27" x14ac:dyDescent="0.2">
      <c r="A218" s="73"/>
      <c r="B218" s="74"/>
      <c r="C218" s="74"/>
      <c r="D218" s="74"/>
      <c r="E218" s="74"/>
      <c r="F218" s="74"/>
      <c r="G218" s="75"/>
      <c r="H218" s="75"/>
      <c r="I218" s="76"/>
      <c r="J218" s="77"/>
      <c r="K218" s="76"/>
      <c r="L218" s="76"/>
      <c r="M218" s="74"/>
      <c r="N218" s="74"/>
      <c r="O218" s="78"/>
      <c r="P218" s="78"/>
      <c r="Q218" s="78"/>
      <c r="R218" s="78"/>
      <c r="S218" s="79"/>
      <c r="T218" s="79"/>
      <c r="U218" s="79"/>
      <c r="V218" s="79"/>
      <c r="W218" s="79"/>
      <c r="X218" s="79"/>
      <c r="Y218" s="79"/>
      <c r="Z218" s="79"/>
      <c r="AA218" s="79"/>
    </row>
    <row r="219" spans="1:27" x14ac:dyDescent="0.2">
      <c r="A219" s="73"/>
      <c r="B219" s="74"/>
      <c r="C219" s="74"/>
      <c r="D219" s="74"/>
      <c r="E219" s="74"/>
      <c r="F219" s="74"/>
      <c r="G219" s="75"/>
      <c r="H219" s="75"/>
      <c r="I219" s="76"/>
      <c r="J219" s="77"/>
      <c r="K219" s="76"/>
      <c r="L219" s="76"/>
      <c r="M219" s="74"/>
      <c r="N219" s="74"/>
      <c r="O219" s="78"/>
      <c r="P219" s="78"/>
      <c r="Q219" s="78"/>
      <c r="R219" s="78"/>
      <c r="S219" s="79"/>
      <c r="T219" s="79"/>
      <c r="U219" s="79"/>
      <c r="V219" s="79"/>
      <c r="W219" s="79"/>
      <c r="X219" s="79"/>
      <c r="Y219" s="79"/>
      <c r="Z219" s="79"/>
      <c r="AA219" s="79"/>
    </row>
    <row r="220" spans="1:27" x14ac:dyDescent="0.2">
      <c r="A220" s="73"/>
      <c r="B220" s="74"/>
      <c r="C220" s="74"/>
      <c r="D220" s="74"/>
      <c r="E220" s="74"/>
      <c r="F220" s="74"/>
      <c r="G220" s="75"/>
      <c r="H220" s="75"/>
      <c r="I220" s="76"/>
      <c r="J220" s="77"/>
      <c r="K220" s="76"/>
      <c r="L220" s="76"/>
      <c r="M220" s="74"/>
      <c r="N220" s="74"/>
      <c r="O220" s="78"/>
      <c r="P220" s="78"/>
      <c r="Q220" s="78"/>
      <c r="R220" s="78"/>
      <c r="S220" s="79"/>
      <c r="T220" s="79"/>
      <c r="U220" s="79"/>
      <c r="V220" s="79"/>
      <c r="W220" s="79"/>
      <c r="X220" s="79"/>
      <c r="Y220" s="79"/>
      <c r="Z220" s="79"/>
      <c r="AA220" s="79"/>
    </row>
    <row r="221" spans="1:27" x14ac:dyDescent="0.2">
      <c r="A221" s="73"/>
      <c r="B221" s="74"/>
      <c r="C221" s="74"/>
      <c r="D221" s="74"/>
      <c r="E221" s="74"/>
      <c r="F221" s="74"/>
      <c r="G221" s="75"/>
      <c r="H221" s="75"/>
      <c r="I221" s="76"/>
      <c r="J221" s="77"/>
      <c r="K221" s="76"/>
      <c r="L221" s="76"/>
      <c r="M221" s="74"/>
      <c r="N221" s="74"/>
      <c r="O221" s="78"/>
      <c r="P221" s="78"/>
      <c r="Q221" s="78"/>
      <c r="R221" s="78"/>
      <c r="S221" s="79"/>
      <c r="T221" s="79"/>
      <c r="U221" s="79"/>
      <c r="V221" s="79"/>
      <c r="W221" s="79"/>
      <c r="X221" s="79"/>
      <c r="Y221" s="79"/>
      <c r="Z221" s="79"/>
      <c r="AA221" s="79"/>
    </row>
    <row r="222" spans="1:27" x14ac:dyDescent="0.2">
      <c r="A222" s="73"/>
      <c r="B222" s="74"/>
      <c r="C222" s="74"/>
      <c r="D222" s="74"/>
      <c r="E222" s="74"/>
      <c r="F222" s="74"/>
      <c r="G222" s="75"/>
      <c r="H222" s="75"/>
      <c r="I222" s="76"/>
      <c r="J222" s="77"/>
      <c r="K222" s="76"/>
      <c r="L222" s="76"/>
      <c r="M222" s="74"/>
      <c r="N222" s="74"/>
      <c r="O222" s="78"/>
      <c r="P222" s="78"/>
      <c r="Q222" s="78"/>
      <c r="R222" s="78"/>
      <c r="S222" s="79"/>
      <c r="T222" s="79"/>
      <c r="U222" s="79"/>
      <c r="V222" s="79"/>
      <c r="W222" s="79"/>
      <c r="X222" s="79"/>
      <c r="Y222" s="79"/>
      <c r="Z222" s="79"/>
      <c r="AA222" s="79"/>
    </row>
    <row r="223" spans="1:27" x14ac:dyDescent="0.2">
      <c r="A223" s="73"/>
      <c r="B223" s="74"/>
      <c r="C223" s="74"/>
      <c r="D223" s="74"/>
      <c r="E223" s="74"/>
      <c r="F223" s="74"/>
      <c r="G223" s="75"/>
      <c r="H223" s="75"/>
      <c r="I223" s="76"/>
      <c r="J223" s="77"/>
      <c r="K223" s="76"/>
      <c r="L223" s="76"/>
      <c r="M223" s="74"/>
      <c r="N223" s="74"/>
      <c r="O223" s="78"/>
      <c r="P223" s="78"/>
      <c r="Q223" s="78"/>
      <c r="R223" s="78"/>
      <c r="S223" s="79"/>
      <c r="T223" s="79"/>
      <c r="U223" s="79"/>
      <c r="V223" s="79"/>
      <c r="W223" s="79"/>
      <c r="X223" s="79"/>
      <c r="Y223" s="79"/>
      <c r="Z223" s="79"/>
      <c r="AA223" s="79"/>
    </row>
    <row r="224" spans="1:27" x14ac:dyDescent="0.2">
      <c r="A224" s="73"/>
      <c r="B224" s="74"/>
      <c r="C224" s="74"/>
      <c r="D224" s="74"/>
      <c r="E224" s="74"/>
      <c r="F224" s="74"/>
      <c r="G224" s="75"/>
      <c r="H224" s="75"/>
      <c r="I224" s="76"/>
      <c r="J224" s="77"/>
      <c r="K224" s="76"/>
      <c r="L224" s="76"/>
      <c r="M224" s="74"/>
      <c r="N224" s="74"/>
      <c r="O224" s="78"/>
      <c r="P224" s="78"/>
      <c r="Q224" s="78"/>
      <c r="R224" s="78"/>
      <c r="S224" s="79"/>
      <c r="T224" s="79"/>
      <c r="U224" s="79"/>
      <c r="V224" s="79"/>
      <c r="W224" s="79"/>
      <c r="X224" s="79"/>
      <c r="Y224" s="79"/>
      <c r="Z224" s="79"/>
      <c r="AA224" s="79"/>
    </row>
    <row r="225" spans="1:27" x14ac:dyDescent="0.2">
      <c r="A225" s="73"/>
      <c r="B225" s="74"/>
      <c r="C225" s="74"/>
      <c r="D225" s="74"/>
      <c r="E225" s="74"/>
      <c r="F225" s="74"/>
      <c r="G225" s="75"/>
      <c r="H225" s="75"/>
      <c r="I225" s="76"/>
      <c r="J225" s="77"/>
      <c r="K225" s="76"/>
      <c r="L225" s="76"/>
      <c r="M225" s="74"/>
      <c r="N225" s="74"/>
      <c r="O225" s="78"/>
      <c r="P225" s="78"/>
      <c r="Q225" s="78"/>
      <c r="R225" s="78"/>
      <c r="S225" s="79"/>
      <c r="T225" s="79"/>
      <c r="U225" s="79"/>
      <c r="V225" s="79"/>
      <c r="W225" s="79"/>
      <c r="X225" s="79"/>
      <c r="Y225" s="79"/>
      <c r="Z225" s="79"/>
      <c r="AA225" s="79"/>
    </row>
    <row r="226" spans="1:27" x14ac:dyDescent="0.2">
      <c r="A226" s="73"/>
      <c r="B226" s="74"/>
      <c r="C226" s="74"/>
      <c r="D226" s="74"/>
      <c r="E226" s="74"/>
      <c r="F226" s="74"/>
      <c r="G226" s="75"/>
      <c r="H226" s="75"/>
      <c r="I226" s="76"/>
      <c r="J226" s="77"/>
      <c r="K226" s="76"/>
      <c r="L226" s="76"/>
      <c r="M226" s="74"/>
      <c r="N226" s="74"/>
      <c r="O226" s="78"/>
      <c r="P226" s="78"/>
      <c r="Q226" s="78"/>
      <c r="R226" s="78"/>
      <c r="S226" s="79"/>
      <c r="T226" s="79"/>
      <c r="U226" s="79"/>
      <c r="V226" s="79"/>
      <c r="W226" s="79"/>
      <c r="X226" s="79"/>
      <c r="Y226" s="79"/>
      <c r="Z226" s="79"/>
      <c r="AA226" s="79"/>
    </row>
    <row r="227" spans="1:27" x14ac:dyDescent="0.2">
      <c r="A227" s="73"/>
      <c r="B227" s="74"/>
      <c r="C227" s="74"/>
      <c r="D227" s="74"/>
      <c r="E227" s="74"/>
      <c r="F227" s="74"/>
      <c r="G227" s="75"/>
      <c r="H227" s="75"/>
      <c r="I227" s="76"/>
      <c r="J227" s="77"/>
      <c r="K227" s="76"/>
      <c r="L227" s="76"/>
      <c r="M227" s="74"/>
      <c r="N227" s="74"/>
      <c r="O227" s="78"/>
      <c r="P227" s="78"/>
      <c r="Q227" s="78"/>
      <c r="R227" s="78"/>
      <c r="S227" s="79"/>
      <c r="T227" s="79"/>
      <c r="U227" s="79"/>
      <c r="V227" s="79"/>
      <c r="W227" s="79"/>
      <c r="X227" s="79"/>
      <c r="Y227" s="79"/>
      <c r="Z227" s="79"/>
      <c r="AA227" s="79"/>
    </row>
    <row r="228" spans="1:27" x14ac:dyDescent="0.2">
      <c r="A228" s="73"/>
      <c r="B228" s="74"/>
      <c r="C228" s="74"/>
      <c r="D228" s="74"/>
      <c r="E228" s="74"/>
      <c r="F228" s="74"/>
      <c r="G228" s="75"/>
      <c r="H228" s="75"/>
      <c r="I228" s="76"/>
      <c r="J228" s="77"/>
      <c r="K228" s="76"/>
      <c r="L228" s="76"/>
      <c r="M228" s="74"/>
      <c r="N228" s="74"/>
      <c r="O228" s="78"/>
      <c r="P228" s="78"/>
      <c r="Q228" s="78"/>
      <c r="R228" s="78"/>
      <c r="S228" s="79"/>
      <c r="T228" s="79"/>
      <c r="U228" s="79"/>
      <c r="V228" s="79"/>
      <c r="W228" s="79"/>
      <c r="X228" s="79"/>
      <c r="Y228" s="79"/>
      <c r="Z228" s="79"/>
      <c r="AA228" s="79"/>
    </row>
    <row r="229" spans="1:27" x14ac:dyDescent="0.2">
      <c r="A229" s="73"/>
      <c r="B229" s="74"/>
      <c r="C229" s="74"/>
      <c r="D229" s="74"/>
      <c r="E229" s="74"/>
      <c r="F229" s="74"/>
      <c r="G229" s="75"/>
      <c r="H229" s="75"/>
      <c r="I229" s="76"/>
      <c r="J229" s="77"/>
      <c r="K229" s="76"/>
      <c r="L229" s="76"/>
      <c r="M229" s="74"/>
      <c r="N229" s="74"/>
      <c r="O229" s="78"/>
      <c r="P229" s="78"/>
      <c r="Q229" s="78"/>
      <c r="R229" s="78"/>
      <c r="S229" s="79"/>
      <c r="T229" s="79"/>
      <c r="U229" s="79"/>
      <c r="V229" s="79"/>
      <c r="W229" s="79"/>
      <c r="X229" s="79"/>
      <c r="Y229" s="79"/>
      <c r="Z229" s="79"/>
      <c r="AA229" s="79"/>
    </row>
    <row r="230" spans="1:27" x14ac:dyDescent="0.2">
      <c r="A230" s="73"/>
      <c r="B230" s="74"/>
      <c r="C230" s="74"/>
      <c r="D230" s="74"/>
      <c r="E230" s="74"/>
      <c r="F230" s="74"/>
      <c r="G230" s="75"/>
      <c r="H230" s="75"/>
      <c r="I230" s="76"/>
      <c r="J230" s="77"/>
      <c r="K230" s="76"/>
      <c r="L230" s="76"/>
      <c r="M230" s="74"/>
      <c r="N230" s="74"/>
      <c r="O230" s="78"/>
      <c r="P230" s="78"/>
      <c r="Q230" s="78"/>
      <c r="R230" s="78"/>
      <c r="S230" s="79"/>
      <c r="T230" s="79"/>
      <c r="U230" s="79"/>
      <c r="V230" s="79"/>
      <c r="W230" s="79"/>
      <c r="X230" s="79"/>
      <c r="Y230" s="79"/>
      <c r="Z230" s="79"/>
      <c r="AA230" s="79"/>
    </row>
    <row r="231" spans="1:27" x14ac:dyDescent="0.2">
      <c r="A231" s="73"/>
      <c r="B231" s="74"/>
      <c r="C231" s="74"/>
      <c r="D231" s="74"/>
      <c r="E231" s="74"/>
      <c r="F231" s="74"/>
      <c r="G231" s="75"/>
      <c r="H231" s="75"/>
      <c r="I231" s="76"/>
      <c r="J231" s="77"/>
      <c r="K231" s="76"/>
      <c r="L231" s="76"/>
      <c r="M231" s="74"/>
      <c r="N231" s="74"/>
      <c r="O231" s="78"/>
      <c r="P231" s="78"/>
      <c r="Q231" s="78"/>
      <c r="R231" s="78"/>
      <c r="S231" s="79"/>
      <c r="T231" s="79"/>
      <c r="U231" s="79"/>
      <c r="V231" s="79"/>
      <c r="W231" s="79"/>
      <c r="X231" s="79"/>
      <c r="Y231" s="79"/>
      <c r="Z231" s="79"/>
      <c r="AA231" s="79"/>
    </row>
    <row r="232" spans="1:27" x14ac:dyDescent="0.2">
      <c r="A232" s="73"/>
      <c r="B232" s="74"/>
      <c r="C232" s="74"/>
      <c r="D232" s="74"/>
      <c r="E232" s="74"/>
      <c r="F232" s="74"/>
      <c r="G232" s="75"/>
      <c r="H232" s="75"/>
      <c r="I232" s="76"/>
      <c r="J232" s="77"/>
      <c r="K232" s="76"/>
      <c r="L232" s="76"/>
      <c r="M232" s="74"/>
      <c r="N232" s="74"/>
      <c r="O232" s="78"/>
      <c r="P232" s="78"/>
      <c r="Q232" s="78"/>
      <c r="R232" s="78"/>
      <c r="S232" s="79"/>
      <c r="T232" s="79"/>
      <c r="U232" s="79"/>
      <c r="V232" s="79"/>
      <c r="W232" s="79"/>
      <c r="X232" s="79"/>
      <c r="Y232" s="79"/>
      <c r="Z232" s="79"/>
      <c r="AA232" s="79"/>
    </row>
    <row r="233" spans="1:27" x14ac:dyDescent="0.2">
      <c r="A233" s="73"/>
      <c r="B233" s="74"/>
      <c r="C233" s="74"/>
      <c r="D233" s="74"/>
      <c r="E233" s="74"/>
      <c r="F233" s="74"/>
      <c r="G233" s="75"/>
      <c r="H233" s="75"/>
      <c r="I233" s="76"/>
      <c r="J233" s="77"/>
      <c r="K233" s="76"/>
      <c r="L233" s="76"/>
      <c r="M233" s="74"/>
      <c r="N233" s="74"/>
      <c r="O233" s="78"/>
      <c r="P233" s="78"/>
      <c r="Q233" s="78"/>
      <c r="R233" s="78"/>
      <c r="S233" s="79"/>
      <c r="T233" s="79"/>
      <c r="U233" s="79"/>
      <c r="V233" s="79"/>
      <c r="W233" s="79"/>
      <c r="X233" s="79"/>
      <c r="Y233" s="79"/>
      <c r="Z233" s="79"/>
      <c r="AA233" s="79"/>
    </row>
    <row r="234" spans="1:27" x14ac:dyDescent="0.2">
      <c r="A234" s="73"/>
      <c r="B234" s="74"/>
      <c r="C234" s="74"/>
      <c r="D234" s="74"/>
      <c r="E234" s="74"/>
      <c r="F234" s="74"/>
      <c r="G234" s="75"/>
      <c r="H234" s="75"/>
      <c r="I234" s="76"/>
      <c r="J234" s="77"/>
      <c r="K234" s="76"/>
      <c r="L234" s="76"/>
      <c r="M234" s="74"/>
      <c r="N234" s="74"/>
      <c r="O234" s="78"/>
      <c r="P234" s="78"/>
      <c r="Q234" s="78"/>
      <c r="R234" s="78"/>
      <c r="S234" s="79"/>
      <c r="T234" s="79"/>
      <c r="U234" s="79"/>
      <c r="V234" s="79"/>
      <c r="W234" s="79"/>
      <c r="X234" s="79"/>
      <c r="Y234" s="79"/>
      <c r="Z234" s="79"/>
      <c r="AA234" s="79"/>
    </row>
    <row r="235" spans="1:27" x14ac:dyDescent="0.2">
      <c r="A235" s="73"/>
      <c r="B235" s="74"/>
      <c r="C235" s="74"/>
      <c r="D235" s="74"/>
      <c r="E235" s="74"/>
      <c r="F235" s="74"/>
      <c r="G235" s="75"/>
      <c r="H235" s="75"/>
      <c r="I235" s="76"/>
      <c r="J235" s="77"/>
      <c r="K235" s="76"/>
      <c r="L235" s="76"/>
      <c r="M235" s="74"/>
      <c r="N235" s="74"/>
      <c r="O235" s="78"/>
      <c r="P235" s="78"/>
      <c r="Q235" s="78"/>
      <c r="R235" s="78"/>
      <c r="S235" s="79"/>
      <c r="T235" s="79"/>
      <c r="U235" s="79"/>
      <c r="V235" s="79"/>
      <c r="W235" s="79"/>
      <c r="X235" s="79"/>
      <c r="Y235" s="79"/>
      <c r="Z235" s="79"/>
      <c r="AA235" s="79"/>
    </row>
    <row r="236" spans="1:27" x14ac:dyDescent="0.2">
      <c r="A236" s="73"/>
      <c r="B236" s="74"/>
      <c r="C236" s="74"/>
      <c r="D236" s="74"/>
      <c r="E236" s="74"/>
      <c r="F236" s="74"/>
      <c r="G236" s="75"/>
      <c r="H236" s="75"/>
      <c r="I236" s="76"/>
      <c r="J236" s="77"/>
      <c r="K236" s="76"/>
      <c r="L236" s="76"/>
      <c r="M236" s="74"/>
      <c r="N236" s="74"/>
      <c r="O236" s="78"/>
      <c r="P236" s="78"/>
      <c r="Q236" s="78"/>
      <c r="R236" s="78"/>
      <c r="S236" s="79"/>
      <c r="T236" s="79"/>
      <c r="U236" s="79"/>
      <c r="V236" s="79"/>
      <c r="W236" s="79"/>
      <c r="X236" s="79"/>
      <c r="Y236" s="79"/>
      <c r="Z236" s="79"/>
      <c r="AA236" s="79"/>
    </row>
    <row r="237" spans="1:27" x14ac:dyDescent="0.2">
      <c r="A237" s="73"/>
      <c r="B237" s="74"/>
      <c r="C237" s="74"/>
      <c r="D237" s="74"/>
      <c r="E237" s="74"/>
      <c r="F237" s="74"/>
      <c r="G237" s="75"/>
      <c r="H237" s="75"/>
      <c r="I237" s="76"/>
      <c r="J237" s="77"/>
      <c r="K237" s="76"/>
      <c r="L237" s="76"/>
      <c r="M237" s="74"/>
      <c r="N237" s="74"/>
      <c r="O237" s="78"/>
      <c r="P237" s="78"/>
      <c r="Q237" s="78"/>
      <c r="R237" s="78"/>
      <c r="S237" s="79"/>
      <c r="T237" s="79"/>
      <c r="U237" s="79"/>
      <c r="V237" s="79"/>
      <c r="W237" s="79"/>
      <c r="X237" s="79"/>
      <c r="Y237" s="79"/>
      <c r="Z237" s="79"/>
      <c r="AA237" s="79"/>
    </row>
    <row r="238" spans="1:27" x14ac:dyDescent="0.2">
      <c r="A238" s="73"/>
      <c r="B238" s="74"/>
      <c r="C238" s="74"/>
      <c r="D238" s="74"/>
      <c r="E238" s="74"/>
      <c r="F238" s="74"/>
      <c r="G238" s="75"/>
      <c r="H238" s="75"/>
      <c r="I238" s="76"/>
      <c r="J238" s="77"/>
      <c r="K238" s="76"/>
      <c r="L238" s="76"/>
      <c r="M238" s="74"/>
      <c r="N238" s="74"/>
      <c r="O238" s="78"/>
      <c r="P238" s="78"/>
      <c r="Q238" s="78"/>
      <c r="R238" s="78"/>
      <c r="S238" s="79"/>
      <c r="T238" s="79"/>
      <c r="U238" s="79"/>
      <c r="V238" s="79"/>
      <c r="W238" s="79"/>
      <c r="X238" s="79"/>
      <c r="Y238" s="79"/>
      <c r="Z238" s="79"/>
      <c r="AA238" s="79"/>
    </row>
    <row r="239" spans="1:27" x14ac:dyDescent="0.2">
      <c r="A239" s="73"/>
      <c r="B239" s="74"/>
      <c r="C239" s="74"/>
      <c r="D239" s="74"/>
      <c r="E239" s="74"/>
      <c r="F239" s="74"/>
      <c r="G239" s="75"/>
      <c r="H239" s="75"/>
      <c r="I239" s="76"/>
      <c r="J239" s="77"/>
      <c r="K239" s="76"/>
      <c r="L239" s="76"/>
      <c r="M239" s="74"/>
      <c r="N239" s="74"/>
      <c r="O239" s="78"/>
      <c r="P239" s="78"/>
      <c r="Q239" s="78"/>
      <c r="R239" s="78"/>
      <c r="S239" s="79"/>
      <c r="T239" s="79"/>
      <c r="U239" s="79"/>
      <c r="V239" s="79"/>
      <c r="W239" s="79"/>
      <c r="X239" s="79"/>
      <c r="Y239" s="79"/>
      <c r="Z239" s="79"/>
      <c r="AA239" s="79"/>
    </row>
    <row r="240" spans="1:27" x14ac:dyDescent="0.2">
      <c r="A240" s="73"/>
      <c r="B240" s="74"/>
      <c r="C240" s="74"/>
      <c r="D240" s="74"/>
      <c r="E240" s="74"/>
      <c r="F240" s="74"/>
      <c r="G240" s="75"/>
      <c r="H240" s="75"/>
      <c r="I240" s="76"/>
      <c r="J240" s="77"/>
      <c r="K240" s="76"/>
      <c r="L240" s="76"/>
      <c r="M240" s="74"/>
      <c r="N240" s="74"/>
      <c r="O240" s="78"/>
      <c r="P240" s="78"/>
      <c r="Q240" s="78"/>
      <c r="R240" s="78"/>
      <c r="S240" s="79"/>
      <c r="T240" s="79"/>
      <c r="U240" s="79"/>
      <c r="V240" s="79"/>
      <c r="W240" s="79"/>
      <c r="X240" s="79"/>
      <c r="Y240" s="79"/>
      <c r="Z240" s="79"/>
      <c r="AA240" s="79"/>
    </row>
    <row r="241" spans="1:27" x14ac:dyDescent="0.2">
      <c r="A241" s="73"/>
      <c r="B241" s="74"/>
      <c r="C241" s="74"/>
      <c r="D241" s="74"/>
      <c r="E241" s="74"/>
      <c r="F241" s="74"/>
      <c r="G241" s="75"/>
      <c r="H241" s="75"/>
      <c r="I241" s="76"/>
      <c r="J241" s="77"/>
      <c r="K241" s="76"/>
      <c r="L241" s="76"/>
      <c r="M241" s="74"/>
      <c r="N241" s="74"/>
      <c r="O241" s="78"/>
      <c r="P241" s="78"/>
      <c r="Q241" s="78"/>
      <c r="R241" s="78"/>
      <c r="S241" s="79"/>
      <c r="T241" s="79"/>
      <c r="U241" s="79"/>
      <c r="V241" s="79"/>
      <c r="W241" s="79"/>
      <c r="X241" s="79"/>
      <c r="Y241" s="79"/>
      <c r="Z241" s="79"/>
      <c r="AA241" s="79"/>
    </row>
    <row r="242" spans="1:27" x14ac:dyDescent="0.2">
      <c r="A242" s="73"/>
      <c r="B242" s="74"/>
      <c r="C242" s="74"/>
      <c r="D242" s="74"/>
      <c r="E242" s="74"/>
      <c r="F242" s="74"/>
      <c r="G242" s="75"/>
      <c r="H242" s="75"/>
      <c r="I242" s="76"/>
      <c r="J242" s="77"/>
      <c r="K242" s="76"/>
      <c r="L242" s="76"/>
      <c r="M242" s="74"/>
      <c r="N242" s="74"/>
      <c r="O242" s="78"/>
      <c r="P242" s="78"/>
      <c r="Q242" s="78"/>
      <c r="R242" s="78"/>
      <c r="S242" s="79"/>
      <c r="T242" s="79"/>
      <c r="U242" s="79"/>
      <c r="V242" s="79"/>
      <c r="W242" s="79"/>
      <c r="X242" s="79"/>
      <c r="Y242" s="79"/>
      <c r="Z242" s="79"/>
      <c r="AA242" s="79"/>
    </row>
    <row r="243" spans="1:27" x14ac:dyDescent="0.2">
      <c r="A243" s="73"/>
      <c r="B243" s="74"/>
      <c r="C243" s="74"/>
      <c r="D243" s="74"/>
      <c r="E243" s="74"/>
      <c r="F243" s="74"/>
      <c r="G243" s="75"/>
      <c r="H243" s="75"/>
      <c r="I243" s="76"/>
      <c r="J243" s="77"/>
      <c r="K243" s="76"/>
      <c r="L243" s="76"/>
      <c r="M243" s="74"/>
      <c r="N243" s="74"/>
      <c r="O243" s="78"/>
      <c r="P243" s="78"/>
      <c r="Q243" s="78"/>
      <c r="R243" s="78"/>
      <c r="S243" s="79"/>
      <c r="T243" s="79"/>
      <c r="U243" s="79"/>
      <c r="V243" s="79"/>
      <c r="W243" s="79"/>
      <c r="X243" s="79"/>
      <c r="Y243" s="79"/>
      <c r="Z243" s="79"/>
      <c r="AA243" s="79"/>
    </row>
    <row r="244" spans="1:27" x14ac:dyDescent="0.2">
      <c r="A244" s="73"/>
      <c r="B244" s="74"/>
      <c r="C244" s="74"/>
      <c r="D244" s="74"/>
      <c r="E244" s="74"/>
      <c r="F244" s="74"/>
      <c r="G244" s="75"/>
      <c r="H244" s="75"/>
      <c r="I244" s="76"/>
      <c r="J244" s="77"/>
      <c r="K244" s="76"/>
      <c r="L244" s="76"/>
      <c r="M244" s="74"/>
      <c r="N244" s="74"/>
      <c r="O244" s="78"/>
      <c r="P244" s="78"/>
      <c r="Q244" s="78"/>
      <c r="R244" s="78"/>
      <c r="S244" s="79"/>
      <c r="T244" s="79"/>
      <c r="U244" s="79"/>
      <c r="V244" s="79"/>
      <c r="W244" s="79"/>
      <c r="X244" s="79"/>
      <c r="Y244" s="79"/>
      <c r="Z244" s="79"/>
      <c r="AA244" s="79"/>
    </row>
    <row r="245" spans="1:27" x14ac:dyDescent="0.2">
      <c r="A245" s="73"/>
      <c r="B245" s="74"/>
      <c r="C245" s="74"/>
      <c r="D245" s="74"/>
      <c r="E245" s="74"/>
      <c r="F245" s="74"/>
      <c r="G245" s="75"/>
      <c r="H245" s="75"/>
      <c r="I245" s="76"/>
      <c r="J245" s="77"/>
      <c r="K245" s="76"/>
      <c r="L245" s="76"/>
      <c r="M245" s="74"/>
      <c r="N245" s="74"/>
      <c r="O245" s="78"/>
      <c r="P245" s="78"/>
      <c r="Q245" s="78"/>
      <c r="R245" s="78"/>
      <c r="S245" s="79"/>
      <c r="T245" s="79"/>
      <c r="U245" s="79"/>
      <c r="V245" s="79"/>
      <c r="W245" s="79"/>
      <c r="X245" s="79"/>
      <c r="Y245" s="79"/>
      <c r="Z245" s="79"/>
      <c r="AA245" s="79"/>
    </row>
    <row r="246" spans="1:27" x14ac:dyDescent="0.2">
      <c r="A246" s="73"/>
      <c r="B246" s="74"/>
      <c r="C246" s="74"/>
      <c r="D246" s="74"/>
      <c r="E246" s="74"/>
      <c r="F246" s="74"/>
      <c r="G246" s="75"/>
      <c r="H246" s="75"/>
      <c r="I246" s="76"/>
      <c r="J246" s="77"/>
      <c r="K246" s="76"/>
      <c r="L246" s="76"/>
      <c r="M246" s="74"/>
      <c r="N246" s="74"/>
      <c r="O246" s="78"/>
      <c r="P246" s="78"/>
      <c r="Q246" s="78"/>
      <c r="R246" s="78"/>
      <c r="S246" s="79"/>
      <c r="T246" s="79"/>
      <c r="U246" s="79"/>
      <c r="V246" s="79"/>
      <c r="W246" s="79"/>
      <c r="X246" s="79"/>
      <c r="Y246" s="79"/>
      <c r="Z246" s="79"/>
      <c r="AA246" s="79"/>
    </row>
    <row r="247" spans="1:27" x14ac:dyDescent="0.2">
      <c r="A247" s="73"/>
      <c r="B247" s="74"/>
      <c r="C247" s="74"/>
      <c r="D247" s="74"/>
      <c r="E247" s="74"/>
      <c r="F247" s="74"/>
      <c r="G247" s="75"/>
      <c r="H247" s="75"/>
      <c r="I247" s="76"/>
      <c r="J247" s="77"/>
      <c r="K247" s="76"/>
      <c r="L247" s="76"/>
      <c r="M247" s="74"/>
      <c r="N247" s="74"/>
      <c r="O247" s="78"/>
      <c r="P247" s="78"/>
      <c r="Q247" s="78"/>
      <c r="R247" s="78"/>
      <c r="S247" s="79"/>
      <c r="T247" s="79"/>
      <c r="U247" s="79"/>
      <c r="V247" s="79"/>
      <c r="W247" s="79"/>
      <c r="X247" s="79"/>
      <c r="Y247" s="79"/>
      <c r="Z247" s="79"/>
      <c r="AA247" s="79"/>
    </row>
    <row r="248" spans="1:27" x14ac:dyDescent="0.2">
      <c r="A248" s="73"/>
      <c r="B248" s="74"/>
      <c r="C248" s="74"/>
      <c r="D248" s="74"/>
      <c r="E248" s="74"/>
      <c r="F248" s="74"/>
      <c r="G248" s="75"/>
      <c r="H248" s="75"/>
      <c r="I248" s="76"/>
      <c r="J248" s="77"/>
      <c r="K248" s="76"/>
      <c r="L248" s="76"/>
      <c r="M248" s="74"/>
      <c r="N248" s="74"/>
      <c r="O248" s="78"/>
      <c r="P248" s="78"/>
      <c r="Q248" s="78"/>
      <c r="R248" s="78"/>
      <c r="S248" s="79"/>
      <c r="T248" s="79"/>
      <c r="U248" s="79"/>
      <c r="V248" s="79"/>
      <c r="W248" s="79"/>
      <c r="X248" s="79"/>
      <c r="Y248" s="79"/>
      <c r="Z248" s="79"/>
      <c r="AA248" s="79"/>
    </row>
    <row r="249" spans="1:27" x14ac:dyDescent="0.2">
      <c r="A249" s="73"/>
      <c r="B249" s="74"/>
      <c r="C249" s="74"/>
      <c r="D249" s="74"/>
      <c r="E249" s="74"/>
      <c r="F249" s="74"/>
      <c r="G249" s="75"/>
      <c r="H249" s="75"/>
      <c r="I249" s="76"/>
      <c r="J249" s="77"/>
      <c r="K249" s="76"/>
      <c r="L249" s="76"/>
      <c r="M249" s="74"/>
      <c r="N249" s="74"/>
      <c r="O249" s="78"/>
      <c r="P249" s="78"/>
      <c r="Q249" s="78"/>
      <c r="R249" s="78"/>
      <c r="S249" s="79"/>
      <c r="T249" s="79"/>
      <c r="U249" s="79"/>
      <c r="V249" s="79"/>
      <c r="W249" s="79"/>
      <c r="X249" s="79"/>
      <c r="Y249" s="79"/>
      <c r="Z249" s="79"/>
      <c r="AA249" s="79"/>
    </row>
    <row r="250" spans="1:27" x14ac:dyDescent="0.2">
      <c r="A250" s="73"/>
      <c r="B250" s="74"/>
      <c r="C250" s="74"/>
      <c r="D250" s="74"/>
      <c r="E250" s="74"/>
      <c r="F250" s="74"/>
      <c r="G250" s="75"/>
      <c r="H250" s="75"/>
      <c r="I250" s="76"/>
      <c r="J250" s="77"/>
      <c r="K250" s="76"/>
      <c r="L250" s="76"/>
      <c r="M250" s="74"/>
      <c r="N250" s="74"/>
      <c r="O250" s="78"/>
      <c r="P250" s="78"/>
      <c r="Q250" s="78"/>
      <c r="R250" s="78"/>
      <c r="S250" s="79"/>
      <c r="T250" s="79"/>
      <c r="U250" s="79"/>
      <c r="V250" s="79"/>
      <c r="W250" s="79"/>
      <c r="X250" s="79"/>
      <c r="Y250" s="79"/>
      <c r="Z250" s="79"/>
      <c r="AA250" s="79"/>
    </row>
    <row r="251" spans="1:27" x14ac:dyDescent="0.2">
      <c r="A251" s="73"/>
      <c r="B251" s="74"/>
      <c r="C251" s="74"/>
      <c r="D251" s="74"/>
      <c r="E251" s="74"/>
      <c r="F251" s="74"/>
      <c r="G251" s="75"/>
      <c r="H251" s="75"/>
      <c r="I251" s="76"/>
      <c r="J251" s="77"/>
      <c r="K251" s="76"/>
      <c r="L251" s="76"/>
      <c r="M251" s="74"/>
      <c r="N251" s="74"/>
      <c r="O251" s="78"/>
      <c r="P251" s="78"/>
      <c r="Q251" s="78"/>
      <c r="R251" s="78"/>
      <c r="S251" s="79"/>
      <c r="T251" s="79"/>
      <c r="U251" s="79"/>
      <c r="V251" s="79"/>
      <c r="W251" s="79"/>
      <c r="X251" s="79"/>
      <c r="Y251" s="79"/>
      <c r="Z251" s="79"/>
      <c r="AA251" s="79"/>
    </row>
    <row r="252" spans="1:27" x14ac:dyDescent="0.2">
      <c r="A252" s="73"/>
      <c r="B252" s="74"/>
      <c r="C252" s="74"/>
      <c r="D252" s="74"/>
      <c r="E252" s="74"/>
      <c r="F252" s="74"/>
      <c r="G252" s="75"/>
      <c r="H252" s="75"/>
      <c r="I252" s="76"/>
      <c r="J252" s="77"/>
      <c r="K252" s="76"/>
      <c r="L252" s="76"/>
      <c r="M252" s="74"/>
      <c r="N252" s="74"/>
      <c r="O252" s="78"/>
      <c r="P252" s="78"/>
      <c r="Q252" s="78"/>
      <c r="R252" s="78"/>
      <c r="S252" s="79"/>
      <c r="T252" s="79"/>
      <c r="U252" s="79"/>
      <c r="V252" s="79"/>
      <c r="W252" s="79"/>
      <c r="X252" s="79"/>
      <c r="Y252" s="79"/>
      <c r="Z252" s="79"/>
      <c r="AA252" s="79"/>
    </row>
    <row r="253" spans="1:27" x14ac:dyDescent="0.2">
      <c r="A253" s="73"/>
      <c r="B253" s="74"/>
      <c r="C253" s="74"/>
      <c r="D253" s="74"/>
      <c r="E253" s="74"/>
      <c r="F253" s="74"/>
      <c r="G253" s="75"/>
      <c r="H253" s="75"/>
      <c r="I253" s="76"/>
      <c r="J253" s="77"/>
      <c r="K253" s="76"/>
      <c r="L253" s="76"/>
      <c r="M253" s="74"/>
      <c r="N253" s="74"/>
      <c r="O253" s="78"/>
      <c r="P253" s="78"/>
      <c r="Q253" s="78"/>
      <c r="R253" s="78"/>
      <c r="S253" s="79"/>
      <c r="T253" s="79"/>
      <c r="U253" s="79"/>
      <c r="V253" s="79"/>
      <c r="W253" s="79"/>
      <c r="X253" s="79"/>
      <c r="Y253" s="79"/>
      <c r="Z253" s="79"/>
      <c r="AA253" s="79"/>
    </row>
    <row r="254" spans="1:27" x14ac:dyDescent="0.2">
      <c r="A254" s="73"/>
      <c r="B254" s="74"/>
      <c r="C254" s="74"/>
      <c r="D254" s="74"/>
      <c r="E254" s="74"/>
      <c r="F254" s="74"/>
      <c r="G254" s="75"/>
      <c r="H254" s="75"/>
      <c r="I254" s="76"/>
      <c r="J254" s="77"/>
      <c r="K254" s="76"/>
      <c r="L254" s="76"/>
      <c r="M254" s="74"/>
      <c r="N254" s="74"/>
      <c r="O254" s="78"/>
      <c r="P254" s="78"/>
      <c r="Q254" s="78"/>
      <c r="R254" s="78"/>
      <c r="S254" s="79"/>
      <c r="T254" s="79"/>
      <c r="U254" s="79"/>
      <c r="V254" s="79"/>
      <c r="W254" s="79"/>
      <c r="X254" s="79"/>
      <c r="Y254" s="79"/>
      <c r="Z254" s="79"/>
      <c r="AA254" s="79"/>
    </row>
    <row r="255" spans="1:27" x14ac:dyDescent="0.2">
      <c r="A255" s="73"/>
      <c r="B255" s="74"/>
      <c r="C255" s="74"/>
      <c r="D255" s="74"/>
      <c r="E255" s="74"/>
      <c r="F255" s="74"/>
      <c r="G255" s="75"/>
      <c r="H255" s="75"/>
      <c r="I255" s="76"/>
      <c r="J255" s="77"/>
      <c r="K255" s="76"/>
      <c r="L255" s="76"/>
      <c r="M255" s="74"/>
      <c r="N255" s="74"/>
      <c r="O255" s="78"/>
      <c r="P255" s="78"/>
      <c r="Q255" s="78"/>
      <c r="R255" s="78"/>
      <c r="S255" s="79"/>
      <c r="T255" s="79"/>
      <c r="U255" s="79"/>
      <c r="V255" s="79"/>
      <c r="W255" s="79"/>
      <c r="X255" s="79"/>
      <c r="Y255" s="79"/>
      <c r="Z255" s="79"/>
      <c r="AA255" s="79"/>
    </row>
    <row r="256" spans="1:27" x14ac:dyDescent="0.2">
      <c r="A256" s="73"/>
      <c r="B256" s="74"/>
      <c r="C256" s="74"/>
      <c r="D256" s="74"/>
      <c r="E256" s="74"/>
      <c r="F256" s="74"/>
      <c r="G256" s="75"/>
      <c r="H256" s="75"/>
      <c r="I256" s="76"/>
      <c r="J256" s="77"/>
      <c r="K256" s="76"/>
      <c r="L256" s="76"/>
      <c r="M256" s="74"/>
      <c r="N256" s="74"/>
      <c r="O256" s="78"/>
      <c r="P256" s="78"/>
      <c r="Q256" s="78"/>
      <c r="R256" s="78"/>
      <c r="S256" s="79"/>
      <c r="T256" s="79"/>
      <c r="U256" s="79"/>
      <c r="V256" s="79"/>
      <c r="W256" s="79"/>
      <c r="X256" s="79"/>
      <c r="Y256" s="79"/>
      <c r="Z256" s="79"/>
      <c r="AA256" s="79"/>
    </row>
    <row r="257" spans="1:27" x14ac:dyDescent="0.2">
      <c r="A257" s="73"/>
      <c r="B257" s="74"/>
      <c r="C257" s="74"/>
      <c r="D257" s="74"/>
      <c r="E257" s="74"/>
      <c r="F257" s="74"/>
      <c r="G257" s="75"/>
      <c r="H257" s="75"/>
      <c r="I257" s="76"/>
      <c r="J257" s="77"/>
      <c r="K257" s="76"/>
      <c r="L257" s="76"/>
      <c r="M257" s="74"/>
      <c r="N257" s="74"/>
      <c r="O257" s="78"/>
      <c r="P257" s="78"/>
      <c r="Q257" s="78"/>
      <c r="R257" s="78"/>
      <c r="S257" s="79"/>
      <c r="T257" s="79"/>
      <c r="U257" s="79"/>
      <c r="V257" s="79"/>
      <c r="W257" s="79"/>
      <c r="X257" s="79"/>
      <c r="Y257" s="79"/>
      <c r="Z257" s="79"/>
      <c r="AA257" s="79"/>
    </row>
    <row r="258" spans="1:27" x14ac:dyDescent="0.2">
      <c r="A258" s="73"/>
      <c r="B258" s="74"/>
      <c r="C258" s="74"/>
      <c r="D258" s="74"/>
      <c r="E258" s="74"/>
      <c r="F258" s="74"/>
      <c r="G258" s="75"/>
      <c r="H258" s="75"/>
      <c r="I258" s="76"/>
      <c r="J258" s="77"/>
      <c r="K258" s="76"/>
      <c r="L258" s="76"/>
      <c r="M258" s="74"/>
      <c r="N258" s="74"/>
      <c r="O258" s="78"/>
      <c r="P258" s="78"/>
      <c r="Q258" s="78"/>
      <c r="R258" s="78"/>
      <c r="S258" s="79"/>
      <c r="T258" s="79"/>
      <c r="U258" s="79"/>
      <c r="V258" s="79"/>
      <c r="W258" s="79"/>
      <c r="X258" s="79"/>
      <c r="Y258" s="79"/>
      <c r="Z258" s="79"/>
      <c r="AA258" s="79"/>
    </row>
    <row r="259" spans="1:27" x14ac:dyDescent="0.2">
      <c r="A259" s="73"/>
      <c r="B259" s="74"/>
      <c r="C259" s="74"/>
      <c r="D259" s="74"/>
      <c r="E259" s="74"/>
      <c r="F259" s="74"/>
      <c r="G259" s="75"/>
      <c r="H259" s="75"/>
      <c r="I259" s="76"/>
      <c r="J259" s="77"/>
      <c r="K259" s="76"/>
      <c r="L259" s="76"/>
      <c r="M259" s="74"/>
      <c r="N259" s="74"/>
      <c r="O259" s="78"/>
      <c r="P259" s="78"/>
      <c r="Q259" s="78"/>
      <c r="R259" s="78"/>
      <c r="S259" s="79"/>
      <c r="T259" s="79"/>
      <c r="U259" s="79"/>
      <c r="V259" s="79"/>
      <c r="W259" s="79"/>
      <c r="X259" s="79"/>
      <c r="Y259" s="79"/>
      <c r="Z259" s="79"/>
      <c r="AA259" s="79"/>
    </row>
    <row r="260" spans="1:27" x14ac:dyDescent="0.2">
      <c r="A260" s="73"/>
      <c r="B260" s="74"/>
      <c r="C260" s="74"/>
      <c r="D260" s="74"/>
      <c r="E260" s="74"/>
      <c r="F260" s="74"/>
      <c r="G260" s="75"/>
      <c r="H260" s="75"/>
      <c r="I260" s="76"/>
      <c r="J260" s="77"/>
      <c r="K260" s="76"/>
      <c r="L260" s="76"/>
      <c r="M260" s="74"/>
      <c r="N260" s="74"/>
      <c r="O260" s="78"/>
      <c r="P260" s="78"/>
      <c r="Q260" s="78"/>
      <c r="R260" s="78"/>
      <c r="S260" s="79"/>
      <c r="T260" s="79"/>
      <c r="U260" s="79"/>
      <c r="V260" s="79"/>
      <c r="W260" s="79"/>
      <c r="X260" s="79"/>
      <c r="Y260" s="79"/>
      <c r="Z260" s="79"/>
      <c r="AA260" s="79"/>
    </row>
    <row r="261" spans="1:27" x14ac:dyDescent="0.2">
      <c r="A261" s="73"/>
      <c r="B261" s="74"/>
      <c r="C261" s="74"/>
      <c r="D261" s="74"/>
      <c r="E261" s="74"/>
      <c r="F261" s="74"/>
      <c r="G261" s="75"/>
      <c r="H261" s="75"/>
      <c r="I261" s="76"/>
      <c r="J261" s="77"/>
      <c r="K261" s="76"/>
      <c r="L261" s="76"/>
      <c r="M261" s="74"/>
      <c r="N261" s="74"/>
      <c r="O261" s="78"/>
      <c r="P261" s="78"/>
      <c r="Q261" s="78"/>
      <c r="R261" s="78"/>
      <c r="S261" s="79"/>
      <c r="T261" s="79"/>
      <c r="U261" s="79"/>
      <c r="V261" s="79"/>
      <c r="W261" s="79"/>
      <c r="X261" s="79"/>
      <c r="Y261" s="79"/>
      <c r="Z261" s="79"/>
      <c r="AA261" s="79"/>
    </row>
    <row r="262" spans="1:27" x14ac:dyDescent="0.2">
      <c r="A262" s="73"/>
      <c r="B262" s="74"/>
      <c r="C262" s="74"/>
      <c r="D262" s="74"/>
      <c r="E262" s="74"/>
      <c r="F262" s="74"/>
      <c r="G262" s="75"/>
      <c r="H262" s="75"/>
      <c r="I262" s="76"/>
      <c r="J262" s="77"/>
      <c r="K262" s="76"/>
      <c r="L262" s="76"/>
      <c r="M262" s="74"/>
      <c r="N262" s="74"/>
      <c r="O262" s="78"/>
      <c r="P262" s="78"/>
      <c r="Q262" s="78"/>
      <c r="R262" s="78"/>
      <c r="S262" s="79"/>
      <c r="T262" s="79"/>
      <c r="U262" s="79"/>
      <c r="V262" s="79"/>
      <c r="W262" s="79"/>
      <c r="X262" s="79"/>
      <c r="Y262" s="79"/>
      <c r="Z262" s="79"/>
      <c r="AA262" s="79"/>
    </row>
    <row r="263" spans="1:27" x14ac:dyDescent="0.2">
      <c r="A263" s="73"/>
      <c r="B263" s="74"/>
      <c r="C263" s="74"/>
      <c r="D263" s="74"/>
      <c r="E263" s="74"/>
      <c r="F263" s="74"/>
      <c r="G263" s="75"/>
      <c r="H263" s="75"/>
      <c r="I263" s="76"/>
      <c r="J263" s="77"/>
      <c r="K263" s="76"/>
      <c r="L263" s="76"/>
      <c r="M263" s="74"/>
      <c r="N263" s="74"/>
      <c r="O263" s="78"/>
      <c r="P263" s="78"/>
      <c r="Q263" s="78"/>
      <c r="R263" s="78"/>
      <c r="S263" s="79"/>
      <c r="T263" s="79"/>
      <c r="U263" s="79"/>
      <c r="V263" s="79"/>
      <c r="W263" s="79"/>
      <c r="X263" s="79"/>
      <c r="Y263" s="79"/>
      <c r="Z263" s="79"/>
      <c r="AA263" s="79"/>
    </row>
    <row r="264" spans="1:27" x14ac:dyDescent="0.2">
      <c r="A264" s="73"/>
      <c r="B264" s="74"/>
      <c r="C264" s="74"/>
      <c r="D264" s="74"/>
      <c r="E264" s="74"/>
      <c r="F264" s="74"/>
      <c r="G264" s="75"/>
      <c r="H264" s="75"/>
      <c r="I264" s="76"/>
      <c r="J264" s="77"/>
      <c r="K264" s="76"/>
      <c r="L264" s="76"/>
      <c r="M264" s="74"/>
      <c r="N264" s="74"/>
      <c r="O264" s="78"/>
      <c r="P264" s="78"/>
      <c r="Q264" s="78"/>
      <c r="R264" s="78"/>
      <c r="S264" s="79"/>
      <c r="T264" s="79"/>
      <c r="U264" s="79"/>
      <c r="V264" s="79"/>
      <c r="W264" s="79"/>
      <c r="X264" s="79"/>
      <c r="Y264" s="79"/>
      <c r="Z264" s="79"/>
      <c r="AA264" s="79"/>
    </row>
    <row r="265" spans="1:27" x14ac:dyDescent="0.2">
      <c r="A265" s="73"/>
      <c r="B265" s="74"/>
      <c r="C265" s="74"/>
      <c r="D265" s="74"/>
      <c r="E265" s="74"/>
      <c r="F265" s="74"/>
      <c r="G265" s="75"/>
      <c r="H265" s="75"/>
      <c r="I265" s="76"/>
      <c r="J265" s="77"/>
      <c r="K265" s="76"/>
      <c r="L265" s="76"/>
      <c r="M265" s="74"/>
      <c r="N265" s="74"/>
      <c r="O265" s="78"/>
      <c r="P265" s="78"/>
      <c r="Q265" s="78"/>
      <c r="R265" s="78"/>
      <c r="S265" s="79"/>
      <c r="T265" s="79"/>
      <c r="U265" s="79"/>
      <c r="V265" s="79"/>
      <c r="W265" s="79"/>
      <c r="X265" s="79"/>
      <c r="Y265" s="79"/>
      <c r="Z265" s="79"/>
      <c r="AA265" s="79"/>
    </row>
    <row r="266" spans="1:27" x14ac:dyDescent="0.2">
      <c r="A266" s="73"/>
      <c r="B266" s="74"/>
      <c r="C266" s="74"/>
      <c r="D266" s="74"/>
      <c r="E266" s="74"/>
      <c r="F266" s="74"/>
      <c r="G266" s="75"/>
      <c r="H266" s="75"/>
      <c r="I266" s="76"/>
      <c r="J266" s="77"/>
      <c r="K266" s="76"/>
      <c r="L266" s="76"/>
      <c r="M266" s="74"/>
      <c r="N266" s="74"/>
      <c r="O266" s="78"/>
      <c r="P266" s="78"/>
      <c r="Q266" s="78"/>
      <c r="R266" s="78"/>
      <c r="S266" s="79"/>
      <c r="T266" s="79"/>
      <c r="U266" s="79"/>
      <c r="V266" s="79"/>
      <c r="W266" s="79"/>
      <c r="X266" s="79"/>
      <c r="Y266" s="79"/>
      <c r="Z266" s="79"/>
      <c r="AA266" s="79"/>
    </row>
    <row r="267" spans="1:27" x14ac:dyDescent="0.2">
      <c r="A267" s="73"/>
      <c r="B267" s="74"/>
      <c r="C267" s="74"/>
      <c r="D267" s="74"/>
      <c r="E267" s="74"/>
      <c r="F267" s="74"/>
      <c r="G267" s="75"/>
      <c r="H267" s="75"/>
      <c r="I267" s="76"/>
      <c r="J267" s="77"/>
      <c r="K267" s="76"/>
      <c r="L267" s="76"/>
      <c r="M267" s="74"/>
      <c r="N267" s="74"/>
      <c r="O267" s="78"/>
      <c r="P267" s="78"/>
      <c r="Q267" s="78"/>
      <c r="R267" s="78"/>
      <c r="S267" s="79"/>
      <c r="T267" s="79"/>
      <c r="U267" s="79"/>
      <c r="V267" s="79"/>
      <c r="W267" s="79"/>
      <c r="X267" s="79"/>
      <c r="Y267" s="79"/>
      <c r="Z267" s="79"/>
      <c r="AA267" s="79"/>
    </row>
    <row r="268" spans="1:27" x14ac:dyDescent="0.2">
      <c r="A268" s="73"/>
      <c r="B268" s="74"/>
      <c r="C268" s="74"/>
      <c r="D268" s="74"/>
      <c r="E268" s="74"/>
      <c r="F268" s="74"/>
      <c r="G268" s="75"/>
      <c r="H268" s="75"/>
      <c r="I268" s="76"/>
      <c r="J268" s="77"/>
      <c r="K268" s="76"/>
      <c r="L268" s="76"/>
      <c r="M268" s="74"/>
      <c r="N268" s="74"/>
      <c r="O268" s="78"/>
      <c r="P268" s="78"/>
      <c r="Q268" s="78"/>
      <c r="R268" s="78"/>
      <c r="S268" s="79"/>
      <c r="T268" s="79"/>
      <c r="U268" s="79"/>
      <c r="V268" s="79"/>
      <c r="W268" s="79"/>
      <c r="X268" s="79"/>
      <c r="Y268" s="79"/>
      <c r="Z268" s="79"/>
      <c r="AA268" s="79"/>
    </row>
    <row r="269" spans="1:27" x14ac:dyDescent="0.2">
      <c r="A269" s="73"/>
      <c r="B269" s="74"/>
      <c r="C269" s="74"/>
      <c r="D269" s="74"/>
      <c r="E269" s="74"/>
      <c r="F269" s="74"/>
      <c r="G269" s="75"/>
      <c r="H269" s="75"/>
      <c r="I269" s="76"/>
      <c r="J269" s="77"/>
      <c r="K269" s="76"/>
      <c r="L269" s="76"/>
      <c r="M269" s="74"/>
      <c r="N269" s="74"/>
      <c r="O269" s="78"/>
      <c r="P269" s="78"/>
      <c r="Q269" s="78"/>
      <c r="R269" s="78"/>
      <c r="S269" s="79"/>
      <c r="T269" s="79"/>
      <c r="U269" s="79"/>
      <c r="V269" s="79"/>
      <c r="W269" s="79"/>
      <c r="X269" s="79"/>
      <c r="Y269" s="79"/>
      <c r="Z269" s="79"/>
      <c r="AA269" s="79"/>
    </row>
    <row r="270" spans="1:27" x14ac:dyDescent="0.2">
      <c r="A270" s="73"/>
      <c r="B270" s="74"/>
      <c r="C270" s="74"/>
      <c r="D270" s="74"/>
      <c r="E270" s="74"/>
      <c r="F270" s="74"/>
      <c r="G270" s="75"/>
      <c r="H270" s="75"/>
      <c r="I270" s="76"/>
      <c r="J270" s="77"/>
      <c r="K270" s="76"/>
      <c r="L270" s="76"/>
      <c r="M270" s="74"/>
      <c r="N270" s="74"/>
      <c r="O270" s="78"/>
      <c r="P270" s="78"/>
      <c r="Q270" s="78"/>
      <c r="R270" s="78"/>
      <c r="S270" s="79"/>
      <c r="T270" s="79"/>
      <c r="U270" s="79"/>
      <c r="V270" s="79"/>
      <c r="W270" s="79"/>
      <c r="X270" s="79"/>
      <c r="Y270" s="79"/>
      <c r="Z270" s="79"/>
      <c r="AA270" s="79"/>
    </row>
    <row r="271" spans="1:27" x14ac:dyDescent="0.2">
      <c r="A271" s="73"/>
      <c r="B271" s="74"/>
      <c r="C271" s="74"/>
      <c r="D271" s="74"/>
      <c r="E271" s="74"/>
      <c r="F271" s="74"/>
      <c r="G271" s="75"/>
      <c r="H271" s="75"/>
      <c r="I271" s="76"/>
      <c r="J271" s="77"/>
      <c r="K271" s="76"/>
      <c r="L271" s="76"/>
      <c r="M271" s="74"/>
      <c r="N271" s="74"/>
      <c r="O271" s="78"/>
      <c r="P271" s="78"/>
      <c r="Q271" s="78"/>
      <c r="R271" s="78"/>
      <c r="S271" s="79"/>
      <c r="T271" s="79"/>
      <c r="U271" s="79"/>
      <c r="V271" s="79"/>
      <c r="W271" s="79"/>
      <c r="X271" s="79"/>
      <c r="Y271" s="79"/>
      <c r="Z271" s="79"/>
      <c r="AA271" s="79"/>
    </row>
    <row r="272" spans="1:27" x14ac:dyDescent="0.2">
      <c r="A272" s="73"/>
      <c r="B272" s="74"/>
      <c r="C272" s="74"/>
      <c r="D272" s="74"/>
      <c r="E272" s="74"/>
      <c r="F272" s="74"/>
      <c r="G272" s="75"/>
      <c r="H272" s="75"/>
      <c r="I272" s="76"/>
      <c r="J272" s="77"/>
      <c r="K272" s="76"/>
      <c r="L272" s="76"/>
      <c r="M272" s="74"/>
      <c r="N272" s="74"/>
      <c r="O272" s="78"/>
      <c r="P272" s="78"/>
      <c r="Q272" s="78"/>
      <c r="R272" s="78"/>
      <c r="S272" s="79"/>
      <c r="T272" s="79"/>
      <c r="U272" s="79"/>
      <c r="V272" s="79"/>
      <c r="W272" s="79"/>
      <c r="X272" s="79"/>
      <c r="Y272" s="79"/>
      <c r="Z272" s="79"/>
      <c r="AA272" s="79"/>
    </row>
    <row r="273" spans="1:27" x14ac:dyDescent="0.2">
      <c r="A273" s="73"/>
      <c r="B273" s="74"/>
      <c r="C273" s="74"/>
      <c r="D273" s="74"/>
      <c r="E273" s="74"/>
      <c r="F273" s="74"/>
      <c r="G273" s="75"/>
      <c r="H273" s="75"/>
      <c r="I273" s="76"/>
      <c r="J273" s="77"/>
      <c r="K273" s="76"/>
      <c r="L273" s="76"/>
      <c r="M273" s="74"/>
      <c r="N273" s="74"/>
      <c r="O273" s="78"/>
      <c r="P273" s="78"/>
      <c r="Q273" s="78"/>
      <c r="R273" s="78"/>
      <c r="S273" s="79"/>
      <c r="T273" s="79"/>
      <c r="U273" s="79"/>
      <c r="V273" s="79"/>
      <c r="W273" s="79"/>
      <c r="X273" s="79"/>
      <c r="Y273" s="79"/>
      <c r="Z273" s="79"/>
      <c r="AA273" s="79"/>
    </row>
    <row r="274" spans="1:27" x14ac:dyDescent="0.2">
      <c r="A274" s="73"/>
      <c r="B274" s="74"/>
      <c r="C274" s="74"/>
      <c r="D274" s="74"/>
      <c r="E274" s="74"/>
      <c r="F274" s="74"/>
      <c r="G274" s="75"/>
      <c r="H274" s="75"/>
      <c r="I274" s="76"/>
      <c r="J274" s="77"/>
      <c r="K274" s="76"/>
      <c r="L274" s="76"/>
      <c r="M274" s="74"/>
      <c r="N274" s="74"/>
      <c r="O274" s="78"/>
      <c r="P274" s="78"/>
      <c r="Q274" s="78"/>
      <c r="R274" s="78"/>
      <c r="S274" s="79"/>
      <c r="T274" s="79"/>
      <c r="U274" s="79"/>
      <c r="V274" s="79"/>
      <c r="W274" s="79"/>
      <c r="X274" s="79"/>
      <c r="Y274" s="79"/>
      <c r="Z274" s="79"/>
      <c r="AA274" s="79"/>
    </row>
    <row r="275" spans="1:27" x14ac:dyDescent="0.2">
      <c r="A275" s="73"/>
      <c r="B275" s="74"/>
      <c r="C275" s="74"/>
      <c r="D275" s="74"/>
      <c r="E275" s="74"/>
      <c r="F275" s="74"/>
      <c r="G275" s="75"/>
      <c r="H275" s="75"/>
      <c r="I275" s="76"/>
      <c r="J275" s="77"/>
      <c r="K275" s="76"/>
      <c r="L275" s="76"/>
      <c r="M275" s="74"/>
      <c r="N275" s="74"/>
      <c r="O275" s="78"/>
      <c r="P275" s="78"/>
      <c r="Q275" s="78"/>
      <c r="R275" s="78"/>
      <c r="S275" s="79"/>
      <c r="T275" s="79"/>
      <c r="U275" s="79"/>
      <c r="V275" s="79"/>
      <c r="W275" s="79"/>
      <c r="X275" s="79"/>
      <c r="Y275" s="79"/>
      <c r="Z275" s="79"/>
      <c r="AA275" s="79"/>
    </row>
    <row r="276" spans="1:27" x14ac:dyDescent="0.2">
      <c r="A276" s="73"/>
      <c r="B276" s="74"/>
      <c r="C276" s="74"/>
      <c r="D276" s="74"/>
      <c r="E276" s="74"/>
      <c r="F276" s="74"/>
      <c r="G276" s="75"/>
      <c r="H276" s="75"/>
      <c r="I276" s="76"/>
      <c r="J276" s="77"/>
      <c r="K276" s="76"/>
      <c r="L276" s="76"/>
      <c r="M276" s="74"/>
      <c r="N276" s="74"/>
      <c r="O276" s="78"/>
      <c r="P276" s="78"/>
      <c r="Q276" s="78"/>
      <c r="R276" s="78"/>
      <c r="S276" s="79"/>
      <c r="T276" s="79"/>
      <c r="U276" s="79"/>
      <c r="V276" s="79"/>
      <c r="W276" s="79"/>
      <c r="X276" s="79"/>
      <c r="Y276" s="79"/>
      <c r="Z276" s="79"/>
      <c r="AA276" s="79"/>
    </row>
    <row r="277" spans="1:27" x14ac:dyDescent="0.2">
      <c r="A277" s="73"/>
      <c r="B277" s="74"/>
      <c r="C277" s="74"/>
      <c r="D277" s="74"/>
      <c r="E277" s="74"/>
      <c r="F277" s="74"/>
      <c r="G277" s="75"/>
      <c r="H277" s="75"/>
      <c r="I277" s="76"/>
      <c r="J277" s="77"/>
      <c r="K277" s="76"/>
      <c r="L277" s="76"/>
      <c r="M277" s="74"/>
      <c r="N277" s="74"/>
      <c r="O277" s="78"/>
      <c r="P277" s="78"/>
      <c r="Q277" s="78"/>
      <c r="R277" s="78"/>
      <c r="S277" s="79"/>
      <c r="T277" s="79"/>
      <c r="U277" s="79"/>
      <c r="V277" s="79"/>
      <c r="W277" s="79"/>
      <c r="X277" s="79"/>
      <c r="Y277" s="79"/>
      <c r="Z277" s="79"/>
      <c r="AA277" s="79"/>
    </row>
    <row r="278" spans="1:27" x14ac:dyDescent="0.2">
      <c r="A278" s="73"/>
      <c r="B278" s="74"/>
      <c r="C278" s="74"/>
      <c r="D278" s="74"/>
      <c r="E278" s="74"/>
      <c r="F278" s="74"/>
      <c r="G278" s="75"/>
      <c r="H278" s="75"/>
      <c r="I278" s="76"/>
      <c r="J278" s="77"/>
      <c r="K278" s="76"/>
      <c r="L278" s="76"/>
      <c r="M278" s="74"/>
      <c r="N278" s="74"/>
      <c r="O278" s="78"/>
      <c r="P278" s="78"/>
      <c r="Q278" s="78"/>
      <c r="R278" s="78"/>
      <c r="S278" s="79"/>
      <c r="T278" s="79"/>
      <c r="U278" s="79"/>
      <c r="V278" s="79"/>
      <c r="W278" s="79"/>
      <c r="X278" s="79"/>
      <c r="Y278" s="79"/>
      <c r="Z278" s="79"/>
      <c r="AA278" s="79"/>
    </row>
    <row r="279" spans="1:27" x14ac:dyDescent="0.2">
      <c r="A279" s="73"/>
      <c r="B279" s="74"/>
      <c r="C279" s="74"/>
      <c r="D279" s="74"/>
      <c r="E279" s="74"/>
      <c r="F279" s="74"/>
      <c r="G279" s="75"/>
      <c r="H279" s="75"/>
      <c r="I279" s="76"/>
      <c r="J279" s="77"/>
      <c r="K279" s="76"/>
      <c r="L279" s="76"/>
      <c r="M279" s="74"/>
      <c r="N279" s="74"/>
      <c r="O279" s="78"/>
      <c r="P279" s="78"/>
      <c r="Q279" s="78"/>
      <c r="R279" s="78"/>
      <c r="S279" s="79"/>
      <c r="T279" s="79"/>
      <c r="U279" s="79"/>
      <c r="V279" s="79"/>
      <c r="W279" s="79"/>
      <c r="X279" s="79"/>
      <c r="Y279" s="79"/>
      <c r="Z279" s="79"/>
      <c r="AA279" s="79"/>
    </row>
    <row r="280" spans="1:27" x14ac:dyDescent="0.2">
      <c r="A280" s="73"/>
      <c r="B280" s="74"/>
      <c r="C280" s="74"/>
      <c r="D280" s="74"/>
      <c r="E280" s="74"/>
      <c r="F280" s="74"/>
      <c r="G280" s="75"/>
      <c r="H280" s="75"/>
      <c r="I280" s="76"/>
      <c r="J280" s="77"/>
      <c r="K280" s="76"/>
      <c r="L280" s="76"/>
      <c r="M280" s="74"/>
      <c r="N280" s="74"/>
      <c r="O280" s="78"/>
      <c r="P280" s="78"/>
      <c r="Q280" s="78"/>
      <c r="R280" s="78"/>
      <c r="S280" s="79"/>
      <c r="T280" s="79"/>
      <c r="U280" s="79"/>
      <c r="V280" s="79"/>
      <c r="W280" s="79"/>
      <c r="X280" s="79"/>
      <c r="Y280" s="79"/>
      <c r="Z280" s="79"/>
      <c r="AA280" s="79"/>
    </row>
    <row r="281" spans="1:27" x14ac:dyDescent="0.2">
      <c r="A281" s="73"/>
      <c r="B281" s="74"/>
      <c r="C281" s="74"/>
      <c r="D281" s="74"/>
      <c r="E281" s="74"/>
      <c r="F281" s="74"/>
      <c r="G281" s="75"/>
      <c r="H281" s="75"/>
      <c r="I281" s="76"/>
      <c r="J281" s="77"/>
      <c r="K281" s="76"/>
      <c r="L281" s="76"/>
      <c r="M281" s="74"/>
      <c r="N281" s="74"/>
      <c r="O281" s="78"/>
      <c r="P281" s="78"/>
      <c r="Q281" s="78"/>
      <c r="R281" s="78"/>
      <c r="S281" s="79"/>
      <c r="T281" s="79"/>
      <c r="U281" s="79"/>
      <c r="V281" s="79"/>
      <c r="W281" s="79"/>
      <c r="X281" s="79"/>
      <c r="Y281" s="79"/>
      <c r="Z281" s="79"/>
      <c r="AA281" s="79"/>
    </row>
    <row r="282" spans="1:27" x14ac:dyDescent="0.2">
      <c r="A282" s="73"/>
      <c r="B282" s="74"/>
      <c r="C282" s="74"/>
      <c r="D282" s="74"/>
      <c r="E282" s="74"/>
      <c r="F282" s="74"/>
      <c r="G282" s="75"/>
      <c r="H282" s="75"/>
      <c r="I282" s="76"/>
      <c r="J282" s="77"/>
      <c r="K282" s="76"/>
      <c r="L282" s="76"/>
      <c r="M282" s="74"/>
      <c r="N282" s="74"/>
      <c r="O282" s="78"/>
      <c r="P282" s="78"/>
      <c r="Q282" s="78"/>
      <c r="R282" s="78"/>
      <c r="S282" s="79"/>
      <c r="T282" s="79"/>
      <c r="U282" s="79"/>
      <c r="V282" s="79"/>
      <c r="W282" s="79"/>
      <c r="X282" s="79"/>
      <c r="Y282" s="79"/>
      <c r="Z282" s="79"/>
      <c r="AA282" s="79"/>
    </row>
    <row r="283" spans="1:27" x14ac:dyDescent="0.2">
      <c r="A283" s="73"/>
      <c r="B283" s="74"/>
      <c r="C283" s="74"/>
      <c r="D283" s="74"/>
      <c r="E283" s="74"/>
      <c r="F283" s="74"/>
      <c r="G283" s="75"/>
      <c r="H283" s="75"/>
      <c r="I283" s="76"/>
      <c r="J283" s="77"/>
      <c r="K283" s="76"/>
      <c r="L283" s="76"/>
      <c r="M283" s="74"/>
      <c r="N283" s="74"/>
      <c r="O283" s="78"/>
      <c r="P283" s="78"/>
      <c r="Q283" s="78"/>
      <c r="R283" s="78"/>
      <c r="S283" s="79"/>
      <c r="T283" s="79"/>
      <c r="U283" s="79"/>
      <c r="V283" s="79"/>
      <c r="W283" s="79"/>
      <c r="X283" s="79"/>
      <c r="Y283" s="79"/>
      <c r="Z283" s="79"/>
      <c r="AA283" s="79"/>
    </row>
    <row r="284" spans="1:27" x14ac:dyDescent="0.2">
      <c r="A284" s="73"/>
      <c r="B284" s="74"/>
      <c r="C284" s="74"/>
      <c r="D284" s="74"/>
      <c r="E284" s="74"/>
      <c r="F284" s="74"/>
      <c r="G284" s="75"/>
      <c r="H284" s="75"/>
      <c r="I284" s="76"/>
      <c r="J284" s="77"/>
      <c r="K284" s="76"/>
      <c r="L284" s="76"/>
      <c r="M284" s="74"/>
      <c r="N284" s="74"/>
      <c r="O284" s="78"/>
      <c r="P284" s="78"/>
      <c r="Q284" s="78"/>
      <c r="R284" s="78"/>
      <c r="S284" s="79"/>
      <c r="T284" s="79"/>
      <c r="U284" s="79"/>
      <c r="V284" s="79"/>
      <c r="W284" s="79"/>
      <c r="X284" s="79"/>
      <c r="Y284" s="79"/>
      <c r="Z284" s="79"/>
      <c r="AA284" s="79"/>
    </row>
    <row r="285" spans="1:27" x14ac:dyDescent="0.2">
      <c r="A285" s="73"/>
      <c r="B285" s="74"/>
      <c r="C285" s="74"/>
      <c r="D285" s="74"/>
      <c r="E285" s="74"/>
      <c r="F285" s="74"/>
      <c r="G285" s="75"/>
      <c r="H285" s="75"/>
      <c r="I285" s="76"/>
      <c r="J285" s="77"/>
      <c r="K285" s="76"/>
      <c r="L285" s="76"/>
      <c r="M285" s="74"/>
      <c r="N285" s="74"/>
      <c r="O285" s="78"/>
      <c r="P285" s="78"/>
      <c r="Q285" s="78"/>
      <c r="R285" s="78"/>
      <c r="S285" s="79"/>
      <c r="T285" s="79"/>
      <c r="U285" s="79"/>
      <c r="V285" s="79"/>
      <c r="W285" s="79"/>
      <c r="X285" s="79"/>
      <c r="Y285" s="79"/>
      <c r="Z285" s="79"/>
      <c r="AA285" s="79"/>
    </row>
    <row r="286" spans="1:27" x14ac:dyDescent="0.2">
      <c r="A286" s="73"/>
      <c r="B286" s="74"/>
      <c r="C286" s="74"/>
      <c r="D286" s="74"/>
      <c r="E286" s="74"/>
      <c r="F286" s="74"/>
      <c r="G286" s="75"/>
      <c r="H286" s="75"/>
      <c r="I286" s="76"/>
      <c r="J286" s="77"/>
      <c r="K286" s="76"/>
      <c r="L286" s="76"/>
      <c r="M286" s="74"/>
      <c r="N286" s="74"/>
      <c r="O286" s="78"/>
      <c r="P286" s="78"/>
      <c r="Q286" s="78"/>
      <c r="R286" s="78"/>
      <c r="S286" s="79"/>
      <c r="T286" s="79"/>
      <c r="U286" s="79"/>
      <c r="V286" s="79"/>
      <c r="W286" s="79"/>
      <c r="X286" s="79"/>
      <c r="Y286" s="79"/>
      <c r="Z286" s="79"/>
      <c r="AA286" s="79"/>
    </row>
    <row r="287" spans="1:27" x14ac:dyDescent="0.2">
      <c r="A287" s="73"/>
      <c r="B287" s="74"/>
      <c r="C287" s="74"/>
      <c r="D287" s="74"/>
      <c r="E287" s="74"/>
      <c r="F287" s="74"/>
      <c r="G287" s="75"/>
      <c r="H287" s="75"/>
      <c r="I287" s="76"/>
      <c r="J287" s="77"/>
      <c r="K287" s="76"/>
      <c r="L287" s="76"/>
      <c r="M287" s="74"/>
      <c r="N287" s="74"/>
      <c r="O287" s="78"/>
      <c r="P287" s="78"/>
      <c r="Q287" s="78"/>
      <c r="R287" s="78"/>
      <c r="S287" s="79"/>
      <c r="T287" s="79"/>
      <c r="U287" s="79"/>
      <c r="V287" s="79"/>
      <c r="W287" s="79"/>
      <c r="X287" s="79"/>
      <c r="Y287" s="79"/>
      <c r="Z287" s="79"/>
      <c r="AA287" s="79"/>
    </row>
    <row r="288" spans="1:27" x14ac:dyDescent="0.2">
      <c r="A288" s="73"/>
      <c r="B288" s="74"/>
      <c r="C288" s="74"/>
      <c r="D288" s="74"/>
      <c r="E288" s="74"/>
      <c r="F288" s="74"/>
      <c r="G288" s="75"/>
      <c r="H288" s="75"/>
      <c r="I288" s="76"/>
      <c r="J288" s="77"/>
      <c r="K288" s="76"/>
      <c r="L288" s="76"/>
      <c r="M288" s="74"/>
      <c r="N288" s="74"/>
      <c r="O288" s="78"/>
      <c r="P288" s="78"/>
      <c r="Q288" s="78"/>
      <c r="R288" s="78"/>
      <c r="S288" s="79"/>
      <c r="T288" s="79"/>
      <c r="U288" s="79"/>
      <c r="V288" s="79"/>
      <c r="W288" s="79"/>
      <c r="X288" s="79"/>
      <c r="Y288" s="79"/>
      <c r="Z288" s="79"/>
      <c r="AA288" s="79"/>
    </row>
    <row r="289" spans="1:27" x14ac:dyDescent="0.2">
      <c r="A289" s="73"/>
      <c r="B289" s="74"/>
      <c r="C289" s="74"/>
      <c r="D289" s="74"/>
      <c r="E289" s="74"/>
      <c r="F289" s="74"/>
      <c r="G289" s="75"/>
      <c r="H289" s="75"/>
      <c r="I289" s="76"/>
      <c r="J289" s="77"/>
      <c r="K289" s="76"/>
      <c r="L289" s="76"/>
      <c r="M289" s="74"/>
      <c r="N289" s="74"/>
      <c r="O289" s="78"/>
      <c r="P289" s="78"/>
      <c r="Q289" s="78"/>
      <c r="R289" s="78"/>
      <c r="S289" s="79"/>
      <c r="T289" s="79"/>
      <c r="U289" s="79"/>
      <c r="V289" s="79"/>
      <c r="W289" s="79"/>
      <c r="X289" s="79"/>
      <c r="Y289" s="79"/>
      <c r="Z289" s="79"/>
      <c r="AA289" s="79"/>
    </row>
    <row r="290" spans="1:27" x14ac:dyDescent="0.2">
      <c r="A290" s="73"/>
      <c r="B290" s="74"/>
      <c r="C290" s="74"/>
      <c r="D290" s="74"/>
      <c r="E290" s="74"/>
      <c r="F290" s="74"/>
      <c r="G290" s="75"/>
      <c r="H290" s="75"/>
      <c r="I290" s="76"/>
      <c r="J290" s="77"/>
      <c r="K290" s="76"/>
      <c r="L290" s="76"/>
      <c r="M290" s="74"/>
      <c r="N290" s="74"/>
      <c r="O290" s="78"/>
      <c r="P290" s="78"/>
      <c r="Q290" s="78"/>
      <c r="R290" s="78"/>
      <c r="S290" s="79"/>
      <c r="T290" s="79"/>
      <c r="U290" s="79"/>
      <c r="V290" s="79"/>
      <c r="W290" s="79"/>
      <c r="X290" s="79"/>
      <c r="Y290" s="79"/>
      <c r="Z290" s="79"/>
      <c r="AA290" s="79"/>
    </row>
    <row r="291" spans="1:27" x14ac:dyDescent="0.2">
      <c r="A291" s="73"/>
      <c r="B291" s="74"/>
      <c r="C291" s="74"/>
      <c r="D291" s="74"/>
      <c r="E291" s="74"/>
      <c r="F291" s="74"/>
      <c r="G291" s="75"/>
      <c r="H291" s="75"/>
      <c r="I291" s="76"/>
      <c r="J291" s="77"/>
      <c r="K291" s="76"/>
      <c r="L291" s="76"/>
      <c r="M291" s="74"/>
      <c r="N291" s="74"/>
      <c r="O291" s="78"/>
      <c r="P291" s="78"/>
      <c r="Q291" s="78"/>
      <c r="R291" s="78"/>
      <c r="S291" s="79"/>
      <c r="T291" s="79"/>
      <c r="U291" s="79"/>
      <c r="V291" s="79"/>
      <c r="W291" s="79"/>
      <c r="X291" s="79"/>
      <c r="Y291" s="79"/>
      <c r="Z291" s="79"/>
      <c r="AA291" s="79"/>
    </row>
    <row r="292" spans="1:27" x14ac:dyDescent="0.2">
      <c r="A292" s="73"/>
      <c r="B292" s="74"/>
      <c r="C292" s="74"/>
      <c r="D292" s="74"/>
      <c r="E292" s="74"/>
      <c r="F292" s="74"/>
      <c r="G292" s="75"/>
      <c r="H292" s="75"/>
      <c r="I292" s="76"/>
      <c r="J292" s="77"/>
      <c r="K292" s="76"/>
      <c r="L292" s="76"/>
      <c r="M292" s="74"/>
      <c r="N292" s="74"/>
      <c r="O292" s="78"/>
      <c r="P292" s="78"/>
      <c r="Q292" s="78"/>
      <c r="R292" s="78"/>
      <c r="S292" s="79"/>
      <c r="T292" s="79"/>
      <c r="U292" s="79"/>
      <c r="V292" s="79"/>
      <c r="W292" s="79"/>
      <c r="X292" s="79"/>
      <c r="Y292" s="79"/>
      <c r="Z292" s="79"/>
      <c r="AA292" s="79"/>
    </row>
    <row r="293" spans="1:27" x14ac:dyDescent="0.2">
      <c r="A293" s="73"/>
      <c r="B293" s="74"/>
      <c r="C293" s="74"/>
      <c r="D293" s="74"/>
      <c r="E293" s="74"/>
      <c r="F293" s="74"/>
      <c r="G293" s="75"/>
      <c r="H293" s="75"/>
      <c r="I293" s="76"/>
      <c r="J293" s="77"/>
      <c r="K293" s="76"/>
      <c r="L293" s="76"/>
      <c r="M293" s="74"/>
      <c r="N293" s="74"/>
      <c r="O293" s="78"/>
      <c r="P293" s="78"/>
      <c r="Q293" s="78"/>
      <c r="R293" s="78"/>
      <c r="S293" s="79"/>
      <c r="T293" s="79"/>
      <c r="U293" s="79"/>
      <c r="V293" s="79"/>
      <c r="W293" s="79"/>
      <c r="X293" s="79"/>
      <c r="Y293" s="79"/>
      <c r="Z293" s="79"/>
      <c r="AA293" s="79"/>
    </row>
    <row r="294" spans="1:27" x14ac:dyDescent="0.2">
      <c r="A294" s="73"/>
      <c r="B294" s="74"/>
      <c r="C294" s="74"/>
      <c r="D294" s="74"/>
      <c r="E294" s="74"/>
      <c r="F294" s="74"/>
      <c r="G294" s="75"/>
      <c r="H294" s="75"/>
      <c r="I294" s="76"/>
      <c r="J294" s="77"/>
      <c r="K294" s="76"/>
      <c r="L294" s="76"/>
      <c r="M294" s="74"/>
      <c r="N294" s="74"/>
      <c r="O294" s="78"/>
      <c r="P294" s="78"/>
      <c r="Q294" s="78"/>
      <c r="R294" s="78"/>
      <c r="S294" s="79"/>
      <c r="T294" s="79"/>
      <c r="U294" s="79"/>
      <c r="V294" s="79"/>
      <c r="W294" s="79"/>
      <c r="X294" s="79"/>
      <c r="Y294" s="79"/>
      <c r="Z294" s="79"/>
      <c r="AA294" s="79"/>
    </row>
    <row r="295" spans="1:27" x14ac:dyDescent="0.2">
      <c r="A295" s="73"/>
      <c r="B295" s="74"/>
      <c r="C295" s="74"/>
      <c r="D295" s="74"/>
      <c r="E295" s="74"/>
      <c r="F295" s="74"/>
      <c r="G295" s="75"/>
      <c r="H295" s="75"/>
      <c r="I295" s="76"/>
      <c r="J295" s="77"/>
      <c r="K295" s="76"/>
      <c r="L295" s="76"/>
      <c r="M295" s="74"/>
      <c r="N295" s="74"/>
      <c r="O295" s="78"/>
      <c r="P295" s="78"/>
      <c r="Q295" s="78"/>
      <c r="R295" s="78"/>
      <c r="S295" s="79"/>
      <c r="T295" s="79"/>
      <c r="U295" s="79"/>
      <c r="V295" s="79"/>
      <c r="W295" s="79"/>
      <c r="X295" s="79"/>
      <c r="Y295" s="79"/>
      <c r="Z295" s="79"/>
      <c r="AA295" s="79"/>
    </row>
    <row r="296" spans="1:27" x14ac:dyDescent="0.2">
      <c r="A296" s="73"/>
      <c r="B296" s="74"/>
      <c r="C296" s="74"/>
      <c r="D296" s="74"/>
      <c r="E296" s="74"/>
      <c r="F296" s="74"/>
      <c r="G296" s="75"/>
      <c r="H296" s="75"/>
      <c r="I296" s="76"/>
      <c r="J296" s="77"/>
      <c r="K296" s="76"/>
      <c r="L296" s="76"/>
      <c r="M296" s="74"/>
      <c r="N296" s="74"/>
      <c r="O296" s="78"/>
      <c r="P296" s="78"/>
      <c r="Q296" s="78"/>
      <c r="R296" s="78"/>
      <c r="S296" s="79"/>
      <c r="T296" s="79"/>
      <c r="U296" s="79"/>
      <c r="V296" s="79"/>
      <c r="W296" s="79"/>
      <c r="X296" s="79"/>
      <c r="Y296" s="79"/>
      <c r="Z296" s="79"/>
      <c r="AA296" s="79"/>
    </row>
    <row r="297" spans="1:27" x14ac:dyDescent="0.2">
      <c r="A297" s="73"/>
      <c r="B297" s="74"/>
      <c r="C297" s="74"/>
      <c r="D297" s="74"/>
      <c r="E297" s="74"/>
      <c r="F297" s="74"/>
      <c r="G297" s="75"/>
      <c r="H297" s="75"/>
      <c r="I297" s="76"/>
      <c r="J297" s="77"/>
      <c r="K297" s="76"/>
      <c r="L297" s="76"/>
      <c r="M297" s="74"/>
      <c r="N297" s="74"/>
      <c r="O297" s="78"/>
      <c r="P297" s="78"/>
      <c r="Q297" s="78"/>
      <c r="R297" s="78"/>
      <c r="S297" s="79"/>
      <c r="T297" s="79"/>
      <c r="U297" s="79"/>
      <c r="V297" s="79"/>
      <c r="W297" s="79"/>
      <c r="X297" s="79"/>
      <c r="Y297" s="79"/>
      <c r="Z297" s="79"/>
      <c r="AA297" s="79"/>
    </row>
    <row r="298" spans="1:27" x14ac:dyDescent="0.2">
      <c r="A298" s="73"/>
      <c r="B298" s="74"/>
      <c r="C298" s="74"/>
      <c r="D298" s="74"/>
      <c r="E298" s="74"/>
      <c r="F298" s="74"/>
      <c r="G298" s="75"/>
      <c r="H298" s="75"/>
      <c r="I298" s="76"/>
      <c r="J298" s="77"/>
      <c r="K298" s="76"/>
      <c r="L298" s="76"/>
      <c r="M298" s="74"/>
      <c r="N298" s="74"/>
      <c r="O298" s="78"/>
      <c r="P298" s="78"/>
      <c r="Q298" s="78"/>
      <c r="R298" s="78"/>
      <c r="S298" s="79"/>
      <c r="T298" s="79"/>
      <c r="U298" s="79"/>
      <c r="V298" s="79"/>
      <c r="W298" s="79"/>
      <c r="X298" s="79"/>
      <c r="Y298" s="79"/>
      <c r="Z298" s="79"/>
      <c r="AA298" s="79"/>
    </row>
    <row r="299" spans="1:27" x14ac:dyDescent="0.2">
      <c r="A299" s="73"/>
      <c r="B299" s="74"/>
      <c r="C299" s="74"/>
      <c r="D299" s="74"/>
      <c r="E299" s="74"/>
      <c r="F299" s="74"/>
      <c r="G299" s="75"/>
      <c r="H299" s="75"/>
      <c r="I299" s="76"/>
      <c r="J299" s="77"/>
      <c r="K299" s="76"/>
      <c r="L299" s="76"/>
      <c r="M299" s="74"/>
      <c r="N299" s="74"/>
      <c r="O299" s="78"/>
      <c r="P299" s="78"/>
      <c r="Q299" s="78"/>
      <c r="R299" s="78"/>
      <c r="S299" s="79"/>
      <c r="T299" s="79"/>
      <c r="U299" s="79"/>
      <c r="V299" s="79"/>
      <c r="W299" s="79"/>
      <c r="X299" s="79"/>
      <c r="Y299" s="79"/>
      <c r="Z299" s="79"/>
      <c r="AA299" s="79"/>
    </row>
    <row r="300" spans="1:27" x14ac:dyDescent="0.2">
      <c r="A300" s="73"/>
      <c r="B300" s="74"/>
      <c r="C300" s="74"/>
      <c r="D300" s="74"/>
      <c r="E300" s="74"/>
      <c r="F300" s="74"/>
      <c r="G300" s="75"/>
      <c r="H300" s="75"/>
      <c r="I300" s="76"/>
      <c r="J300" s="77"/>
      <c r="K300" s="76"/>
      <c r="L300" s="76"/>
      <c r="M300" s="74"/>
      <c r="N300" s="74"/>
      <c r="O300" s="78"/>
      <c r="P300" s="78"/>
      <c r="Q300" s="78"/>
      <c r="R300" s="78"/>
      <c r="S300" s="79"/>
      <c r="T300" s="79"/>
      <c r="U300" s="79"/>
      <c r="V300" s="79"/>
      <c r="W300" s="79"/>
      <c r="X300" s="79"/>
      <c r="Y300" s="79"/>
      <c r="Z300" s="79"/>
      <c r="AA300" s="79"/>
    </row>
    <row r="301" spans="1:27" x14ac:dyDescent="0.2">
      <c r="A301" s="73"/>
      <c r="B301" s="74"/>
      <c r="C301" s="74"/>
      <c r="D301" s="74"/>
      <c r="E301" s="74"/>
      <c r="F301" s="74"/>
      <c r="G301" s="75"/>
      <c r="H301" s="75"/>
      <c r="I301" s="76"/>
      <c r="J301" s="77"/>
      <c r="K301" s="76"/>
      <c r="L301" s="76"/>
      <c r="M301" s="74"/>
      <c r="N301" s="74"/>
      <c r="O301" s="78"/>
      <c r="P301" s="78"/>
      <c r="Q301" s="78"/>
      <c r="R301" s="78"/>
      <c r="S301" s="79"/>
      <c r="T301" s="79"/>
      <c r="U301" s="79"/>
      <c r="V301" s="79"/>
      <c r="W301" s="79"/>
      <c r="X301" s="79"/>
      <c r="Y301" s="79"/>
      <c r="Z301" s="79"/>
      <c r="AA301" s="79"/>
    </row>
    <row r="302" spans="1:27" x14ac:dyDescent="0.2">
      <c r="A302" s="73"/>
      <c r="B302" s="74"/>
      <c r="C302" s="74"/>
      <c r="D302" s="74"/>
      <c r="E302" s="74"/>
      <c r="F302" s="74"/>
      <c r="G302" s="75"/>
      <c r="H302" s="75"/>
      <c r="I302" s="76"/>
      <c r="J302" s="77"/>
      <c r="K302" s="76"/>
      <c r="L302" s="76"/>
      <c r="M302" s="74"/>
      <c r="N302" s="74"/>
      <c r="O302" s="78"/>
      <c r="P302" s="78"/>
      <c r="Q302" s="78"/>
      <c r="R302" s="78"/>
      <c r="S302" s="79"/>
      <c r="T302" s="79"/>
      <c r="U302" s="79"/>
      <c r="V302" s="79"/>
      <c r="W302" s="79"/>
      <c r="X302" s="79"/>
      <c r="Y302" s="79"/>
      <c r="Z302" s="79"/>
      <c r="AA302" s="79"/>
    </row>
    <row r="303" spans="1:27" x14ac:dyDescent="0.2">
      <c r="A303" s="73"/>
      <c r="B303" s="74"/>
      <c r="C303" s="74"/>
      <c r="D303" s="74"/>
      <c r="E303" s="74"/>
      <c r="F303" s="74"/>
      <c r="G303" s="75"/>
      <c r="H303" s="75"/>
      <c r="I303" s="76"/>
      <c r="J303" s="77"/>
      <c r="K303" s="76"/>
      <c r="L303" s="76"/>
      <c r="M303" s="74"/>
      <c r="N303" s="74"/>
      <c r="O303" s="78"/>
      <c r="P303" s="78"/>
      <c r="Q303" s="78"/>
      <c r="R303" s="78"/>
      <c r="S303" s="79"/>
      <c r="T303" s="79"/>
      <c r="U303" s="79"/>
      <c r="V303" s="79"/>
      <c r="W303" s="79"/>
      <c r="X303" s="79"/>
      <c r="Y303" s="79"/>
      <c r="Z303" s="79"/>
      <c r="AA303" s="79"/>
    </row>
    <row r="304" spans="1:27" x14ac:dyDescent="0.2">
      <c r="A304" s="73"/>
      <c r="B304" s="74"/>
      <c r="C304" s="74"/>
      <c r="D304" s="74"/>
      <c r="E304" s="74"/>
      <c r="F304" s="74"/>
      <c r="G304" s="75"/>
      <c r="H304" s="75"/>
      <c r="I304" s="76"/>
      <c r="J304" s="77"/>
      <c r="K304" s="76"/>
      <c r="L304" s="76"/>
      <c r="M304" s="74"/>
      <c r="N304" s="74"/>
      <c r="O304" s="78"/>
      <c r="P304" s="78"/>
      <c r="Q304" s="78"/>
      <c r="R304" s="78"/>
      <c r="S304" s="79"/>
      <c r="T304" s="79"/>
      <c r="U304" s="79"/>
      <c r="V304" s="79"/>
      <c r="W304" s="79"/>
      <c r="X304" s="79"/>
      <c r="Y304" s="79"/>
      <c r="Z304" s="79"/>
      <c r="AA304" s="79"/>
    </row>
    <row r="305" spans="1:27" x14ac:dyDescent="0.2">
      <c r="A305" s="73"/>
      <c r="B305" s="74"/>
      <c r="C305" s="74"/>
      <c r="D305" s="74"/>
      <c r="E305" s="74"/>
      <c r="F305" s="74"/>
      <c r="G305" s="75"/>
      <c r="H305" s="75"/>
      <c r="I305" s="76"/>
      <c r="J305" s="77"/>
      <c r="K305" s="76"/>
      <c r="L305" s="76"/>
      <c r="M305" s="74"/>
      <c r="N305" s="74"/>
      <c r="O305" s="78"/>
      <c r="P305" s="78"/>
      <c r="Q305" s="78"/>
      <c r="R305" s="78"/>
      <c r="S305" s="79"/>
      <c r="T305" s="79"/>
      <c r="U305" s="79"/>
      <c r="V305" s="79"/>
      <c r="W305" s="79"/>
      <c r="X305" s="79"/>
      <c r="Y305" s="79"/>
      <c r="Z305" s="79"/>
      <c r="AA305" s="79"/>
    </row>
    <row r="306" spans="1:27" x14ac:dyDescent="0.2">
      <c r="A306" s="73"/>
      <c r="B306" s="74"/>
      <c r="C306" s="74"/>
      <c r="D306" s="74"/>
      <c r="E306" s="74"/>
      <c r="F306" s="74"/>
      <c r="G306" s="75"/>
      <c r="H306" s="75"/>
      <c r="I306" s="76"/>
      <c r="J306" s="77"/>
      <c r="K306" s="76"/>
      <c r="L306" s="76"/>
      <c r="M306" s="74"/>
      <c r="N306" s="74"/>
      <c r="O306" s="78"/>
      <c r="P306" s="78"/>
      <c r="Q306" s="78"/>
      <c r="R306" s="78"/>
      <c r="S306" s="79"/>
      <c r="T306" s="79"/>
      <c r="U306" s="79"/>
      <c r="V306" s="79"/>
      <c r="W306" s="79"/>
      <c r="X306" s="79"/>
      <c r="Y306" s="79"/>
      <c r="Z306" s="79"/>
      <c r="AA306" s="79"/>
    </row>
    <row r="307" spans="1:27" x14ac:dyDescent="0.2">
      <c r="A307" s="73"/>
      <c r="B307" s="74"/>
      <c r="C307" s="74"/>
      <c r="D307" s="74"/>
      <c r="E307" s="74"/>
      <c r="F307" s="74"/>
      <c r="G307" s="75"/>
      <c r="H307" s="75"/>
      <c r="I307" s="76"/>
      <c r="J307" s="77"/>
      <c r="K307" s="76"/>
      <c r="L307" s="76"/>
      <c r="M307" s="74"/>
      <c r="N307" s="74"/>
      <c r="O307" s="78"/>
      <c r="P307" s="78"/>
      <c r="Q307" s="78"/>
      <c r="R307" s="78"/>
      <c r="S307" s="79"/>
      <c r="T307" s="79"/>
      <c r="U307" s="79"/>
      <c r="V307" s="79"/>
      <c r="W307" s="79"/>
      <c r="X307" s="79"/>
      <c r="Y307" s="79"/>
      <c r="Z307" s="79"/>
      <c r="AA307" s="79"/>
    </row>
    <row r="308" spans="1:27" x14ac:dyDescent="0.2">
      <c r="A308" s="73"/>
      <c r="B308" s="74"/>
      <c r="C308" s="74"/>
      <c r="D308" s="74"/>
      <c r="E308" s="74"/>
      <c r="F308" s="74"/>
      <c r="G308" s="75"/>
      <c r="H308" s="75"/>
      <c r="I308" s="76"/>
      <c r="J308" s="77"/>
      <c r="K308" s="76"/>
      <c r="L308" s="76"/>
      <c r="M308" s="74"/>
      <c r="N308" s="74"/>
      <c r="O308" s="78"/>
      <c r="P308" s="78"/>
      <c r="Q308" s="78"/>
      <c r="R308" s="78"/>
      <c r="S308" s="79"/>
      <c r="T308" s="79"/>
      <c r="U308" s="79"/>
      <c r="V308" s="79"/>
      <c r="W308" s="79"/>
      <c r="X308" s="79"/>
      <c r="Y308" s="79"/>
      <c r="Z308" s="79"/>
      <c r="AA308" s="79"/>
    </row>
    <row r="309" spans="1:27" x14ac:dyDescent="0.2">
      <c r="A309" s="73"/>
      <c r="B309" s="74"/>
      <c r="C309" s="74"/>
      <c r="D309" s="74"/>
      <c r="E309" s="74"/>
      <c r="F309" s="74"/>
      <c r="G309" s="75"/>
      <c r="H309" s="75"/>
      <c r="I309" s="76"/>
      <c r="J309" s="77"/>
      <c r="K309" s="76"/>
      <c r="L309" s="76"/>
      <c r="M309" s="74"/>
      <c r="N309" s="74"/>
      <c r="O309" s="78"/>
      <c r="P309" s="78"/>
      <c r="Q309" s="78"/>
      <c r="R309" s="78"/>
      <c r="S309" s="79"/>
      <c r="T309" s="79"/>
      <c r="U309" s="79"/>
      <c r="V309" s="79"/>
      <c r="W309" s="79"/>
      <c r="X309" s="79"/>
      <c r="Y309" s="79"/>
      <c r="Z309" s="79"/>
      <c r="AA309" s="79"/>
    </row>
    <row r="310" spans="1:27" x14ac:dyDescent="0.2">
      <c r="A310" s="73"/>
      <c r="B310" s="74"/>
      <c r="C310" s="74"/>
      <c r="D310" s="74"/>
      <c r="E310" s="74"/>
      <c r="F310" s="74"/>
      <c r="G310" s="75"/>
      <c r="H310" s="75"/>
      <c r="I310" s="76"/>
      <c r="J310" s="77"/>
      <c r="K310" s="76"/>
      <c r="L310" s="76"/>
      <c r="M310" s="74"/>
      <c r="N310" s="74"/>
      <c r="O310" s="78"/>
      <c r="P310" s="78"/>
      <c r="Q310" s="78"/>
      <c r="R310" s="78"/>
      <c r="S310" s="79"/>
      <c r="T310" s="79"/>
      <c r="U310" s="79"/>
      <c r="V310" s="79"/>
      <c r="W310" s="79"/>
      <c r="X310" s="79"/>
      <c r="Y310" s="79"/>
      <c r="Z310" s="79"/>
      <c r="AA310" s="79"/>
    </row>
    <row r="311" spans="1:27" x14ac:dyDescent="0.2">
      <c r="A311" s="73"/>
      <c r="B311" s="74"/>
      <c r="C311" s="74"/>
      <c r="D311" s="74"/>
      <c r="E311" s="74"/>
      <c r="F311" s="74"/>
      <c r="G311" s="75"/>
      <c r="H311" s="75"/>
      <c r="I311" s="76"/>
      <c r="J311" s="77"/>
      <c r="K311" s="76"/>
      <c r="L311" s="76"/>
      <c r="M311" s="74"/>
      <c r="N311" s="74"/>
      <c r="O311" s="78"/>
      <c r="P311" s="78"/>
      <c r="Q311" s="78"/>
      <c r="R311" s="78"/>
      <c r="S311" s="79"/>
      <c r="T311" s="79"/>
      <c r="U311" s="79"/>
      <c r="V311" s="79"/>
      <c r="W311" s="79"/>
      <c r="X311" s="79"/>
      <c r="Y311" s="79"/>
      <c r="Z311" s="79"/>
      <c r="AA311" s="79"/>
    </row>
    <row r="312" spans="1:27" x14ac:dyDescent="0.2">
      <c r="A312" s="73"/>
      <c r="B312" s="74"/>
      <c r="C312" s="74"/>
      <c r="D312" s="74"/>
      <c r="E312" s="74"/>
      <c r="F312" s="74"/>
      <c r="G312" s="75"/>
      <c r="H312" s="75"/>
      <c r="I312" s="76"/>
      <c r="J312" s="77"/>
      <c r="K312" s="76"/>
      <c r="L312" s="76"/>
      <c r="M312" s="74"/>
      <c r="N312" s="74"/>
      <c r="O312" s="78"/>
      <c r="P312" s="78"/>
      <c r="Q312" s="78"/>
      <c r="R312" s="78"/>
      <c r="S312" s="79"/>
      <c r="T312" s="79"/>
      <c r="U312" s="79"/>
      <c r="V312" s="79"/>
      <c r="W312" s="79"/>
      <c r="X312" s="79"/>
      <c r="Y312" s="79"/>
      <c r="Z312" s="79"/>
      <c r="AA312" s="79"/>
    </row>
    <row r="313" spans="1:27" x14ac:dyDescent="0.2">
      <c r="A313" s="73"/>
      <c r="B313" s="74"/>
      <c r="C313" s="74"/>
      <c r="D313" s="74"/>
      <c r="E313" s="74"/>
      <c r="F313" s="74"/>
      <c r="G313" s="75"/>
      <c r="H313" s="75"/>
      <c r="I313" s="76"/>
      <c r="J313" s="77"/>
      <c r="K313" s="76"/>
      <c r="L313" s="76"/>
      <c r="M313" s="74"/>
      <c r="N313" s="74"/>
      <c r="O313" s="78"/>
      <c r="P313" s="78"/>
      <c r="Q313" s="78"/>
      <c r="R313" s="78"/>
      <c r="S313" s="79"/>
      <c r="T313" s="79"/>
      <c r="U313" s="79"/>
      <c r="V313" s="79"/>
      <c r="W313" s="79"/>
      <c r="X313" s="79"/>
      <c r="Y313" s="79"/>
      <c r="Z313" s="79"/>
      <c r="AA313" s="79"/>
    </row>
    <row r="314" spans="1:27" x14ac:dyDescent="0.2">
      <c r="A314" s="73"/>
      <c r="B314" s="74"/>
      <c r="C314" s="74"/>
      <c r="D314" s="74"/>
      <c r="E314" s="74"/>
      <c r="F314" s="74"/>
      <c r="G314" s="75"/>
      <c r="H314" s="75"/>
      <c r="I314" s="76"/>
      <c r="J314" s="77"/>
      <c r="K314" s="76"/>
      <c r="L314" s="76"/>
      <c r="M314" s="74"/>
      <c r="N314" s="74"/>
      <c r="O314" s="78"/>
      <c r="P314" s="78"/>
      <c r="Q314" s="78"/>
      <c r="R314" s="78"/>
      <c r="S314" s="79"/>
      <c r="T314" s="79"/>
      <c r="U314" s="79"/>
      <c r="V314" s="79"/>
      <c r="W314" s="79"/>
      <c r="X314" s="79"/>
      <c r="Y314" s="79"/>
      <c r="Z314" s="79"/>
      <c r="AA314" s="79"/>
    </row>
    <row r="315" spans="1:27" x14ac:dyDescent="0.2">
      <c r="A315" s="73"/>
      <c r="B315" s="74"/>
      <c r="C315" s="74"/>
      <c r="D315" s="74"/>
      <c r="E315" s="74"/>
      <c r="F315" s="74"/>
      <c r="G315" s="75"/>
      <c r="H315" s="75"/>
      <c r="I315" s="76"/>
      <c r="J315" s="77"/>
      <c r="K315" s="76"/>
      <c r="L315" s="76"/>
      <c r="M315" s="74"/>
      <c r="N315" s="74"/>
      <c r="O315" s="78"/>
      <c r="P315" s="78"/>
      <c r="Q315" s="78"/>
      <c r="R315" s="78"/>
      <c r="S315" s="79"/>
      <c r="T315" s="79"/>
      <c r="U315" s="79"/>
      <c r="V315" s="79"/>
      <c r="W315" s="79"/>
      <c r="X315" s="79"/>
      <c r="Y315" s="79"/>
      <c r="Z315" s="79"/>
      <c r="AA315" s="79"/>
    </row>
    <row r="316" spans="1:27" x14ac:dyDescent="0.2">
      <c r="A316" s="73"/>
      <c r="B316" s="74"/>
      <c r="C316" s="74"/>
      <c r="D316" s="74"/>
      <c r="E316" s="74"/>
      <c r="F316" s="74"/>
      <c r="G316" s="75"/>
      <c r="H316" s="75"/>
      <c r="I316" s="76"/>
      <c r="J316" s="77"/>
      <c r="K316" s="76"/>
      <c r="L316" s="76"/>
      <c r="M316" s="74"/>
      <c r="N316" s="74"/>
      <c r="O316" s="78"/>
      <c r="P316" s="78"/>
      <c r="Q316" s="78"/>
      <c r="R316" s="78"/>
      <c r="S316" s="79"/>
      <c r="T316" s="79"/>
      <c r="U316" s="79"/>
      <c r="V316" s="79"/>
      <c r="W316" s="79"/>
      <c r="X316" s="79"/>
      <c r="Y316" s="79"/>
      <c r="Z316" s="79"/>
      <c r="AA316" s="79"/>
    </row>
    <row r="317" spans="1:27" x14ac:dyDescent="0.2">
      <c r="A317" s="73"/>
      <c r="B317" s="74"/>
      <c r="C317" s="74"/>
      <c r="D317" s="74"/>
      <c r="E317" s="74"/>
      <c r="F317" s="74"/>
      <c r="G317" s="75"/>
      <c r="H317" s="75"/>
      <c r="I317" s="76"/>
      <c r="J317" s="77"/>
      <c r="K317" s="76"/>
      <c r="L317" s="76"/>
      <c r="M317" s="74"/>
      <c r="N317" s="74"/>
      <c r="O317" s="78"/>
      <c r="P317" s="78"/>
      <c r="Q317" s="78"/>
      <c r="R317" s="78"/>
      <c r="S317" s="79"/>
      <c r="T317" s="79"/>
      <c r="U317" s="79"/>
      <c r="V317" s="79"/>
      <c r="W317" s="79"/>
      <c r="X317" s="79"/>
      <c r="Y317" s="79"/>
      <c r="Z317" s="79"/>
      <c r="AA317" s="79"/>
    </row>
    <row r="318" spans="1:27" x14ac:dyDescent="0.2">
      <c r="A318" s="73"/>
      <c r="B318" s="74"/>
      <c r="C318" s="74"/>
      <c r="D318" s="74"/>
      <c r="E318" s="74"/>
      <c r="F318" s="74"/>
      <c r="G318" s="75"/>
      <c r="H318" s="75"/>
      <c r="I318" s="76"/>
      <c r="J318" s="77"/>
      <c r="K318" s="76"/>
      <c r="L318" s="76"/>
      <c r="M318" s="74"/>
      <c r="N318" s="74"/>
      <c r="O318" s="78"/>
      <c r="P318" s="78"/>
      <c r="Q318" s="78"/>
      <c r="R318" s="78"/>
      <c r="S318" s="79"/>
      <c r="T318" s="79"/>
      <c r="U318" s="79"/>
      <c r="V318" s="79"/>
      <c r="W318" s="79"/>
      <c r="X318" s="79"/>
      <c r="Y318" s="79"/>
      <c r="Z318" s="79"/>
      <c r="AA318" s="79"/>
    </row>
    <row r="319" spans="1:27" x14ac:dyDescent="0.2">
      <c r="A319" s="73"/>
      <c r="B319" s="74"/>
      <c r="C319" s="74"/>
      <c r="D319" s="74"/>
      <c r="E319" s="74"/>
      <c r="F319" s="74"/>
      <c r="G319" s="75"/>
      <c r="H319" s="75"/>
      <c r="I319" s="76"/>
      <c r="J319" s="77"/>
      <c r="K319" s="76"/>
      <c r="L319" s="76"/>
      <c r="M319" s="74"/>
      <c r="N319" s="74"/>
      <c r="O319" s="78"/>
      <c r="P319" s="78"/>
      <c r="Q319" s="78"/>
      <c r="R319" s="78"/>
      <c r="S319" s="79"/>
      <c r="T319" s="79"/>
      <c r="U319" s="79"/>
      <c r="V319" s="79"/>
      <c r="W319" s="79"/>
      <c r="X319" s="79"/>
      <c r="Y319" s="79"/>
      <c r="Z319" s="79"/>
      <c r="AA319" s="79"/>
    </row>
    <row r="320" spans="1:27" x14ac:dyDescent="0.2">
      <c r="A320" s="73"/>
      <c r="B320" s="74"/>
      <c r="C320" s="74"/>
      <c r="D320" s="74"/>
      <c r="E320" s="74"/>
      <c r="F320" s="74"/>
      <c r="G320" s="75"/>
      <c r="H320" s="75"/>
      <c r="I320" s="76"/>
      <c r="J320" s="77"/>
      <c r="K320" s="76"/>
      <c r="L320" s="76"/>
      <c r="M320" s="74"/>
      <c r="N320" s="74"/>
      <c r="O320" s="78"/>
      <c r="P320" s="78"/>
      <c r="Q320" s="78"/>
      <c r="R320" s="78"/>
      <c r="S320" s="79"/>
      <c r="T320" s="79"/>
      <c r="U320" s="79"/>
      <c r="V320" s="79"/>
      <c r="W320" s="79"/>
      <c r="X320" s="79"/>
      <c r="Y320" s="79"/>
      <c r="Z320" s="79"/>
      <c r="AA320" s="79"/>
    </row>
    <row r="321" spans="1:27" x14ac:dyDescent="0.2">
      <c r="A321" s="73"/>
      <c r="B321" s="74"/>
      <c r="C321" s="74"/>
      <c r="D321" s="74"/>
      <c r="E321" s="74"/>
      <c r="F321" s="74"/>
      <c r="G321" s="75"/>
      <c r="H321" s="75"/>
      <c r="I321" s="76"/>
      <c r="J321" s="77"/>
      <c r="K321" s="76"/>
      <c r="L321" s="76"/>
      <c r="M321" s="74"/>
      <c r="N321" s="74"/>
      <c r="O321" s="78"/>
      <c r="P321" s="78"/>
      <c r="Q321" s="78"/>
      <c r="R321" s="78"/>
      <c r="S321" s="79"/>
      <c r="T321" s="79"/>
      <c r="U321" s="79"/>
      <c r="V321" s="79"/>
      <c r="W321" s="79"/>
      <c r="X321" s="79"/>
      <c r="Y321" s="79"/>
      <c r="Z321" s="79"/>
      <c r="AA321" s="79"/>
    </row>
    <row r="322" spans="1:27" x14ac:dyDescent="0.2">
      <c r="A322" s="73"/>
      <c r="B322" s="74"/>
      <c r="C322" s="74"/>
      <c r="D322" s="74"/>
      <c r="E322" s="74"/>
      <c r="F322" s="74"/>
      <c r="G322" s="75"/>
      <c r="H322" s="75"/>
      <c r="I322" s="76"/>
      <c r="J322" s="77"/>
      <c r="K322" s="76"/>
      <c r="L322" s="76"/>
      <c r="M322" s="74"/>
      <c r="N322" s="74"/>
      <c r="O322" s="78"/>
      <c r="P322" s="78"/>
      <c r="Q322" s="78"/>
      <c r="R322" s="78"/>
      <c r="S322" s="79"/>
      <c r="T322" s="79"/>
      <c r="U322" s="79"/>
      <c r="V322" s="79"/>
      <c r="W322" s="79"/>
      <c r="X322" s="79"/>
      <c r="Y322" s="79"/>
      <c r="Z322" s="79"/>
      <c r="AA322" s="79"/>
    </row>
    <row r="323" spans="1:27" x14ac:dyDescent="0.2">
      <c r="A323" s="73"/>
      <c r="B323" s="74"/>
      <c r="C323" s="74"/>
      <c r="D323" s="74"/>
      <c r="E323" s="74"/>
      <c r="F323" s="74"/>
      <c r="G323" s="75"/>
      <c r="H323" s="75"/>
      <c r="I323" s="76"/>
      <c r="J323" s="77"/>
      <c r="K323" s="76"/>
      <c r="L323" s="76"/>
      <c r="M323" s="74"/>
      <c r="N323" s="74"/>
      <c r="O323" s="78"/>
      <c r="P323" s="78"/>
      <c r="Q323" s="78"/>
      <c r="R323" s="78"/>
      <c r="S323" s="79"/>
      <c r="T323" s="79"/>
      <c r="U323" s="79"/>
      <c r="V323" s="79"/>
      <c r="W323" s="79"/>
      <c r="X323" s="79"/>
      <c r="Y323" s="79"/>
      <c r="Z323" s="79"/>
      <c r="AA323" s="79"/>
    </row>
    <row r="324" spans="1:27" x14ac:dyDescent="0.2">
      <c r="A324" s="73"/>
      <c r="B324" s="74"/>
      <c r="C324" s="74"/>
      <c r="D324" s="74"/>
      <c r="E324" s="74"/>
      <c r="F324" s="74"/>
      <c r="G324" s="75"/>
      <c r="H324" s="75"/>
      <c r="I324" s="76"/>
      <c r="J324" s="77"/>
      <c r="K324" s="76"/>
      <c r="L324" s="76"/>
      <c r="M324" s="74"/>
      <c r="N324" s="74"/>
      <c r="O324" s="78"/>
      <c r="P324" s="78"/>
      <c r="Q324" s="78"/>
      <c r="R324" s="78"/>
      <c r="S324" s="79"/>
      <c r="T324" s="79"/>
      <c r="U324" s="79"/>
      <c r="V324" s="79"/>
      <c r="W324" s="79"/>
      <c r="X324" s="79"/>
      <c r="Y324" s="79"/>
      <c r="Z324" s="79"/>
      <c r="AA324" s="79"/>
    </row>
    <row r="325" spans="1:27" x14ac:dyDescent="0.2">
      <c r="A325" s="73"/>
      <c r="B325" s="74"/>
      <c r="C325" s="74"/>
      <c r="D325" s="74"/>
      <c r="E325" s="74"/>
      <c r="F325" s="74"/>
      <c r="G325" s="75"/>
      <c r="H325" s="75"/>
      <c r="I325" s="76"/>
      <c r="J325" s="77"/>
      <c r="K325" s="76"/>
      <c r="L325" s="76"/>
      <c r="M325" s="74"/>
      <c r="N325" s="74"/>
      <c r="O325" s="78"/>
      <c r="P325" s="78"/>
      <c r="Q325" s="78"/>
      <c r="R325" s="78"/>
      <c r="S325" s="79"/>
      <c r="T325" s="79"/>
      <c r="U325" s="79"/>
      <c r="V325" s="79"/>
      <c r="W325" s="79"/>
      <c r="X325" s="79"/>
      <c r="Y325" s="79"/>
      <c r="Z325" s="79"/>
      <c r="AA325" s="79"/>
    </row>
    <row r="326" spans="1:27" x14ac:dyDescent="0.2">
      <c r="A326" s="73"/>
      <c r="B326" s="74"/>
      <c r="C326" s="74"/>
      <c r="D326" s="74"/>
      <c r="E326" s="74"/>
      <c r="F326" s="74"/>
      <c r="G326" s="75"/>
      <c r="H326" s="75"/>
      <c r="I326" s="76"/>
      <c r="J326" s="77"/>
      <c r="K326" s="76"/>
      <c r="L326" s="76"/>
      <c r="M326" s="74"/>
      <c r="N326" s="74"/>
      <c r="O326" s="78"/>
      <c r="P326" s="78"/>
      <c r="Q326" s="78"/>
      <c r="R326" s="78"/>
      <c r="S326" s="79"/>
      <c r="T326" s="79"/>
      <c r="U326" s="79"/>
      <c r="V326" s="79"/>
      <c r="W326" s="79"/>
      <c r="X326" s="79"/>
      <c r="Y326" s="79"/>
      <c r="Z326" s="79"/>
      <c r="AA326" s="79"/>
    </row>
    <row r="327" spans="1:27" x14ac:dyDescent="0.2">
      <c r="A327" s="73"/>
      <c r="B327" s="74"/>
      <c r="C327" s="74"/>
      <c r="D327" s="74"/>
      <c r="E327" s="74"/>
      <c r="F327" s="74"/>
      <c r="G327" s="75"/>
      <c r="H327" s="75"/>
      <c r="I327" s="76"/>
      <c r="J327" s="77"/>
      <c r="K327" s="76"/>
      <c r="L327" s="76"/>
      <c r="M327" s="74"/>
      <c r="N327" s="74"/>
      <c r="O327" s="78"/>
      <c r="P327" s="78"/>
      <c r="Q327" s="78"/>
      <c r="R327" s="78"/>
      <c r="S327" s="79"/>
      <c r="T327" s="79"/>
      <c r="U327" s="79"/>
      <c r="V327" s="79"/>
      <c r="W327" s="79"/>
      <c r="X327" s="79"/>
      <c r="Y327" s="79"/>
      <c r="Z327" s="79"/>
      <c r="AA327" s="79"/>
    </row>
    <row r="328" spans="1:27" x14ac:dyDescent="0.2">
      <c r="A328" s="73"/>
      <c r="B328" s="74"/>
      <c r="C328" s="74"/>
      <c r="D328" s="74"/>
      <c r="E328" s="74"/>
      <c r="F328" s="74"/>
      <c r="G328" s="75"/>
      <c r="H328" s="75"/>
      <c r="I328" s="76"/>
      <c r="J328" s="77"/>
      <c r="K328" s="76"/>
      <c r="L328" s="76"/>
      <c r="M328" s="74"/>
      <c r="N328" s="74"/>
      <c r="O328" s="78"/>
      <c r="P328" s="78"/>
      <c r="Q328" s="78"/>
      <c r="R328" s="78"/>
      <c r="S328" s="79"/>
      <c r="T328" s="79"/>
      <c r="U328" s="79"/>
      <c r="V328" s="79"/>
      <c r="W328" s="79"/>
      <c r="X328" s="79"/>
      <c r="Y328" s="79"/>
      <c r="Z328" s="79"/>
      <c r="AA328" s="79"/>
    </row>
    <row r="329" spans="1:27" x14ac:dyDescent="0.2">
      <c r="A329" s="73"/>
      <c r="B329" s="74"/>
      <c r="C329" s="74"/>
      <c r="D329" s="74"/>
      <c r="E329" s="74"/>
      <c r="F329" s="74"/>
      <c r="G329" s="75"/>
      <c r="H329" s="75"/>
      <c r="I329" s="76"/>
      <c r="J329" s="77"/>
      <c r="K329" s="76"/>
      <c r="L329" s="76"/>
      <c r="M329" s="74"/>
      <c r="N329" s="74"/>
      <c r="O329" s="78"/>
      <c r="P329" s="78"/>
      <c r="Q329" s="78"/>
      <c r="R329" s="78"/>
      <c r="S329" s="79"/>
      <c r="T329" s="79"/>
      <c r="U329" s="79"/>
      <c r="V329" s="79"/>
      <c r="W329" s="79"/>
      <c r="X329" s="79"/>
      <c r="Y329" s="79"/>
      <c r="Z329" s="79"/>
      <c r="AA329" s="79"/>
    </row>
    <row r="330" spans="1:27" x14ac:dyDescent="0.2">
      <c r="A330" s="73"/>
      <c r="B330" s="74"/>
      <c r="C330" s="74"/>
      <c r="D330" s="74"/>
      <c r="E330" s="74"/>
      <c r="F330" s="74"/>
      <c r="G330" s="75"/>
      <c r="H330" s="75"/>
      <c r="I330" s="76"/>
      <c r="J330" s="77"/>
      <c r="K330" s="76"/>
      <c r="L330" s="76"/>
      <c r="M330" s="74"/>
      <c r="N330" s="74"/>
      <c r="O330" s="78"/>
      <c r="P330" s="78"/>
      <c r="Q330" s="78"/>
      <c r="R330" s="78"/>
      <c r="S330" s="79"/>
      <c r="T330" s="79"/>
      <c r="U330" s="79"/>
      <c r="V330" s="79"/>
      <c r="W330" s="79"/>
      <c r="X330" s="79"/>
      <c r="Y330" s="79"/>
      <c r="Z330" s="79"/>
      <c r="AA330" s="79"/>
    </row>
    <row r="331" spans="1:27" x14ac:dyDescent="0.2">
      <c r="A331" s="73"/>
      <c r="B331" s="74"/>
      <c r="C331" s="74"/>
      <c r="D331" s="74"/>
      <c r="E331" s="74"/>
      <c r="F331" s="74"/>
      <c r="G331" s="75"/>
      <c r="H331" s="75"/>
      <c r="I331" s="76"/>
      <c r="J331" s="77"/>
      <c r="K331" s="76"/>
      <c r="L331" s="76"/>
      <c r="M331" s="74"/>
      <c r="N331" s="74"/>
      <c r="O331" s="78"/>
      <c r="P331" s="78"/>
      <c r="Q331" s="78"/>
      <c r="R331" s="78"/>
      <c r="S331" s="79"/>
      <c r="T331" s="79"/>
      <c r="U331" s="79"/>
      <c r="V331" s="79"/>
      <c r="W331" s="79"/>
      <c r="X331" s="79"/>
      <c r="Y331" s="79"/>
      <c r="Z331" s="79"/>
      <c r="AA331" s="79"/>
    </row>
    <row r="332" spans="1:27" x14ac:dyDescent="0.2">
      <c r="A332" s="73"/>
      <c r="B332" s="74"/>
      <c r="C332" s="74"/>
      <c r="D332" s="74"/>
      <c r="E332" s="74"/>
      <c r="F332" s="74"/>
      <c r="G332" s="75"/>
      <c r="H332" s="75"/>
      <c r="I332" s="76"/>
      <c r="J332" s="77"/>
      <c r="K332" s="76"/>
      <c r="L332" s="76"/>
      <c r="M332" s="74"/>
      <c r="N332" s="74"/>
      <c r="O332" s="78"/>
      <c r="P332" s="78"/>
      <c r="Q332" s="78"/>
      <c r="R332" s="78"/>
      <c r="S332" s="79"/>
      <c r="T332" s="79"/>
      <c r="U332" s="79"/>
      <c r="V332" s="79"/>
      <c r="W332" s="79"/>
      <c r="X332" s="79"/>
      <c r="Y332" s="79"/>
      <c r="Z332" s="79"/>
      <c r="AA332" s="79"/>
    </row>
    <row r="333" spans="1:27" x14ac:dyDescent="0.2">
      <c r="A333" s="73"/>
      <c r="B333" s="74"/>
      <c r="C333" s="74"/>
      <c r="D333" s="74"/>
      <c r="E333" s="74"/>
      <c r="F333" s="74"/>
      <c r="G333" s="75"/>
      <c r="H333" s="75"/>
      <c r="I333" s="76"/>
      <c r="J333" s="77"/>
      <c r="K333" s="76"/>
      <c r="L333" s="76"/>
      <c r="M333" s="74"/>
      <c r="N333" s="74"/>
      <c r="O333" s="78"/>
      <c r="P333" s="78"/>
      <c r="Q333" s="78"/>
      <c r="R333" s="78"/>
      <c r="S333" s="79"/>
      <c r="T333" s="79"/>
      <c r="U333" s="79"/>
      <c r="V333" s="79"/>
      <c r="W333" s="79"/>
      <c r="X333" s="79"/>
      <c r="Y333" s="79"/>
      <c r="Z333" s="79"/>
      <c r="AA333" s="79"/>
    </row>
    <row r="334" spans="1:27" x14ac:dyDescent="0.2">
      <c r="A334" s="73"/>
      <c r="B334" s="74"/>
      <c r="C334" s="74"/>
      <c r="D334" s="74"/>
      <c r="E334" s="74"/>
      <c r="F334" s="74"/>
      <c r="G334" s="75"/>
      <c r="H334" s="75"/>
      <c r="I334" s="76"/>
      <c r="J334" s="77"/>
      <c r="K334" s="76"/>
      <c r="L334" s="76"/>
      <c r="M334" s="74"/>
      <c r="N334" s="74"/>
      <c r="O334" s="78"/>
      <c r="P334" s="78"/>
      <c r="Q334" s="78"/>
      <c r="R334" s="78"/>
      <c r="S334" s="79"/>
      <c r="T334" s="79"/>
      <c r="U334" s="79"/>
      <c r="V334" s="79"/>
      <c r="W334" s="79"/>
      <c r="X334" s="79"/>
      <c r="Y334" s="79"/>
      <c r="Z334" s="79"/>
      <c r="AA334" s="79"/>
    </row>
    <row r="335" spans="1:27" x14ac:dyDescent="0.2">
      <c r="A335" s="73"/>
      <c r="B335" s="74"/>
      <c r="C335" s="74"/>
      <c r="D335" s="74"/>
      <c r="E335" s="74"/>
      <c r="F335" s="74"/>
      <c r="G335" s="75"/>
      <c r="H335" s="75"/>
      <c r="I335" s="76"/>
      <c r="J335" s="77"/>
      <c r="K335" s="76"/>
      <c r="L335" s="76"/>
      <c r="M335" s="74"/>
      <c r="N335" s="74"/>
      <c r="O335" s="78"/>
      <c r="P335" s="78"/>
      <c r="Q335" s="78"/>
      <c r="R335" s="78"/>
      <c r="S335" s="79"/>
      <c r="T335" s="79"/>
      <c r="U335" s="79"/>
      <c r="V335" s="79"/>
      <c r="W335" s="79"/>
      <c r="X335" s="79"/>
      <c r="Y335" s="79"/>
      <c r="Z335" s="79"/>
      <c r="AA335" s="79"/>
    </row>
    <row r="336" spans="1:27" x14ac:dyDescent="0.2">
      <c r="A336" s="73"/>
      <c r="B336" s="74"/>
      <c r="C336" s="74"/>
      <c r="D336" s="74"/>
      <c r="E336" s="74"/>
      <c r="F336" s="74"/>
      <c r="G336" s="75"/>
      <c r="H336" s="75"/>
      <c r="I336" s="76"/>
      <c r="J336" s="77"/>
      <c r="K336" s="76"/>
      <c r="L336" s="76"/>
      <c r="M336" s="74"/>
      <c r="N336" s="74"/>
      <c r="O336" s="78"/>
      <c r="P336" s="78"/>
      <c r="Q336" s="78"/>
      <c r="R336" s="78"/>
      <c r="S336" s="79"/>
      <c r="T336" s="79"/>
      <c r="U336" s="79"/>
      <c r="V336" s="79"/>
      <c r="W336" s="79"/>
      <c r="X336" s="79"/>
      <c r="Y336" s="79"/>
      <c r="Z336" s="79"/>
      <c r="AA336" s="79"/>
    </row>
    <row r="337" spans="1:27" x14ac:dyDescent="0.2">
      <c r="A337" s="73"/>
      <c r="B337" s="74"/>
      <c r="C337" s="74"/>
      <c r="D337" s="74"/>
      <c r="E337" s="74"/>
      <c r="F337" s="74"/>
      <c r="G337" s="75"/>
      <c r="H337" s="75"/>
      <c r="I337" s="76"/>
      <c r="J337" s="77"/>
      <c r="K337" s="76"/>
      <c r="L337" s="76"/>
      <c r="M337" s="74"/>
      <c r="N337" s="74"/>
      <c r="O337" s="78"/>
      <c r="P337" s="78"/>
      <c r="Q337" s="78"/>
      <c r="R337" s="78"/>
      <c r="S337" s="79"/>
      <c r="T337" s="79"/>
      <c r="U337" s="79"/>
      <c r="V337" s="79"/>
      <c r="W337" s="79"/>
      <c r="X337" s="79"/>
      <c r="Y337" s="79"/>
      <c r="Z337" s="79"/>
      <c r="AA337" s="79"/>
    </row>
    <row r="338" spans="1:27" x14ac:dyDescent="0.2">
      <c r="A338" s="73"/>
      <c r="B338" s="74"/>
      <c r="C338" s="74"/>
      <c r="D338" s="74"/>
      <c r="E338" s="74"/>
      <c r="F338" s="74"/>
      <c r="G338" s="75"/>
      <c r="H338" s="75"/>
      <c r="I338" s="76"/>
      <c r="J338" s="77"/>
      <c r="K338" s="76"/>
      <c r="L338" s="76"/>
      <c r="M338" s="74"/>
      <c r="N338" s="74"/>
      <c r="O338" s="78"/>
      <c r="P338" s="78"/>
      <c r="Q338" s="78"/>
      <c r="R338" s="78"/>
      <c r="S338" s="79"/>
      <c r="T338" s="79"/>
      <c r="U338" s="79"/>
      <c r="V338" s="79"/>
      <c r="W338" s="79"/>
      <c r="X338" s="79"/>
      <c r="Y338" s="79"/>
      <c r="Z338" s="79"/>
      <c r="AA338" s="79"/>
    </row>
    <row r="339" spans="1:27" x14ac:dyDescent="0.2">
      <c r="A339" s="73"/>
      <c r="B339" s="74"/>
      <c r="C339" s="74"/>
      <c r="D339" s="74"/>
      <c r="E339" s="74"/>
      <c r="F339" s="74"/>
      <c r="G339" s="75"/>
      <c r="H339" s="75"/>
      <c r="I339" s="76"/>
      <c r="J339" s="77"/>
      <c r="K339" s="76"/>
      <c r="L339" s="76"/>
      <c r="M339" s="74"/>
      <c r="N339" s="74"/>
      <c r="O339" s="78"/>
      <c r="P339" s="78"/>
      <c r="Q339" s="78"/>
      <c r="R339" s="78"/>
      <c r="S339" s="79"/>
      <c r="T339" s="79"/>
      <c r="U339" s="79"/>
      <c r="V339" s="79"/>
      <c r="W339" s="79"/>
      <c r="X339" s="79"/>
      <c r="Y339" s="79"/>
      <c r="Z339" s="79"/>
      <c r="AA339" s="79"/>
    </row>
    <row r="340" spans="1:27" x14ac:dyDescent="0.2">
      <c r="A340" s="73"/>
      <c r="B340" s="74"/>
      <c r="C340" s="74"/>
      <c r="D340" s="74"/>
      <c r="E340" s="74"/>
      <c r="F340" s="74"/>
      <c r="G340" s="75"/>
      <c r="H340" s="75"/>
      <c r="I340" s="76"/>
      <c r="J340" s="77"/>
      <c r="K340" s="76"/>
      <c r="L340" s="76"/>
      <c r="M340" s="74"/>
      <c r="N340" s="74"/>
      <c r="O340" s="78"/>
      <c r="P340" s="78"/>
      <c r="Q340" s="78"/>
      <c r="R340" s="78"/>
      <c r="S340" s="79"/>
      <c r="T340" s="79"/>
      <c r="U340" s="79"/>
      <c r="V340" s="79"/>
      <c r="W340" s="79"/>
      <c r="X340" s="79"/>
      <c r="Y340" s="79"/>
      <c r="Z340" s="79"/>
      <c r="AA340" s="79"/>
    </row>
    <row r="341" spans="1:27" x14ac:dyDescent="0.2">
      <c r="A341" s="73"/>
      <c r="B341" s="74"/>
      <c r="C341" s="74"/>
      <c r="D341" s="74"/>
      <c r="E341" s="74"/>
      <c r="F341" s="74"/>
      <c r="G341" s="75"/>
      <c r="H341" s="75"/>
      <c r="I341" s="76"/>
      <c r="J341" s="77"/>
      <c r="K341" s="76"/>
      <c r="L341" s="76"/>
      <c r="M341" s="74"/>
      <c r="N341" s="74"/>
      <c r="O341" s="78"/>
      <c r="P341" s="78"/>
      <c r="Q341" s="78"/>
      <c r="R341" s="78"/>
      <c r="S341" s="79"/>
      <c r="T341" s="79"/>
      <c r="U341" s="79"/>
      <c r="V341" s="79"/>
      <c r="W341" s="79"/>
      <c r="X341" s="79"/>
      <c r="Y341" s="79"/>
      <c r="Z341" s="79"/>
      <c r="AA341" s="79"/>
    </row>
    <row r="342" spans="1:27" x14ac:dyDescent="0.2">
      <c r="A342" s="73"/>
      <c r="B342" s="74"/>
      <c r="C342" s="74"/>
      <c r="D342" s="74"/>
      <c r="E342" s="74"/>
      <c r="F342" s="74"/>
      <c r="G342" s="75"/>
      <c r="H342" s="75"/>
      <c r="I342" s="76"/>
      <c r="J342" s="77"/>
      <c r="K342" s="76"/>
      <c r="L342" s="76"/>
      <c r="M342" s="74"/>
      <c r="N342" s="74"/>
      <c r="O342" s="78"/>
      <c r="P342" s="78"/>
      <c r="Q342" s="78"/>
      <c r="R342" s="78"/>
      <c r="S342" s="79"/>
      <c r="T342" s="79"/>
      <c r="U342" s="79"/>
      <c r="V342" s="79"/>
      <c r="W342" s="79"/>
      <c r="X342" s="79"/>
      <c r="Y342" s="79"/>
      <c r="Z342" s="79"/>
      <c r="AA342" s="79"/>
    </row>
    <row r="343" spans="1:27" x14ac:dyDescent="0.2">
      <c r="A343" s="73"/>
      <c r="B343" s="74"/>
      <c r="C343" s="74"/>
      <c r="D343" s="74"/>
      <c r="E343" s="74"/>
      <c r="F343" s="74"/>
      <c r="G343" s="75"/>
      <c r="H343" s="75"/>
      <c r="I343" s="76"/>
      <c r="J343" s="77"/>
      <c r="K343" s="76"/>
      <c r="L343" s="76"/>
      <c r="M343" s="74"/>
      <c r="N343" s="74"/>
      <c r="O343" s="78"/>
      <c r="P343" s="78"/>
      <c r="Q343" s="78"/>
      <c r="R343" s="78"/>
      <c r="S343" s="79"/>
      <c r="T343" s="79"/>
      <c r="U343" s="79"/>
      <c r="V343" s="79"/>
      <c r="W343" s="79"/>
      <c r="X343" s="79"/>
      <c r="Y343" s="79"/>
      <c r="Z343" s="79"/>
      <c r="AA343" s="79"/>
    </row>
    <row r="344" spans="1:27" x14ac:dyDescent="0.2">
      <c r="A344" s="73"/>
      <c r="B344" s="74"/>
      <c r="C344" s="74"/>
      <c r="D344" s="74"/>
      <c r="E344" s="74"/>
      <c r="F344" s="74"/>
      <c r="G344" s="75"/>
      <c r="H344" s="75"/>
      <c r="I344" s="76"/>
      <c r="J344" s="77"/>
      <c r="K344" s="76"/>
      <c r="L344" s="76"/>
      <c r="M344" s="74"/>
      <c r="N344" s="74"/>
      <c r="O344" s="78"/>
      <c r="P344" s="78"/>
      <c r="Q344" s="78"/>
      <c r="R344" s="78"/>
      <c r="S344" s="79"/>
      <c r="T344" s="79"/>
      <c r="U344" s="79"/>
      <c r="V344" s="79"/>
      <c r="W344" s="79"/>
      <c r="X344" s="79"/>
      <c r="Y344" s="79"/>
      <c r="Z344" s="79"/>
      <c r="AA344" s="79"/>
    </row>
    <row r="345" spans="1:27" x14ac:dyDescent="0.2">
      <c r="A345" s="73"/>
      <c r="B345" s="74"/>
      <c r="C345" s="74"/>
      <c r="D345" s="74"/>
      <c r="E345" s="74"/>
      <c r="F345" s="74"/>
      <c r="G345" s="75"/>
      <c r="H345" s="75"/>
      <c r="I345" s="76"/>
      <c r="J345" s="77"/>
      <c r="K345" s="76"/>
      <c r="L345" s="76"/>
      <c r="M345" s="74"/>
      <c r="N345" s="74"/>
      <c r="O345" s="78"/>
      <c r="P345" s="78"/>
      <c r="Q345" s="78"/>
      <c r="R345" s="78"/>
      <c r="S345" s="79"/>
      <c r="T345" s="79"/>
      <c r="U345" s="79"/>
      <c r="V345" s="79"/>
      <c r="W345" s="79"/>
      <c r="X345" s="79"/>
      <c r="Y345" s="79"/>
      <c r="Z345" s="79"/>
      <c r="AA345" s="79"/>
    </row>
    <row r="346" spans="1:27" x14ac:dyDescent="0.2">
      <c r="A346" s="73"/>
      <c r="B346" s="74"/>
      <c r="C346" s="74"/>
      <c r="D346" s="74"/>
      <c r="E346" s="74"/>
      <c r="F346" s="74"/>
      <c r="G346" s="75"/>
      <c r="H346" s="75"/>
      <c r="I346" s="76"/>
      <c r="J346" s="77"/>
      <c r="K346" s="76"/>
      <c r="L346" s="76"/>
      <c r="M346" s="74"/>
      <c r="N346" s="74"/>
      <c r="O346" s="78"/>
      <c r="P346" s="78"/>
      <c r="Q346" s="78"/>
      <c r="R346" s="78"/>
      <c r="S346" s="79"/>
      <c r="T346" s="79"/>
      <c r="U346" s="79"/>
      <c r="V346" s="79"/>
      <c r="W346" s="79"/>
      <c r="X346" s="79"/>
      <c r="Y346" s="79"/>
      <c r="Z346" s="79"/>
      <c r="AA346" s="79"/>
    </row>
    <row r="347" spans="1:27" x14ac:dyDescent="0.2">
      <c r="A347" s="73"/>
      <c r="B347" s="74"/>
      <c r="C347" s="74"/>
      <c r="D347" s="74"/>
      <c r="E347" s="74"/>
      <c r="F347" s="74"/>
      <c r="G347" s="75"/>
      <c r="H347" s="75"/>
      <c r="I347" s="76"/>
      <c r="J347" s="77"/>
      <c r="K347" s="76"/>
      <c r="L347" s="76"/>
      <c r="M347" s="74"/>
      <c r="N347" s="74"/>
      <c r="O347" s="78"/>
      <c r="P347" s="78"/>
      <c r="Q347" s="78"/>
      <c r="R347" s="78"/>
      <c r="S347" s="79"/>
      <c r="T347" s="79"/>
      <c r="U347" s="79"/>
      <c r="V347" s="79"/>
      <c r="W347" s="79"/>
      <c r="X347" s="79"/>
      <c r="Y347" s="79"/>
      <c r="Z347" s="79"/>
      <c r="AA347" s="79"/>
    </row>
    <row r="348" spans="1:27" x14ac:dyDescent="0.2">
      <c r="A348" s="73"/>
      <c r="B348" s="74"/>
      <c r="C348" s="74"/>
      <c r="D348" s="74"/>
      <c r="E348" s="74"/>
      <c r="F348" s="74"/>
      <c r="G348" s="75"/>
      <c r="H348" s="75"/>
      <c r="I348" s="76"/>
      <c r="J348" s="77"/>
      <c r="K348" s="76"/>
      <c r="L348" s="76"/>
      <c r="M348" s="74"/>
      <c r="N348" s="74"/>
      <c r="O348" s="78"/>
      <c r="P348" s="78"/>
      <c r="Q348" s="78"/>
      <c r="R348" s="78"/>
      <c r="S348" s="79"/>
      <c r="T348" s="79"/>
      <c r="U348" s="79"/>
      <c r="V348" s="79"/>
      <c r="W348" s="79"/>
      <c r="X348" s="79"/>
      <c r="Y348" s="79"/>
      <c r="Z348" s="79"/>
      <c r="AA348" s="79"/>
    </row>
    <row r="349" spans="1:27" x14ac:dyDescent="0.2">
      <c r="A349" s="73"/>
      <c r="B349" s="74"/>
      <c r="C349" s="74"/>
      <c r="D349" s="74"/>
      <c r="E349" s="74"/>
      <c r="F349" s="74"/>
      <c r="G349" s="75"/>
      <c r="H349" s="75"/>
      <c r="I349" s="76"/>
      <c r="J349" s="77"/>
      <c r="K349" s="76"/>
      <c r="L349" s="76"/>
      <c r="M349" s="74"/>
      <c r="N349" s="74"/>
      <c r="O349" s="78"/>
      <c r="P349" s="78"/>
      <c r="Q349" s="78"/>
      <c r="R349" s="78"/>
      <c r="S349" s="79"/>
      <c r="T349" s="79"/>
      <c r="U349" s="79"/>
      <c r="V349" s="79"/>
      <c r="W349" s="79"/>
      <c r="X349" s="79"/>
      <c r="Y349" s="79"/>
      <c r="Z349" s="79"/>
      <c r="AA349" s="79"/>
    </row>
    <row r="350" spans="1:27" x14ac:dyDescent="0.2">
      <c r="A350" s="73"/>
      <c r="B350" s="74"/>
      <c r="C350" s="74"/>
      <c r="D350" s="74"/>
      <c r="E350" s="74"/>
      <c r="F350" s="74"/>
      <c r="G350" s="75"/>
      <c r="H350" s="75"/>
      <c r="I350" s="76"/>
      <c r="J350" s="77"/>
      <c r="K350" s="76"/>
      <c r="L350" s="76"/>
      <c r="M350" s="74"/>
      <c r="N350" s="74"/>
      <c r="O350" s="78"/>
      <c r="P350" s="78"/>
      <c r="Q350" s="78"/>
      <c r="R350" s="78"/>
      <c r="S350" s="79"/>
      <c r="T350" s="79"/>
      <c r="U350" s="79"/>
      <c r="V350" s="79"/>
      <c r="W350" s="79"/>
      <c r="X350" s="79"/>
      <c r="Y350" s="79"/>
      <c r="Z350" s="79"/>
      <c r="AA350" s="79"/>
    </row>
    <row r="351" spans="1:27" x14ac:dyDescent="0.2">
      <c r="A351" s="73"/>
      <c r="B351" s="74"/>
      <c r="C351" s="74"/>
      <c r="D351" s="74"/>
      <c r="E351" s="74"/>
      <c r="F351" s="74"/>
      <c r="G351" s="75"/>
      <c r="H351" s="75"/>
      <c r="I351" s="76"/>
      <c r="J351" s="77"/>
      <c r="K351" s="76"/>
      <c r="L351" s="76"/>
      <c r="M351" s="74"/>
      <c r="N351" s="74"/>
      <c r="O351" s="78"/>
      <c r="P351" s="78"/>
      <c r="Q351" s="78"/>
      <c r="R351" s="78"/>
      <c r="S351" s="79"/>
      <c r="T351" s="79"/>
      <c r="U351" s="79"/>
      <c r="V351" s="79"/>
      <c r="W351" s="79"/>
      <c r="X351" s="79"/>
      <c r="Y351" s="79"/>
      <c r="Z351" s="79"/>
      <c r="AA351" s="79"/>
    </row>
    <row r="352" spans="1:27" x14ac:dyDescent="0.2">
      <c r="A352" s="73"/>
      <c r="B352" s="74"/>
      <c r="C352" s="74"/>
      <c r="D352" s="74"/>
      <c r="E352" s="74"/>
      <c r="F352" s="74"/>
      <c r="G352" s="75"/>
      <c r="H352" s="75"/>
      <c r="I352" s="76"/>
      <c r="J352" s="77"/>
      <c r="K352" s="76"/>
      <c r="L352" s="76"/>
      <c r="M352" s="74"/>
      <c r="N352" s="74"/>
      <c r="O352" s="78"/>
      <c r="P352" s="78"/>
      <c r="Q352" s="78"/>
      <c r="R352" s="78"/>
      <c r="S352" s="79"/>
      <c r="T352" s="79"/>
      <c r="U352" s="79"/>
      <c r="V352" s="79"/>
      <c r="W352" s="79"/>
      <c r="X352" s="79"/>
      <c r="Y352" s="79"/>
      <c r="Z352" s="79"/>
      <c r="AA352" s="79"/>
    </row>
    <row r="353" spans="1:27" x14ac:dyDescent="0.2">
      <c r="A353" s="73"/>
      <c r="B353" s="74"/>
      <c r="C353" s="74"/>
      <c r="D353" s="74"/>
      <c r="E353" s="74"/>
      <c r="F353" s="74"/>
      <c r="G353" s="75"/>
      <c r="H353" s="75"/>
      <c r="I353" s="76"/>
      <c r="J353" s="77"/>
      <c r="K353" s="76"/>
      <c r="L353" s="76"/>
      <c r="M353" s="74"/>
      <c r="N353" s="74"/>
      <c r="O353" s="78"/>
      <c r="P353" s="78"/>
      <c r="Q353" s="78"/>
      <c r="R353" s="78"/>
      <c r="S353" s="79"/>
      <c r="T353" s="79"/>
      <c r="U353" s="79"/>
      <c r="V353" s="79"/>
      <c r="W353" s="79"/>
      <c r="X353" s="79"/>
      <c r="Y353" s="79"/>
      <c r="Z353" s="79"/>
      <c r="AA353" s="79"/>
    </row>
    <row r="354" spans="1:27" x14ac:dyDescent="0.2">
      <c r="A354" s="73"/>
      <c r="B354" s="74"/>
      <c r="C354" s="74"/>
      <c r="D354" s="74"/>
      <c r="E354" s="74"/>
      <c r="F354" s="74"/>
      <c r="G354" s="75"/>
      <c r="H354" s="75"/>
      <c r="I354" s="76"/>
      <c r="J354" s="77"/>
      <c r="K354" s="76"/>
      <c r="L354" s="76"/>
      <c r="M354" s="74"/>
      <c r="N354" s="74"/>
      <c r="O354" s="78"/>
      <c r="P354" s="78"/>
      <c r="Q354" s="78"/>
      <c r="R354" s="78"/>
      <c r="S354" s="79"/>
      <c r="T354" s="79"/>
      <c r="U354" s="79"/>
      <c r="V354" s="79"/>
      <c r="W354" s="79"/>
      <c r="X354" s="79"/>
      <c r="Y354" s="79"/>
      <c r="Z354" s="79"/>
      <c r="AA354" s="79"/>
    </row>
    <row r="355" spans="1:27" x14ac:dyDescent="0.2">
      <c r="A355" s="73"/>
      <c r="B355" s="74"/>
      <c r="C355" s="74"/>
      <c r="D355" s="74"/>
      <c r="E355" s="74"/>
      <c r="F355" s="74"/>
      <c r="G355" s="75"/>
      <c r="H355" s="75"/>
      <c r="I355" s="76"/>
      <c r="J355" s="77"/>
      <c r="K355" s="76"/>
      <c r="L355" s="76"/>
      <c r="M355" s="74"/>
      <c r="N355" s="74"/>
      <c r="O355" s="78"/>
      <c r="P355" s="78"/>
      <c r="Q355" s="78"/>
      <c r="R355" s="78"/>
      <c r="S355" s="79"/>
      <c r="T355" s="79"/>
      <c r="U355" s="79"/>
      <c r="V355" s="79"/>
      <c r="W355" s="79"/>
      <c r="X355" s="79"/>
      <c r="Y355" s="79"/>
      <c r="Z355" s="79"/>
      <c r="AA355" s="79"/>
    </row>
    <row r="356" spans="1:27" x14ac:dyDescent="0.2">
      <c r="A356" s="73"/>
      <c r="B356" s="74"/>
      <c r="C356" s="74"/>
      <c r="D356" s="74"/>
      <c r="E356" s="74"/>
      <c r="F356" s="74"/>
      <c r="G356" s="75"/>
      <c r="H356" s="75"/>
      <c r="I356" s="76"/>
      <c r="J356" s="77"/>
      <c r="K356" s="76"/>
      <c r="L356" s="76"/>
      <c r="M356" s="74"/>
      <c r="N356" s="74"/>
      <c r="O356" s="78"/>
      <c r="P356" s="78"/>
      <c r="Q356" s="78"/>
      <c r="R356" s="78"/>
      <c r="S356" s="79"/>
      <c r="T356" s="79"/>
      <c r="U356" s="79"/>
      <c r="V356" s="79"/>
      <c r="W356" s="79"/>
      <c r="X356" s="79"/>
      <c r="Y356" s="79"/>
      <c r="Z356" s="79"/>
      <c r="AA356" s="79"/>
    </row>
    <row r="357" spans="1:27" x14ac:dyDescent="0.2">
      <c r="A357" s="73"/>
      <c r="B357" s="74"/>
      <c r="C357" s="74"/>
      <c r="D357" s="74"/>
      <c r="E357" s="74"/>
      <c r="F357" s="74"/>
      <c r="G357" s="75"/>
      <c r="H357" s="75"/>
      <c r="I357" s="76"/>
      <c r="J357" s="77"/>
      <c r="K357" s="76"/>
      <c r="L357" s="76"/>
      <c r="M357" s="74"/>
      <c r="N357" s="74"/>
      <c r="O357" s="78"/>
      <c r="P357" s="78"/>
      <c r="Q357" s="78"/>
      <c r="R357" s="78"/>
      <c r="S357" s="79"/>
      <c r="T357" s="79"/>
      <c r="U357" s="79"/>
      <c r="V357" s="79"/>
      <c r="W357" s="79"/>
      <c r="X357" s="79"/>
      <c r="Y357" s="79"/>
      <c r="Z357" s="79"/>
      <c r="AA357" s="79"/>
    </row>
    <row r="358" spans="1:27" x14ac:dyDescent="0.2">
      <c r="A358" s="73"/>
      <c r="B358" s="74"/>
      <c r="C358" s="74"/>
      <c r="D358" s="74"/>
      <c r="E358" s="74"/>
      <c r="F358" s="74"/>
      <c r="G358" s="75"/>
      <c r="H358" s="75"/>
      <c r="I358" s="76"/>
      <c r="J358" s="77"/>
      <c r="K358" s="76"/>
      <c r="L358" s="76"/>
      <c r="M358" s="74"/>
      <c r="N358" s="74"/>
      <c r="O358" s="78"/>
      <c r="P358" s="78"/>
      <c r="Q358" s="78"/>
      <c r="R358" s="78"/>
      <c r="S358" s="79"/>
      <c r="T358" s="79"/>
      <c r="U358" s="79"/>
      <c r="V358" s="79"/>
      <c r="W358" s="79"/>
      <c r="X358" s="79"/>
      <c r="Y358" s="79"/>
      <c r="Z358" s="79"/>
      <c r="AA358" s="79"/>
    </row>
    <row r="359" spans="1:27" x14ac:dyDescent="0.2">
      <c r="A359" s="73"/>
      <c r="B359" s="74"/>
      <c r="C359" s="74"/>
      <c r="D359" s="74"/>
      <c r="E359" s="74"/>
      <c r="F359" s="74"/>
      <c r="G359" s="75"/>
      <c r="H359" s="75"/>
      <c r="I359" s="76"/>
      <c r="J359" s="77"/>
      <c r="K359" s="76"/>
      <c r="L359" s="76"/>
      <c r="M359" s="74"/>
      <c r="N359" s="74"/>
      <c r="O359" s="78"/>
      <c r="P359" s="78"/>
      <c r="Q359" s="78"/>
      <c r="R359" s="78"/>
      <c r="S359" s="79"/>
      <c r="T359" s="79"/>
      <c r="U359" s="79"/>
      <c r="V359" s="79"/>
      <c r="W359" s="79"/>
      <c r="X359" s="79"/>
      <c r="Y359" s="79"/>
      <c r="Z359" s="79"/>
      <c r="AA359" s="79"/>
    </row>
    <row r="360" spans="1:27" x14ac:dyDescent="0.2">
      <c r="A360" s="73"/>
      <c r="B360" s="74"/>
      <c r="C360" s="74"/>
      <c r="D360" s="74"/>
      <c r="E360" s="74"/>
      <c r="F360" s="74"/>
      <c r="G360" s="75"/>
      <c r="H360" s="75"/>
      <c r="I360" s="76"/>
      <c r="J360" s="77"/>
      <c r="K360" s="76"/>
      <c r="L360" s="76"/>
      <c r="M360" s="74"/>
      <c r="N360" s="74"/>
      <c r="O360" s="78"/>
      <c r="P360" s="78"/>
      <c r="Q360" s="78"/>
      <c r="R360" s="78"/>
      <c r="S360" s="79"/>
      <c r="T360" s="79"/>
      <c r="U360" s="79"/>
      <c r="V360" s="79"/>
      <c r="W360" s="79"/>
      <c r="X360" s="79"/>
      <c r="Y360" s="79"/>
      <c r="Z360" s="79"/>
      <c r="AA360" s="79"/>
    </row>
    <row r="361" spans="1:27" x14ac:dyDescent="0.2">
      <c r="A361" s="73"/>
      <c r="B361" s="74"/>
      <c r="C361" s="74"/>
      <c r="D361" s="74"/>
      <c r="E361" s="74"/>
      <c r="F361" s="74"/>
      <c r="G361" s="75"/>
      <c r="H361" s="75"/>
      <c r="I361" s="76"/>
      <c r="J361" s="77"/>
      <c r="K361" s="76"/>
      <c r="L361" s="76"/>
      <c r="M361" s="74"/>
      <c r="N361" s="74"/>
      <c r="O361" s="78"/>
      <c r="P361" s="78"/>
      <c r="Q361" s="78"/>
      <c r="R361" s="78"/>
      <c r="S361" s="79"/>
      <c r="T361" s="79"/>
      <c r="U361" s="79"/>
      <c r="V361" s="79"/>
      <c r="W361" s="79"/>
      <c r="X361" s="79"/>
      <c r="Y361" s="79"/>
      <c r="Z361" s="79"/>
      <c r="AA361" s="79"/>
    </row>
    <row r="362" spans="1:27" x14ac:dyDescent="0.2">
      <c r="A362" s="73"/>
      <c r="B362" s="74"/>
      <c r="C362" s="74"/>
      <c r="D362" s="74"/>
      <c r="E362" s="74"/>
      <c r="F362" s="74"/>
      <c r="G362" s="75"/>
      <c r="H362" s="75"/>
      <c r="I362" s="76"/>
      <c r="J362" s="77"/>
      <c r="K362" s="76"/>
      <c r="L362" s="76"/>
      <c r="M362" s="74"/>
      <c r="N362" s="74"/>
      <c r="O362" s="78"/>
      <c r="P362" s="78"/>
      <c r="Q362" s="78"/>
      <c r="R362" s="78"/>
      <c r="S362" s="79"/>
      <c r="T362" s="79"/>
      <c r="U362" s="79"/>
      <c r="V362" s="79"/>
      <c r="W362" s="79"/>
      <c r="X362" s="79"/>
      <c r="Y362" s="79"/>
      <c r="Z362" s="79"/>
      <c r="AA362" s="79"/>
    </row>
    <row r="363" spans="1:27" x14ac:dyDescent="0.2">
      <c r="A363" s="73"/>
      <c r="B363" s="74"/>
      <c r="C363" s="74"/>
      <c r="D363" s="74"/>
      <c r="E363" s="74"/>
      <c r="F363" s="74"/>
      <c r="G363" s="75"/>
      <c r="H363" s="75"/>
      <c r="I363" s="76"/>
      <c r="J363" s="77"/>
      <c r="K363" s="76"/>
      <c r="L363" s="76"/>
      <c r="M363" s="74"/>
      <c r="N363" s="74"/>
      <c r="O363" s="78"/>
      <c r="P363" s="78"/>
      <c r="Q363" s="78"/>
      <c r="R363" s="78"/>
      <c r="S363" s="79"/>
      <c r="T363" s="79"/>
      <c r="U363" s="79"/>
      <c r="V363" s="79"/>
      <c r="W363" s="79"/>
      <c r="X363" s="79"/>
      <c r="Y363" s="79"/>
      <c r="Z363" s="79"/>
      <c r="AA363" s="79"/>
    </row>
    <row r="364" spans="1:27" x14ac:dyDescent="0.2">
      <c r="A364" s="73"/>
      <c r="B364" s="74"/>
      <c r="C364" s="74"/>
      <c r="D364" s="74"/>
      <c r="E364" s="74"/>
      <c r="F364" s="74"/>
      <c r="G364" s="75"/>
      <c r="H364" s="75"/>
      <c r="I364" s="76"/>
      <c r="J364" s="77"/>
      <c r="K364" s="76"/>
      <c r="L364" s="76"/>
      <c r="M364" s="74"/>
      <c r="N364" s="74"/>
      <c r="O364" s="78"/>
      <c r="P364" s="78"/>
      <c r="Q364" s="78"/>
      <c r="R364" s="78"/>
      <c r="S364" s="79"/>
      <c r="T364" s="79"/>
      <c r="U364" s="79"/>
      <c r="V364" s="79"/>
      <c r="W364" s="79"/>
      <c r="X364" s="79"/>
      <c r="Y364" s="79"/>
      <c r="Z364" s="79"/>
      <c r="AA364" s="79"/>
    </row>
    <row r="365" spans="1:27" x14ac:dyDescent="0.2">
      <c r="A365" s="73"/>
      <c r="B365" s="74"/>
      <c r="C365" s="74"/>
      <c r="D365" s="74"/>
      <c r="E365" s="74"/>
      <c r="F365" s="74"/>
      <c r="G365" s="75"/>
      <c r="H365" s="75"/>
      <c r="I365" s="76"/>
      <c r="J365" s="77"/>
      <c r="K365" s="76"/>
      <c r="L365" s="76"/>
      <c r="M365" s="74"/>
      <c r="N365" s="74"/>
      <c r="O365" s="78"/>
      <c r="P365" s="78"/>
      <c r="Q365" s="78"/>
      <c r="R365" s="78"/>
      <c r="S365" s="79"/>
      <c r="T365" s="79"/>
      <c r="U365" s="79"/>
      <c r="V365" s="79"/>
      <c r="W365" s="79"/>
      <c r="X365" s="79"/>
      <c r="Y365" s="79"/>
      <c r="Z365" s="79"/>
      <c r="AA365" s="79"/>
    </row>
    <row r="366" spans="1:27" x14ac:dyDescent="0.2">
      <c r="A366" s="73"/>
      <c r="B366" s="74"/>
      <c r="C366" s="74"/>
      <c r="D366" s="74"/>
      <c r="E366" s="74"/>
      <c r="F366" s="74"/>
      <c r="G366" s="75"/>
      <c r="H366" s="75"/>
      <c r="I366" s="76"/>
      <c r="J366" s="77"/>
      <c r="K366" s="76"/>
      <c r="L366" s="76"/>
      <c r="M366" s="74"/>
      <c r="N366" s="74"/>
      <c r="O366" s="78"/>
      <c r="P366" s="78"/>
      <c r="Q366" s="78"/>
      <c r="R366" s="78"/>
      <c r="S366" s="79"/>
      <c r="T366" s="79"/>
      <c r="U366" s="79"/>
      <c r="V366" s="79"/>
      <c r="W366" s="79"/>
      <c r="X366" s="79"/>
      <c r="Y366" s="79"/>
      <c r="Z366" s="79"/>
      <c r="AA366" s="79"/>
    </row>
    <row r="367" spans="1:27" x14ac:dyDescent="0.2">
      <c r="A367" s="73"/>
      <c r="B367" s="74"/>
      <c r="C367" s="74"/>
      <c r="D367" s="74"/>
      <c r="E367" s="74"/>
      <c r="F367" s="74"/>
      <c r="G367" s="75"/>
      <c r="H367" s="75"/>
      <c r="I367" s="76"/>
      <c r="J367" s="77"/>
      <c r="K367" s="76"/>
      <c r="L367" s="76"/>
      <c r="M367" s="74"/>
      <c r="N367" s="74"/>
      <c r="O367" s="78"/>
      <c r="P367" s="78"/>
      <c r="Q367" s="78"/>
      <c r="R367" s="78"/>
      <c r="S367" s="79"/>
      <c r="T367" s="79"/>
      <c r="U367" s="79"/>
      <c r="V367" s="79"/>
      <c r="W367" s="79"/>
      <c r="X367" s="79"/>
      <c r="Y367" s="79"/>
      <c r="Z367" s="79"/>
      <c r="AA367" s="79"/>
    </row>
    <row r="368" spans="1:27" x14ac:dyDescent="0.2">
      <c r="A368" s="73"/>
      <c r="B368" s="74"/>
      <c r="C368" s="74"/>
      <c r="D368" s="74"/>
      <c r="E368" s="74"/>
      <c r="F368" s="74"/>
      <c r="G368" s="75"/>
      <c r="H368" s="75"/>
      <c r="I368" s="76"/>
      <c r="J368" s="77"/>
      <c r="K368" s="76"/>
      <c r="L368" s="76"/>
      <c r="M368" s="74"/>
      <c r="N368" s="74"/>
      <c r="O368" s="78"/>
      <c r="P368" s="78"/>
      <c r="Q368" s="78"/>
      <c r="R368" s="78"/>
      <c r="S368" s="79"/>
      <c r="T368" s="79"/>
      <c r="U368" s="79"/>
      <c r="V368" s="79"/>
      <c r="W368" s="79"/>
      <c r="X368" s="79"/>
      <c r="Y368" s="79"/>
      <c r="Z368" s="79"/>
      <c r="AA368" s="79"/>
    </row>
    <row r="369" spans="1:27" x14ac:dyDescent="0.2">
      <c r="A369" s="73"/>
      <c r="B369" s="74"/>
      <c r="C369" s="74"/>
      <c r="D369" s="74"/>
      <c r="E369" s="74"/>
      <c r="F369" s="74"/>
      <c r="G369" s="75"/>
      <c r="H369" s="75"/>
      <c r="I369" s="76"/>
      <c r="J369" s="77"/>
      <c r="K369" s="76"/>
      <c r="L369" s="76"/>
      <c r="M369" s="74"/>
      <c r="N369" s="74"/>
      <c r="O369" s="78"/>
      <c r="P369" s="78"/>
      <c r="Q369" s="78"/>
      <c r="R369" s="78"/>
      <c r="S369" s="79"/>
      <c r="T369" s="79"/>
      <c r="U369" s="79"/>
      <c r="V369" s="79"/>
      <c r="W369" s="79"/>
      <c r="X369" s="79"/>
      <c r="Y369" s="79"/>
      <c r="Z369" s="79"/>
      <c r="AA369" s="79"/>
    </row>
    <row r="370" spans="1:27" x14ac:dyDescent="0.2">
      <c r="A370" s="73"/>
      <c r="B370" s="74"/>
      <c r="C370" s="74"/>
      <c r="D370" s="74"/>
      <c r="E370" s="74"/>
      <c r="F370" s="74"/>
      <c r="G370" s="75"/>
      <c r="H370" s="75"/>
      <c r="I370" s="76"/>
      <c r="J370" s="77"/>
      <c r="K370" s="76"/>
      <c r="L370" s="76"/>
      <c r="M370" s="74"/>
      <c r="N370" s="74"/>
      <c r="O370" s="78"/>
      <c r="P370" s="78"/>
      <c r="Q370" s="78"/>
      <c r="R370" s="78"/>
      <c r="S370" s="79"/>
      <c r="T370" s="79"/>
      <c r="U370" s="79"/>
      <c r="V370" s="79"/>
      <c r="W370" s="79"/>
      <c r="X370" s="79"/>
      <c r="Y370" s="79"/>
      <c r="Z370" s="79"/>
      <c r="AA370" s="79"/>
    </row>
    <row r="371" spans="1:27" x14ac:dyDescent="0.2">
      <c r="A371" s="73"/>
      <c r="B371" s="74"/>
      <c r="C371" s="74"/>
      <c r="D371" s="74"/>
      <c r="E371" s="74"/>
      <c r="F371" s="74"/>
      <c r="G371" s="75"/>
      <c r="H371" s="75"/>
      <c r="I371" s="76"/>
      <c r="J371" s="77"/>
      <c r="K371" s="76"/>
      <c r="L371" s="76"/>
      <c r="M371" s="74"/>
      <c r="N371" s="74"/>
      <c r="O371" s="78"/>
      <c r="P371" s="78"/>
      <c r="Q371" s="78"/>
      <c r="R371" s="78"/>
      <c r="S371" s="79"/>
      <c r="T371" s="79"/>
      <c r="U371" s="79"/>
      <c r="V371" s="79"/>
      <c r="W371" s="79"/>
      <c r="X371" s="79"/>
      <c r="Y371" s="79"/>
      <c r="Z371" s="79"/>
      <c r="AA371" s="79"/>
    </row>
    <row r="372" spans="1:27" x14ac:dyDescent="0.2">
      <c r="A372" s="73"/>
      <c r="B372" s="74"/>
      <c r="C372" s="74"/>
      <c r="D372" s="74"/>
      <c r="E372" s="74"/>
      <c r="F372" s="74"/>
      <c r="G372" s="75"/>
      <c r="H372" s="75"/>
      <c r="I372" s="76"/>
      <c r="J372" s="77"/>
      <c r="K372" s="76"/>
      <c r="L372" s="76"/>
      <c r="M372" s="74"/>
      <c r="N372" s="74"/>
      <c r="O372" s="78"/>
      <c r="P372" s="78"/>
      <c r="Q372" s="78"/>
      <c r="R372" s="78"/>
      <c r="S372" s="79"/>
      <c r="T372" s="79"/>
      <c r="U372" s="79"/>
      <c r="V372" s="79"/>
      <c r="W372" s="79"/>
      <c r="X372" s="79"/>
      <c r="Y372" s="79"/>
      <c r="Z372" s="79"/>
      <c r="AA372" s="79"/>
    </row>
    <row r="373" spans="1:27" x14ac:dyDescent="0.2">
      <c r="A373" s="73"/>
      <c r="B373" s="74"/>
      <c r="C373" s="74"/>
      <c r="D373" s="74"/>
      <c r="E373" s="74"/>
      <c r="F373" s="74"/>
      <c r="G373" s="75"/>
      <c r="H373" s="75"/>
      <c r="I373" s="76"/>
      <c r="J373" s="77"/>
      <c r="K373" s="76"/>
      <c r="L373" s="76"/>
      <c r="M373" s="74"/>
      <c r="N373" s="74"/>
      <c r="O373" s="78"/>
      <c r="P373" s="78"/>
      <c r="Q373" s="78"/>
      <c r="R373" s="78"/>
      <c r="S373" s="79"/>
      <c r="T373" s="79"/>
      <c r="U373" s="79"/>
      <c r="V373" s="79"/>
      <c r="W373" s="79"/>
      <c r="X373" s="79"/>
      <c r="Y373" s="79"/>
      <c r="Z373" s="79"/>
      <c r="AA373" s="79"/>
    </row>
    <row r="374" spans="1:27" x14ac:dyDescent="0.2">
      <c r="A374" s="73"/>
      <c r="B374" s="74"/>
      <c r="C374" s="74"/>
      <c r="D374" s="74"/>
      <c r="E374" s="74"/>
      <c r="F374" s="74"/>
      <c r="G374" s="75"/>
      <c r="H374" s="75"/>
      <c r="I374" s="76"/>
      <c r="J374" s="77"/>
      <c r="K374" s="76"/>
      <c r="L374" s="76"/>
      <c r="M374" s="74"/>
      <c r="N374" s="74"/>
      <c r="O374" s="78"/>
      <c r="P374" s="78"/>
      <c r="Q374" s="78"/>
      <c r="R374" s="78"/>
      <c r="S374" s="79"/>
      <c r="T374" s="79"/>
      <c r="U374" s="79"/>
      <c r="V374" s="79"/>
      <c r="W374" s="79"/>
      <c r="X374" s="79"/>
      <c r="Y374" s="79"/>
      <c r="Z374" s="79"/>
      <c r="AA374" s="79"/>
    </row>
    <row r="375" spans="1:27" x14ac:dyDescent="0.2">
      <c r="A375" s="73"/>
      <c r="B375" s="74"/>
      <c r="C375" s="74"/>
      <c r="D375" s="74"/>
      <c r="E375" s="74"/>
      <c r="F375" s="74"/>
      <c r="G375" s="75"/>
      <c r="H375" s="75"/>
      <c r="I375" s="76"/>
      <c r="J375" s="77"/>
      <c r="K375" s="76"/>
      <c r="L375" s="76"/>
      <c r="M375" s="74"/>
      <c r="N375" s="74"/>
      <c r="O375" s="78"/>
      <c r="P375" s="78"/>
      <c r="Q375" s="78"/>
      <c r="R375" s="78"/>
      <c r="S375" s="79"/>
      <c r="T375" s="79"/>
      <c r="U375" s="79"/>
      <c r="V375" s="79"/>
      <c r="W375" s="79"/>
      <c r="X375" s="79"/>
      <c r="Y375" s="79"/>
      <c r="Z375" s="79"/>
      <c r="AA375" s="79"/>
    </row>
    <row r="376" spans="1:27" x14ac:dyDescent="0.2">
      <c r="A376" s="73"/>
      <c r="B376" s="74"/>
      <c r="C376" s="74"/>
      <c r="D376" s="74"/>
      <c r="E376" s="74"/>
      <c r="F376" s="74"/>
      <c r="G376" s="75"/>
      <c r="H376" s="75"/>
      <c r="I376" s="76"/>
      <c r="J376" s="77"/>
      <c r="K376" s="76"/>
      <c r="L376" s="76"/>
      <c r="M376" s="74"/>
      <c r="N376" s="74"/>
      <c r="O376" s="78"/>
      <c r="P376" s="78"/>
      <c r="Q376" s="78"/>
      <c r="R376" s="78"/>
      <c r="S376" s="79"/>
      <c r="T376" s="79"/>
      <c r="U376" s="79"/>
      <c r="V376" s="79"/>
      <c r="W376" s="79"/>
      <c r="X376" s="79"/>
      <c r="Y376" s="79"/>
      <c r="Z376" s="79"/>
      <c r="AA376" s="79"/>
    </row>
    <row r="377" spans="1:27" x14ac:dyDescent="0.2">
      <c r="A377" s="73"/>
      <c r="B377" s="74"/>
      <c r="C377" s="74"/>
      <c r="D377" s="74"/>
      <c r="E377" s="74"/>
      <c r="F377" s="74"/>
      <c r="G377" s="75"/>
      <c r="H377" s="75"/>
      <c r="I377" s="76"/>
      <c r="J377" s="77"/>
      <c r="K377" s="76"/>
      <c r="L377" s="76"/>
      <c r="M377" s="74"/>
      <c r="N377" s="74"/>
      <c r="O377" s="78"/>
      <c r="P377" s="78"/>
      <c r="Q377" s="78"/>
      <c r="R377" s="78"/>
      <c r="S377" s="79"/>
      <c r="T377" s="79"/>
      <c r="U377" s="79"/>
      <c r="V377" s="79"/>
      <c r="W377" s="79"/>
      <c r="X377" s="79"/>
      <c r="Y377" s="79"/>
      <c r="Z377" s="79"/>
      <c r="AA377" s="79"/>
    </row>
    <row r="378" spans="1:27" x14ac:dyDescent="0.2">
      <c r="A378" s="73"/>
      <c r="B378" s="74"/>
      <c r="C378" s="74"/>
      <c r="D378" s="74"/>
      <c r="E378" s="74"/>
      <c r="F378" s="74"/>
      <c r="G378" s="75"/>
      <c r="H378" s="75"/>
      <c r="I378" s="76"/>
      <c r="J378" s="77"/>
      <c r="K378" s="76"/>
      <c r="L378" s="76"/>
      <c r="M378" s="74"/>
      <c r="N378" s="74"/>
      <c r="O378" s="78"/>
      <c r="P378" s="78"/>
      <c r="Q378" s="78"/>
      <c r="R378" s="78"/>
      <c r="S378" s="79"/>
      <c r="T378" s="79"/>
      <c r="U378" s="79"/>
      <c r="V378" s="79"/>
      <c r="W378" s="79"/>
      <c r="X378" s="79"/>
      <c r="Y378" s="79"/>
      <c r="Z378" s="79"/>
      <c r="AA378" s="79"/>
    </row>
    <row r="379" spans="1:27" x14ac:dyDescent="0.2">
      <c r="A379" s="73"/>
      <c r="B379" s="74"/>
      <c r="C379" s="74"/>
      <c r="D379" s="74"/>
      <c r="E379" s="74"/>
      <c r="F379" s="74"/>
      <c r="G379" s="75"/>
      <c r="H379" s="75"/>
      <c r="I379" s="76"/>
      <c r="J379" s="77"/>
      <c r="K379" s="76"/>
      <c r="L379" s="76"/>
      <c r="M379" s="74"/>
      <c r="N379" s="74"/>
      <c r="O379" s="78"/>
      <c r="P379" s="78"/>
      <c r="Q379" s="78"/>
      <c r="R379" s="78"/>
      <c r="S379" s="79"/>
      <c r="T379" s="79"/>
      <c r="U379" s="79"/>
      <c r="V379" s="79"/>
      <c r="W379" s="79"/>
      <c r="X379" s="79"/>
      <c r="Y379" s="79"/>
      <c r="Z379" s="79"/>
      <c r="AA379" s="79"/>
    </row>
    <row r="380" spans="1:27" x14ac:dyDescent="0.2">
      <c r="A380" s="73"/>
      <c r="B380" s="74"/>
      <c r="C380" s="74"/>
      <c r="D380" s="74"/>
      <c r="E380" s="74"/>
      <c r="F380" s="74"/>
      <c r="G380" s="75"/>
      <c r="H380" s="75"/>
      <c r="I380" s="76"/>
      <c r="J380" s="77"/>
      <c r="K380" s="76"/>
      <c r="L380" s="76"/>
      <c r="M380" s="74"/>
      <c r="N380" s="74"/>
      <c r="O380" s="78"/>
      <c r="P380" s="78"/>
      <c r="Q380" s="78"/>
      <c r="R380" s="78"/>
      <c r="S380" s="79"/>
      <c r="T380" s="79"/>
      <c r="U380" s="79"/>
      <c r="V380" s="79"/>
      <c r="W380" s="79"/>
      <c r="X380" s="79"/>
      <c r="Y380" s="79"/>
      <c r="Z380" s="79"/>
      <c r="AA380" s="79"/>
    </row>
    <row r="381" spans="1:27" x14ac:dyDescent="0.2">
      <c r="A381" s="73"/>
      <c r="B381" s="74"/>
      <c r="C381" s="74"/>
      <c r="D381" s="74"/>
      <c r="E381" s="74"/>
      <c r="F381" s="74"/>
      <c r="G381" s="75"/>
      <c r="H381" s="75"/>
      <c r="I381" s="76"/>
      <c r="J381" s="77"/>
      <c r="K381" s="76"/>
      <c r="L381" s="76"/>
      <c r="M381" s="74"/>
      <c r="N381" s="74"/>
      <c r="O381" s="78"/>
      <c r="P381" s="78"/>
      <c r="Q381" s="78"/>
      <c r="R381" s="78"/>
      <c r="S381" s="79"/>
      <c r="T381" s="79"/>
      <c r="U381" s="79"/>
      <c r="V381" s="79"/>
      <c r="W381" s="79"/>
      <c r="X381" s="79"/>
      <c r="Y381" s="79"/>
      <c r="Z381" s="79"/>
      <c r="AA381" s="79"/>
    </row>
    <row r="382" spans="1:27" x14ac:dyDescent="0.2">
      <c r="A382" s="73"/>
      <c r="B382" s="74"/>
      <c r="C382" s="74"/>
      <c r="D382" s="74"/>
      <c r="E382" s="74"/>
      <c r="F382" s="74"/>
      <c r="G382" s="75"/>
      <c r="H382" s="75"/>
      <c r="I382" s="76"/>
      <c r="J382" s="77"/>
      <c r="K382" s="76"/>
      <c r="L382" s="76"/>
      <c r="M382" s="74"/>
      <c r="N382" s="74"/>
      <c r="O382" s="78"/>
      <c r="P382" s="78"/>
      <c r="Q382" s="78"/>
      <c r="R382" s="78"/>
      <c r="S382" s="79"/>
      <c r="T382" s="79"/>
      <c r="U382" s="79"/>
      <c r="V382" s="79"/>
      <c r="W382" s="79"/>
      <c r="X382" s="79"/>
      <c r="Y382" s="79"/>
      <c r="Z382" s="79"/>
      <c r="AA382" s="79"/>
    </row>
    <row r="383" spans="1:27" x14ac:dyDescent="0.2">
      <c r="A383" s="73"/>
      <c r="B383" s="74"/>
      <c r="C383" s="74"/>
      <c r="D383" s="74"/>
      <c r="E383" s="74"/>
      <c r="F383" s="74"/>
      <c r="G383" s="75"/>
      <c r="H383" s="75"/>
      <c r="I383" s="76"/>
      <c r="J383" s="77"/>
      <c r="K383" s="76"/>
      <c r="L383" s="76"/>
      <c r="M383" s="74"/>
      <c r="N383" s="74"/>
      <c r="O383" s="78"/>
      <c r="P383" s="78"/>
      <c r="Q383" s="78"/>
      <c r="R383" s="78"/>
      <c r="S383" s="79"/>
      <c r="T383" s="79"/>
      <c r="U383" s="79"/>
      <c r="V383" s="79"/>
      <c r="W383" s="79"/>
      <c r="X383" s="79"/>
      <c r="Y383" s="79"/>
      <c r="Z383" s="79"/>
      <c r="AA383" s="79"/>
    </row>
    <row r="384" spans="1:27" x14ac:dyDescent="0.2">
      <c r="A384" s="73"/>
      <c r="B384" s="74"/>
      <c r="C384" s="74"/>
      <c r="D384" s="74"/>
      <c r="E384" s="74"/>
      <c r="F384" s="74"/>
      <c r="G384" s="75"/>
      <c r="H384" s="75"/>
      <c r="I384" s="76"/>
      <c r="J384" s="77"/>
      <c r="K384" s="76"/>
      <c r="L384" s="76"/>
      <c r="M384" s="74"/>
      <c r="N384" s="74"/>
      <c r="O384" s="78"/>
      <c r="P384" s="78"/>
      <c r="Q384" s="78"/>
      <c r="R384" s="78"/>
      <c r="S384" s="79"/>
      <c r="T384" s="79"/>
      <c r="U384" s="79"/>
      <c r="V384" s="79"/>
      <c r="W384" s="79"/>
      <c r="X384" s="79"/>
      <c r="Y384" s="79"/>
      <c r="Z384" s="79"/>
      <c r="AA384" s="79"/>
    </row>
    <row r="385" spans="1:27" x14ac:dyDescent="0.2">
      <c r="A385" s="73"/>
      <c r="B385" s="74"/>
      <c r="C385" s="74"/>
      <c r="D385" s="74"/>
      <c r="E385" s="74"/>
      <c r="F385" s="74"/>
      <c r="G385" s="75"/>
      <c r="H385" s="75"/>
      <c r="I385" s="76"/>
      <c r="J385" s="77"/>
      <c r="K385" s="76"/>
      <c r="L385" s="76"/>
      <c r="M385" s="74"/>
      <c r="N385" s="74"/>
      <c r="O385" s="78"/>
      <c r="P385" s="78"/>
      <c r="Q385" s="78"/>
      <c r="R385" s="78"/>
      <c r="S385" s="79"/>
      <c r="T385" s="79"/>
      <c r="U385" s="79"/>
      <c r="V385" s="79"/>
      <c r="W385" s="79"/>
      <c r="X385" s="79"/>
      <c r="Y385" s="79"/>
      <c r="Z385" s="79"/>
      <c r="AA385" s="79"/>
    </row>
    <row r="386" spans="1:27" x14ac:dyDescent="0.2">
      <c r="A386" s="73"/>
      <c r="B386" s="74"/>
      <c r="C386" s="74"/>
      <c r="D386" s="74"/>
      <c r="E386" s="74"/>
      <c r="F386" s="74"/>
      <c r="G386" s="75"/>
      <c r="H386" s="75"/>
      <c r="I386" s="76"/>
      <c r="J386" s="77"/>
      <c r="K386" s="76"/>
      <c r="L386" s="76"/>
      <c r="M386" s="74"/>
      <c r="N386" s="74"/>
      <c r="O386" s="78"/>
      <c r="P386" s="78"/>
      <c r="Q386" s="78"/>
      <c r="R386" s="78"/>
      <c r="S386" s="79"/>
      <c r="T386" s="79"/>
      <c r="U386" s="79"/>
      <c r="V386" s="79"/>
      <c r="W386" s="79"/>
      <c r="X386" s="79"/>
      <c r="Y386" s="79"/>
      <c r="Z386" s="79"/>
      <c r="AA386" s="79"/>
    </row>
    <row r="387" spans="1:27" x14ac:dyDescent="0.2">
      <c r="A387" s="73"/>
      <c r="B387" s="74"/>
      <c r="C387" s="74"/>
      <c r="D387" s="74"/>
      <c r="E387" s="74"/>
      <c r="F387" s="74"/>
      <c r="G387" s="75"/>
      <c r="H387" s="75"/>
      <c r="I387" s="76"/>
      <c r="J387" s="77"/>
      <c r="K387" s="76"/>
      <c r="L387" s="76"/>
      <c r="M387" s="74"/>
      <c r="N387" s="74"/>
      <c r="O387" s="78"/>
      <c r="P387" s="78"/>
      <c r="Q387" s="78"/>
      <c r="R387" s="78"/>
      <c r="S387" s="79"/>
      <c r="T387" s="79"/>
      <c r="U387" s="79"/>
      <c r="V387" s="79"/>
      <c r="W387" s="79"/>
      <c r="X387" s="79"/>
      <c r="Y387" s="79"/>
      <c r="Z387" s="79"/>
      <c r="AA387" s="79"/>
    </row>
    <row r="388" spans="1:27" x14ac:dyDescent="0.2">
      <c r="A388" s="73"/>
      <c r="B388" s="74"/>
      <c r="C388" s="74"/>
      <c r="D388" s="74"/>
      <c r="E388" s="74"/>
      <c r="F388" s="74"/>
      <c r="G388" s="75"/>
      <c r="H388" s="75"/>
      <c r="I388" s="76"/>
      <c r="J388" s="77"/>
      <c r="K388" s="76"/>
      <c r="L388" s="76"/>
      <c r="M388" s="74"/>
      <c r="N388" s="74"/>
      <c r="O388" s="78"/>
      <c r="P388" s="78"/>
      <c r="Q388" s="78"/>
      <c r="R388" s="78"/>
      <c r="S388" s="79"/>
      <c r="T388" s="79"/>
      <c r="U388" s="79"/>
      <c r="V388" s="79"/>
      <c r="W388" s="79"/>
      <c r="X388" s="79"/>
      <c r="Y388" s="79"/>
      <c r="Z388" s="79"/>
      <c r="AA388" s="79"/>
    </row>
    <row r="389" spans="1:27" x14ac:dyDescent="0.2">
      <c r="A389" s="73"/>
      <c r="B389" s="74"/>
      <c r="C389" s="74"/>
      <c r="D389" s="74"/>
      <c r="E389" s="74"/>
      <c r="F389" s="74"/>
      <c r="G389" s="75"/>
      <c r="H389" s="75"/>
      <c r="I389" s="76"/>
      <c r="J389" s="77"/>
      <c r="K389" s="76"/>
      <c r="L389" s="76"/>
      <c r="M389" s="74"/>
      <c r="N389" s="74"/>
      <c r="O389" s="78"/>
      <c r="P389" s="78"/>
      <c r="Q389" s="78"/>
      <c r="R389" s="78"/>
      <c r="S389" s="79"/>
      <c r="T389" s="79"/>
      <c r="U389" s="79"/>
      <c r="V389" s="79"/>
      <c r="W389" s="79"/>
      <c r="X389" s="79"/>
      <c r="Y389" s="79"/>
      <c r="Z389" s="79"/>
      <c r="AA389" s="79"/>
    </row>
    <row r="390" spans="1:27" x14ac:dyDescent="0.2">
      <c r="A390" s="73"/>
      <c r="B390" s="74"/>
      <c r="C390" s="74"/>
      <c r="D390" s="74"/>
      <c r="E390" s="74"/>
      <c r="F390" s="74"/>
      <c r="G390" s="75"/>
      <c r="H390" s="75"/>
      <c r="I390" s="76"/>
      <c r="J390" s="77"/>
      <c r="K390" s="76"/>
      <c r="L390" s="76"/>
      <c r="M390" s="74"/>
      <c r="N390" s="74"/>
      <c r="O390" s="78"/>
      <c r="P390" s="78"/>
      <c r="Q390" s="78"/>
      <c r="R390" s="78"/>
      <c r="S390" s="79"/>
      <c r="T390" s="79"/>
      <c r="U390" s="79"/>
      <c r="V390" s="79"/>
      <c r="W390" s="79"/>
      <c r="X390" s="79"/>
      <c r="Y390" s="79"/>
      <c r="Z390" s="79"/>
      <c r="AA390" s="79"/>
    </row>
    <row r="391" spans="1:27" x14ac:dyDescent="0.2">
      <c r="A391" s="73"/>
      <c r="B391" s="74"/>
      <c r="C391" s="74"/>
      <c r="D391" s="74"/>
      <c r="E391" s="74"/>
      <c r="F391" s="74"/>
      <c r="G391" s="75"/>
      <c r="H391" s="75"/>
      <c r="I391" s="76"/>
      <c r="J391" s="77"/>
      <c r="K391" s="76"/>
      <c r="L391" s="76"/>
      <c r="M391" s="74"/>
      <c r="N391" s="74"/>
      <c r="O391" s="78"/>
      <c r="P391" s="78"/>
      <c r="Q391" s="78"/>
      <c r="R391" s="78"/>
      <c r="S391" s="79"/>
      <c r="T391" s="79"/>
      <c r="U391" s="79"/>
      <c r="V391" s="79"/>
      <c r="W391" s="79"/>
      <c r="X391" s="79"/>
      <c r="Y391" s="79"/>
      <c r="Z391" s="79"/>
      <c r="AA391" s="79"/>
    </row>
    <row r="392" spans="1:27" x14ac:dyDescent="0.2">
      <c r="A392" s="73"/>
      <c r="B392" s="74"/>
      <c r="C392" s="74"/>
      <c r="D392" s="74"/>
      <c r="E392" s="74"/>
      <c r="F392" s="74"/>
      <c r="G392" s="75"/>
      <c r="H392" s="75"/>
      <c r="I392" s="76"/>
      <c r="J392" s="77"/>
      <c r="K392" s="76"/>
      <c r="L392" s="76"/>
      <c r="M392" s="74"/>
      <c r="N392" s="74"/>
      <c r="O392" s="78"/>
      <c r="P392" s="78"/>
      <c r="Q392" s="78"/>
      <c r="R392" s="78"/>
      <c r="S392" s="79"/>
      <c r="T392" s="79"/>
      <c r="U392" s="79"/>
      <c r="V392" s="79"/>
      <c r="W392" s="79"/>
      <c r="X392" s="79"/>
      <c r="Y392" s="79"/>
      <c r="Z392" s="79"/>
      <c r="AA392" s="79"/>
    </row>
    <row r="393" spans="1:27" x14ac:dyDescent="0.2">
      <c r="A393" s="73"/>
      <c r="B393" s="74"/>
      <c r="C393" s="74"/>
      <c r="D393" s="74"/>
      <c r="E393" s="74"/>
      <c r="F393" s="74"/>
      <c r="G393" s="75"/>
      <c r="H393" s="75"/>
      <c r="I393" s="76"/>
      <c r="J393" s="77"/>
      <c r="K393" s="76"/>
      <c r="L393" s="76"/>
      <c r="M393" s="74"/>
      <c r="N393" s="74"/>
      <c r="O393" s="78"/>
      <c r="P393" s="78"/>
      <c r="Q393" s="78"/>
      <c r="R393" s="78"/>
      <c r="S393" s="79"/>
      <c r="T393" s="79"/>
      <c r="U393" s="79"/>
      <c r="V393" s="79"/>
      <c r="W393" s="79"/>
      <c r="X393" s="79"/>
      <c r="Y393" s="79"/>
      <c r="Z393" s="79"/>
      <c r="AA393" s="79"/>
    </row>
    <row r="394" spans="1:27" x14ac:dyDescent="0.2">
      <c r="A394" s="73"/>
      <c r="B394" s="74"/>
      <c r="C394" s="74"/>
      <c r="D394" s="74"/>
      <c r="E394" s="74"/>
      <c r="F394" s="74"/>
      <c r="G394" s="75"/>
      <c r="H394" s="75"/>
      <c r="I394" s="76"/>
      <c r="J394" s="77"/>
      <c r="K394" s="76"/>
      <c r="L394" s="76"/>
      <c r="M394" s="74"/>
      <c r="N394" s="74"/>
      <c r="O394" s="78"/>
      <c r="P394" s="78"/>
      <c r="Q394" s="78"/>
      <c r="R394" s="78"/>
      <c r="S394" s="79"/>
      <c r="T394" s="79"/>
      <c r="U394" s="79"/>
      <c r="V394" s="79"/>
      <c r="W394" s="79"/>
      <c r="X394" s="79"/>
      <c r="Y394" s="79"/>
      <c r="Z394" s="79"/>
      <c r="AA394" s="79"/>
    </row>
    <row r="395" spans="1:27" x14ac:dyDescent="0.2">
      <c r="A395" s="73"/>
      <c r="B395" s="74"/>
      <c r="C395" s="74"/>
      <c r="D395" s="74"/>
      <c r="E395" s="74"/>
      <c r="F395" s="74"/>
      <c r="G395" s="75"/>
      <c r="H395" s="75"/>
      <c r="I395" s="76"/>
      <c r="J395" s="77"/>
      <c r="K395" s="76"/>
      <c r="L395" s="76"/>
      <c r="M395" s="74"/>
      <c r="N395" s="74"/>
      <c r="O395" s="78"/>
      <c r="P395" s="78"/>
      <c r="Q395" s="78"/>
      <c r="R395" s="78"/>
      <c r="S395" s="79"/>
      <c r="T395" s="79"/>
      <c r="U395" s="79"/>
      <c r="V395" s="79"/>
      <c r="W395" s="79"/>
      <c r="X395" s="79"/>
      <c r="Y395" s="79"/>
      <c r="Z395" s="79"/>
      <c r="AA395" s="79"/>
    </row>
    <row r="396" spans="1:27" x14ac:dyDescent="0.2">
      <c r="A396" s="73"/>
      <c r="B396" s="74"/>
      <c r="C396" s="74"/>
      <c r="D396" s="74"/>
      <c r="E396" s="74"/>
      <c r="F396" s="74"/>
      <c r="G396" s="75"/>
      <c r="H396" s="75"/>
      <c r="I396" s="76"/>
      <c r="J396" s="77"/>
      <c r="K396" s="76"/>
      <c r="L396" s="76"/>
      <c r="M396" s="74"/>
      <c r="N396" s="74"/>
      <c r="O396" s="78"/>
      <c r="P396" s="78"/>
      <c r="Q396" s="78"/>
      <c r="R396" s="78"/>
      <c r="S396" s="79"/>
      <c r="T396" s="79"/>
      <c r="U396" s="79"/>
      <c r="V396" s="79"/>
      <c r="W396" s="79"/>
      <c r="X396" s="79"/>
      <c r="Y396" s="79"/>
      <c r="Z396" s="79"/>
      <c r="AA396" s="79"/>
    </row>
    <row r="397" spans="1:27" x14ac:dyDescent="0.2">
      <c r="A397" s="73"/>
      <c r="B397" s="74"/>
      <c r="C397" s="74"/>
      <c r="D397" s="74"/>
      <c r="E397" s="74"/>
      <c r="F397" s="74"/>
      <c r="G397" s="75"/>
      <c r="H397" s="75"/>
      <c r="I397" s="76"/>
      <c r="J397" s="77"/>
      <c r="K397" s="76"/>
      <c r="L397" s="76"/>
      <c r="M397" s="74"/>
      <c r="N397" s="74"/>
      <c r="O397" s="78"/>
      <c r="P397" s="78"/>
      <c r="Q397" s="78"/>
      <c r="R397" s="78"/>
      <c r="S397" s="79"/>
      <c r="T397" s="79"/>
      <c r="U397" s="79"/>
      <c r="V397" s="79"/>
      <c r="W397" s="79"/>
      <c r="X397" s="79"/>
      <c r="Y397" s="79"/>
      <c r="Z397" s="79"/>
      <c r="AA397" s="79"/>
    </row>
    <row r="398" spans="1:27" x14ac:dyDescent="0.2">
      <c r="A398" s="73"/>
      <c r="B398" s="74"/>
      <c r="C398" s="74"/>
      <c r="D398" s="74"/>
      <c r="E398" s="74"/>
      <c r="F398" s="74"/>
      <c r="G398" s="75"/>
      <c r="H398" s="75"/>
      <c r="I398" s="76"/>
      <c r="J398" s="77"/>
      <c r="K398" s="76"/>
      <c r="L398" s="76"/>
      <c r="M398" s="74"/>
      <c r="N398" s="74"/>
      <c r="O398" s="78"/>
      <c r="P398" s="78"/>
      <c r="Q398" s="78"/>
      <c r="R398" s="78"/>
      <c r="S398" s="79"/>
      <c r="T398" s="79"/>
      <c r="U398" s="79"/>
      <c r="V398" s="79"/>
      <c r="W398" s="79"/>
      <c r="X398" s="79"/>
      <c r="Y398" s="79"/>
      <c r="Z398" s="79"/>
      <c r="AA398" s="79"/>
    </row>
    <row r="399" spans="1:27" x14ac:dyDescent="0.2">
      <c r="A399" s="73"/>
      <c r="B399" s="74"/>
      <c r="C399" s="74"/>
      <c r="D399" s="74"/>
      <c r="E399" s="74"/>
      <c r="F399" s="74"/>
      <c r="G399" s="75"/>
      <c r="H399" s="75"/>
      <c r="I399" s="76"/>
      <c r="J399" s="77"/>
      <c r="K399" s="76"/>
      <c r="L399" s="76"/>
      <c r="M399" s="74"/>
      <c r="N399" s="74"/>
      <c r="O399" s="78"/>
      <c r="P399" s="78"/>
      <c r="Q399" s="78"/>
      <c r="R399" s="78"/>
      <c r="S399" s="79"/>
      <c r="T399" s="79"/>
      <c r="U399" s="79"/>
      <c r="V399" s="79"/>
      <c r="W399" s="79"/>
      <c r="X399" s="79"/>
      <c r="Y399" s="79"/>
      <c r="Z399" s="79"/>
      <c r="AA399" s="79"/>
    </row>
    <row r="400" spans="1:27" x14ac:dyDescent="0.2">
      <c r="A400" s="73"/>
      <c r="B400" s="74"/>
      <c r="C400" s="74"/>
      <c r="D400" s="74"/>
      <c r="E400" s="74"/>
      <c r="F400" s="74"/>
      <c r="G400" s="75"/>
      <c r="H400" s="75"/>
      <c r="I400" s="76"/>
      <c r="J400" s="77"/>
      <c r="K400" s="76"/>
      <c r="L400" s="76"/>
      <c r="M400" s="74"/>
      <c r="N400" s="74"/>
      <c r="O400" s="78"/>
      <c r="P400" s="78"/>
      <c r="Q400" s="78"/>
      <c r="R400" s="78"/>
      <c r="S400" s="79"/>
      <c r="T400" s="79"/>
      <c r="U400" s="79"/>
      <c r="V400" s="79"/>
      <c r="W400" s="79"/>
      <c r="X400" s="79"/>
      <c r="Y400" s="79"/>
      <c r="Z400" s="79"/>
      <c r="AA400" s="79"/>
    </row>
    <row r="401" spans="1:27" x14ac:dyDescent="0.2">
      <c r="A401" s="73"/>
      <c r="B401" s="74"/>
      <c r="C401" s="74"/>
      <c r="D401" s="74"/>
      <c r="E401" s="74"/>
      <c r="F401" s="74"/>
      <c r="G401" s="75"/>
      <c r="H401" s="75"/>
      <c r="I401" s="76"/>
      <c r="J401" s="77"/>
      <c r="K401" s="76"/>
      <c r="L401" s="76"/>
      <c r="M401" s="74"/>
      <c r="N401" s="74"/>
      <c r="O401" s="78"/>
      <c r="P401" s="78"/>
      <c r="Q401" s="78"/>
      <c r="R401" s="78"/>
      <c r="S401" s="79"/>
      <c r="T401" s="79"/>
      <c r="U401" s="79"/>
      <c r="V401" s="79"/>
      <c r="W401" s="79"/>
      <c r="X401" s="79"/>
      <c r="Y401" s="79"/>
      <c r="Z401" s="79"/>
      <c r="AA401" s="79"/>
    </row>
    <row r="402" spans="1:27" x14ac:dyDescent="0.2">
      <c r="A402" s="73"/>
      <c r="B402" s="74"/>
      <c r="C402" s="74"/>
      <c r="D402" s="74"/>
      <c r="E402" s="74"/>
      <c r="F402" s="74"/>
      <c r="G402" s="75"/>
      <c r="H402" s="75"/>
      <c r="I402" s="76"/>
      <c r="J402" s="77"/>
      <c r="K402" s="76"/>
      <c r="L402" s="76"/>
      <c r="M402" s="74"/>
      <c r="N402" s="74"/>
      <c r="O402" s="78"/>
      <c r="P402" s="78"/>
      <c r="Q402" s="78"/>
      <c r="R402" s="78"/>
      <c r="S402" s="79"/>
      <c r="T402" s="79"/>
      <c r="U402" s="79"/>
      <c r="V402" s="79"/>
      <c r="W402" s="79"/>
      <c r="X402" s="79"/>
      <c r="Y402" s="79"/>
      <c r="Z402" s="79"/>
      <c r="AA402" s="79"/>
    </row>
    <row r="403" spans="1:27" x14ac:dyDescent="0.2">
      <c r="A403" s="73"/>
      <c r="B403" s="74"/>
      <c r="C403" s="74"/>
      <c r="D403" s="74"/>
      <c r="E403" s="74"/>
      <c r="F403" s="74"/>
      <c r="G403" s="75"/>
      <c r="H403" s="75"/>
      <c r="I403" s="76"/>
      <c r="J403" s="77"/>
      <c r="K403" s="76"/>
      <c r="L403" s="76"/>
      <c r="M403" s="74"/>
      <c r="N403" s="74"/>
      <c r="O403" s="78"/>
      <c r="P403" s="78"/>
      <c r="Q403" s="78"/>
      <c r="R403" s="78"/>
      <c r="S403" s="79"/>
      <c r="T403" s="79"/>
      <c r="U403" s="79"/>
      <c r="V403" s="79"/>
      <c r="W403" s="79"/>
      <c r="X403" s="79"/>
      <c r="Y403" s="79"/>
      <c r="Z403" s="79"/>
      <c r="AA403" s="79"/>
    </row>
    <row r="404" spans="1:27" x14ac:dyDescent="0.2">
      <c r="A404" s="73"/>
      <c r="B404" s="74"/>
      <c r="C404" s="74"/>
      <c r="D404" s="74"/>
      <c r="E404" s="74"/>
      <c r="F404" s="74"/>
      <c r="G404" s="75"/>
      <c r="H404" s="75"/>
      <c r="I404" s="76"/>
      <c r="J404" s="77"/>
      <c r="K404" s="76"/>
      <c r="L404" s="76"/>
      <c r="M404" s="74"/>
      <c r="N404" s="74"/>
      <c r="O404" s="78"/>
      <c r="P404" s="78"/>
      <c r="Q404" s="78"/>
      <c r="R404" s="78"/>
      <c r="S404" s="79"/>
      <c r="T404" s="79"/>
      <c r="U404" s="79"/>
      <c r="V404" s="79"/>
      <c r="W404" s="79"/>
      <c r="X404" s="79"/>
      <c r="Y404" s="79"/>
      <c r="Z404" s="79"/>
      <c r="AA404" s="79"/>
    </row>
    <row r="405" spans="1:27" x14ac:dyDescent="0.2">
      <c r="A405" s="73"/>
      <c r="B405" s="74"/>
      <c r="C405" s="74"/>
      <c r="D405" s="74"/>
      <c r="E405" s="74"/>
      <c r="F405" s="74"/>
      <c r="G405" s="75"/>
      <c r="H405" s="75"/>
      <c r="I405" s="76"/>
      <c r="J405" s="77"/>
      <c r="K405" s="76"/>
      <c r="L405" s="76"/>
      <c r="M405" s="74"/>
      <c r="N405" s="74"/>
      <c r="O405" s="78"/>
      <c r="P405" s="78"/>
      <c r="Q405" s="78"/>
      <c r="R405" s="78"/>
      <c r="S405" s="79"/>
      <c r="T405" s="79"/>
      <c r="U405" s="79"/>
      <c r="V405" s="79"/>
      <c r="W405" s="79"/>
      <c r="X405" s="79"/>
      <c r="Y405" s="79"/>
      <c r="Z405" s="79"/>
      <c r="AA405" s="79"/>
    </row>
    <row r="406" spans="1:27" x14ac:dyDescent="0.2">
      <c r="A406" s="73"/>
      <c r="B406" s="74"/>
      <c r="C406" s="74"/>
      <c r="D406" s="74"/>
      <c r="E406" s="74"/>
      <c r="F406" s="74"/>
      <c r="G406" s="75"/>
      <c r="H406" s="75"/>
      <c r="I406" s="76"/>
      <c r="J406" s="77"/>
      <c r="K406" s="76"/>
      <c r="L406" s="76"/>
      <c r="M406" s="74"/>
      <c r="N406" s="74"/>
      <c r="O406" s="78"/>
      <c r="P406" s="78"/>
      <c r="Q406" s="78"/>
      <c r="R406" s="78"/>
      <c r="S406" s="79"/>
      <c r="T406" s="79"/>
      <c r="U406" s="79"/>
      <c r="V406" s="79"/>
      <c r="W406" s="79"/>
      <c r="X406" s="79"/>
      <c r="Y406" s="79"/>
      <c r="Z406" s="79"/>
      <c r="AA406" s="79"/>
    </row>
    <row r="407" spans="1:27" x14ac:dyDescent="0.2">
      <c r="A407" s="73"/>
      <c r="B407" s="74"/>
      <c r="C407" s="74"/>
      <c r="D407" s="74"/>
      <c r="E407" s="74"/>
      <c r="F407" s="74"/>
      <c r="G407" s="75"/>
      <c r="H407" s="75"/>
      <c r="I407" s="76"/>
      <c r="J407" s="77"/>
      <c r="K407" s="76"/>
      <c r="L407" s="76"/>
      <c r="M407" s="74"/>
      <c r="N407" s="74"/>
      <c r="O407" s="78"/>
      <c r="P407" s="78"/>
      <c r="Q407" s="78"/>
      <c r="R407" s="78"/>
      <c r="S407" s="79"/>
      <c r="T407" s="79"/>
      <c r="U407" s="79"/>
      <c r="V407" s="79"/>
      <c r="W407" s="79"/>
      <c r="X407" s="79"/>
      <c r="Y407" s="79"/>
      <c r="Z407" s="79"/>
      <c r="AA407" s="79"/>
    </row>
    <row r="408" spans="1:27" x14ac:dyDescent="0.2">
      <c r="A408" s="73"/>
      <c r="B408" s="74"/>
      <c r="C408" s="74"/>
      <c r="D408" s="74"/>
      <c r="E408" s="74"/>
      <c r="F408" s="74"/>
      <c r="G408" s="75"/>
      <c r="H408" s="75"/>
      <c r="I408" s="76"/>
      <c r="J408" s="77"/>
      <c r="K408" s="76"/>
      <c r="L408" s="76"/>
      <c r="M408" s="74"/>
      <c r="N408" s="74"/>
      <c r="O408" s="78"/>
      <c r="P408" s="78"/>
      <c r="Q408" s="78"/>
      <c r="R408" s="78"/>
      <c r="S408" s="79"/>
      <c r="T408" s="79"/>
      <c r="U408" s="79"/>
      <c r="V408" s="79"/>
      <c r="W408" s="79"/>
      <c r="X408" s="79"/>
      <c r="Y408" s="79"/>
      <c r="Z408" s="79"/>
      <c r="AA408" s="79"/>
    </row>
    <row r="409" spans="1:27" x14ac:dyDescent="0.2">
      <c r="A409" s="73"/>
      <c r="B409" s="74"/>
      <c r="C409" s="74"/>
      <c r="D409" s="74"/>
      <c r="E409" s="74"/>
      <c r="F409" s="74"/>
      <c r="G409" s="75"/>
      <c r="H409" s="75"/>
      <c r="I409" s="76"/>
      <c r="J409" s="77"/>
      <c r="K409" s="76"/>
      <c r="L409" s="76"/>
      <c r="M409" s="74"/>
      <c r="N409" s="74"/>
      <c r="O409" s="78"/>
      <c r="P409" s="78"/>
      <c r="Q409" s="78"/>
      <c r="R409" s="78"/>
      <c r="S409" s="79"/>
      <c r="T409" s="79"/>
      <c r="U409" s="79"/>
      <c r="V409" s="79"/>
      <c r="W409" s="79"/>
      <c r="X409" s="79"/>
      <c r="Y409" s="79"/>
      <c r="Z409" s="79"/>
      <c r="AA409" s="79"/>
    </row>
    <row r="410" spans="1:27" x14ac:dyDescent="0.2">
      <c r="A410" s="73"/>
      <c r="B410" s="74"/>
      <c r="C410" s="74"/>
      <c r="D410" s="74"/>
      <c r="E410" s="74"/>
      <c r="F410" s="74"/>
      <c r="G410" s="75"/>
      <c r="H410" s="75"/>
      <c r="I410" s="76"/>
      <c r="J410" s="77"/>
      <c r="K410" s="76"/>
      <c r="L410" s="76"/>
      <c r="M410" s="74"/>
      <c r="N410" s="74"/>
      <c r="O410" s="78"/>
      <c r="P410" s="78"/>
      <c r="Q410" s="78"/>
      <c r="R410" s="78"/>
      <c r="S410" s="79"/>
      <c r="T410" s="79"/>
      <c r="U410" s="79"/>
      <c r="V410" s="79"/>
      <c r="W410" s="79"/>
      <c r="X410" s="79"/>
      <c r="Y410" s="79"/>
      <c r="Z410" s="79"/>
      <c r="AA410" s="79"/>
    </row>
    <row r="411" spans="1:27" x14ac:dyDescent="0.2">
      <c r="A411" s="73"/>
      <c r="B411" s="74"/>
      <c r="C411" s="74"/>
      <c r="D411" s="74"/>
      <c r="E411" s="74"/>
      <c r="F411" s="74"/>
      <c r="G411" s="75"/>
      <c r="H411" s="75"/>
      <c r="I411" s="76"/>
      <c r="J411" s="77"/>
      <c r="K411" s="76"/>
      <c r="L411" s="76"/>
      <c r="M411" s="74"/>
      <c r="N411" s="74"/>
      <c r="O411" s="78"/>
      <c r="P411" s="78"/>
      <c r="Q411" s="78"/>
      <c r="R411" s="78"/>
      <c r="S411" s="79"/>
      <c r="T411" s="79"/>
      <c r="U411" s="79"/>
      <c r="V411" s="79"/>
      <c r="W411" s="79"/>
      <c r="X411" s="79"/>
      <c r="Y411" s="79"/>
      <c r="Z411" s="79"/>
      <c r="AA411" s="79"/>
    </row>
    <row r="412" spans="1:27" x14ac:dyDescent="0.2">
      <c r="A412" s="73"/>
      <c r="B412" s="74"/>
      <c r="C412" s="74"/>
      <c r="D412" s="74"/>
      <c r="E412" s="74"/>
      <c r="F412" s="74"/>
      <c r="G412" s="75"/>
      <c r="H412" s="75"/>
      <c r="I412" s="76"/>
      <c r="J412" s="77"/>
      <c r="K412" s="76"/>
      <c r="L412" s="76"/>
      <c r="M412" s="74"/>
      <c r="N412" s="74"/>
      <c r="O412" s="78"/>
      <c r="P412" s="78"/>
      <c r="Q412" s="78"/>
      <c r="R412" s="78"/>
      <c r="S412" s="79"/>
      <c r="T412" s="79"/>
      <c r="U412" s="79"/>
      <c r="V412" s="79"/>
      <c r="W412" s="79"/>
      <c r="X412" s="79"/>
      <c r="Y412" s="79"/>
      <c r="Z412" s="79"/>
      <c r="AA412" s="79"/>
    </row>
    <row r="413" spans="1:27" x14ac:dyDescent="0.2">
      <c r="A413" s="73"/>
      <c r="B413" s="74"/>
      <c r="C413" s="74"/>
      <c r="D413" s="74"/>
      <c r="E413" s="74"/>
      <c r="F413" s="74"/>
      <c r="G413" s="75"/>
      <c r="H413" s="75"/>
      <c r="I413" s="76"/>
      <c r="J413" s="77"/>
      <c r="K413" s="76"/>
      <c r="L413" s="76"/>
      <c r="M413" s="74"/>
      <c r="N413" s="74"/>
      <c r="O413" s="78"/>
      <c r="P413" s="78"/>
      <c r="Q413" s="78"/>
      <c r="R413" s="78"/>
      <c r="S413" s="79"/>
      <c r="T413" s="79"/>
      <c r="U413" s="79"/>
      <c r="V413" s="79"/>
      <c r="W413" s="79"/>
      <c r="X413" s="79"/>
      <c r="Y413" s="79"/>
      <c r="Z413" s="79"/>
      <c r="AA413" s="79"/>
    </row>
    <row r="414" spans="1:27" x14ac:dyDescent="0.2">
      <c r="A414" s="73"/>
      <c r="B414" s="74"/>
      <c r="C414" s="74"/>
      <c r="D414" s="74"/>
      <c r="E414" s="74"/>
      <c r="F414" s="74"/>
      <c r="G414" s="75"/>
      <c r="H414" s="75"/>
      <c r="I414" s="76"/>
      <c r="J414" s="77"/>
      <c r="K414" s="76"/>
      <c r="L414" s="76"/>
      <c r="M414" s="74"/>
      <c r="N414" s="74"/>
      <c r="O414" s="78"/>
      <c r="P414" s="78"/>
      <c r="Q414" s="78"/>
      <c r="R414" s="78"/>
      <c r="S414" s="79"/>
      <c r="T414" s="79"/>
      <c r="U414" s="79"/>
      <c r="V414" s="79"/>
      <c r="W414" s="79"/>
      <c r="X414" s="79"/>
      <c r="Y414" s="79"/>
      <c r="Z414" s="79"/>
      <c r="AA414" s="79"/>
    </row>
    <row r="415" spans="1:27" x14ac:dyDescent="0.2">
      <c r="A415" s="73"/>
      <c r="B415" s="74"/>
      <c r="C415" s="74"/>
      <c r="D415" s="74"/>
      <c r="E415" s="74"/>
      <c r="F415" s="74"/>
      <c r="G415" s="75"/>
      <c r="H415" s="75"/>
      <c r="I415" s="76"/>
      <c r="J415" s="77"/>
      <c r="K415" s="76"/>
      <c r="L415" s="76"/>
      <c r="M415" s="74"/>
      <c r="N415" s="74"/>
      <c r="O415" s="78"/>
      <c r="P415" s="78"/>
      <c r="Q415" s="78"/>
      <c r="R415" s="78"/>
      <c r="S415" s="79"/>
      <c r="T415" s="79"/>
      <c r="U415" s="79"/>
      <c r="V415" s="79"/>
      <c r="W415" s="79"/>
      <c r="X415" s="79"/>
      <c r="Y415" s="79"/>
      <c r="Z415" s="79"/>
      <c r="AA415" s="79"/>
    </row>
    <row r="416" spans="1:27" x14ac:dyDescent="0.2">
      <c r="A416" s="73"/>
      <c r="B416" s="74"/>
      <c r="C416" s="74"/>
      <c r="D416" s="74"/>
      <c r="E416" s="74"/>
      <c r="F416" s="74"/>
      <c r="G416" s="75"/>
      <c r="H416" s="75"/>
      <c r="I416" s="76"/>
      <c r="J416" s="77"/>
      <c r="K416" s="76"/>
      <c r="L416" s="76"/>
      <c r="M416" s="74"/>
      <c r="N416" s="74"/>
      <c r="O416" s="78"/>
      <c r="P416" s="78"/>
      <c r="Q416" s="78"/>
      <c r="R416" s="78"/>
      <c r="S416" s="79"/>
      <c r="T416" s="79"/>
      <c r="U416" s="79"/>
      <c r="V416" s="79"/>
      <c r="W416" s="79"/>
      <c r="X416" s="79"/>
      <c r="Y416" s="79"/>
      <c r="Z416" s="79"/>
      <c r="AA416" s="79"/>
    </row>
    <row r="417" spans="1:27" x14ac:dyDescent="0.2">
      <c r="A417" s="73"/>
      <c r="B417" s="74"/>
      <c r="C417" s="74"/>
      <c r="D417" s="74"/>
      <c r="E417" s="74"/>
      <c r="F417" s="74"/>
      <c r="G417" s="75"/>
      <c r="H417" s="75"/>
      <c r="I417" s="76"/>
      <c r="J417" s="77"/>
      <c r="K417" s="76"/>
      <c r="L417" s="76"/>
      <c r="M417" s="74"/>
      <c r="N417" s="74"/>
      <c r="O417" s="78"/>
      <c r="P417" s="78"/>
      <c r="Q417" s="78"/>
      <c r="R417" s="78"/>
      <c r="S417" s="79"/>
      <c r="T417" s="79"/>
      <c r="U417" s="79"/>
      <c r="V417" s="79"/>
      <c r="W417" s="79"/>
      <c r="X417" s="79"/>
      <c r="Y417" s="79"/>
      <c r="Z417" s="79"/>
      <c r="AA417" s="79"/>
    </row>
    <row r="418" spans="1:27" x14ac:dyDescent="0.2">
      <c r="A418" s="73"/>
      <c r="B418" s="74"/>
      <c r="C418" s="74"/>
      <c r="D418" s="74"/>
      <c r="E418" s="74"/>
      <c r="F418" s="74"/>
      <c r="G418" s="75"/>
      <c r="H418" s="75"/>
      <c r="I418" s="76"/>
      <c r="J418" s="77"/>
      <c r="K418" s="76"/>
      <c r="L418" s="76"/>
      <c r="M418" s="74"/>
      <c r="N418" s="74"/>
      <c r="O418" s="78"/>
      <c r="P418" s="78"/>
      <c r="Q418" s="78"/>
      <c r="R418" s="78"/>
      <c r="S418" s="79"/>
      <c r="T418" s="79"/>
      <c r="U418" s="79"/>
      <c r="V418" s="79"/>
      <c r="W418" s="79"/>
      <c r="X418" s="79"/>
      <c r="Y418" s="79"/>
      <c r="Z418" s="79"/>
      <c r="AA418" s="79"/>
    </row>
    <row r="419" spans="1:27" x14ac:dyDescent="0.2">
      <c r="A419" s="73"/>
      <c r="B419" s="74"/>
      <c r="C419" s="74"/>
      <c r="D419" s="74"/>
      <c r="E419" s="74"/>
      <c r="F419" s="74"/>
      <c r="G419" s="75"/>
      <c r="H419" s="75"/>
      <c r="I419" s="76"/>
      <c r="J419" s="77"/>
      <c r="K419" s="76"/>
      <c r="L419" s="76"/>
      <c r="M419" s="74"/>
      <c r="N419" s="74"/>
      <c r="O419" s="78"/>
      <c r="P419" s="78"/>
      <c r="Q419" s="78"/>
      <c r="R419" s="78"/>
      <c r="S419" s="79"/>
      <c r="T419" s="79"/>
      <c r="U419" s="79"/>
      <c r="V419" s="79"/>
      <c r="W419" s="79"/>
      <c r="X419" s="79"/>
      <c r="Y419" s="79"/>
      <c r="Z419" s="79"/>
      <c r="AA419" s="79"/>
    </row>
    <row r="420" spans="1:27" x14ac:dyDescent="0.2">
      <c r="A420" s="73"/>
      <c r="B420" s="74"/>
      <c r="C420" s="74"/>
      <c r="D420" s="74"/>
      <c r="E420" s="74"/>
      <c r="F420" s="74"/>
      <c r="G420" s="75"/>
      <c r="H420" s="75"/>
      <c r="I420" s="76"/>
      <c r="J420" s="77"/>
      <c r="K420" s="76"/>
      <c r="L420" s="76"/>
      <c r="M420" s="74"/>
      <c r="N420" s="74"/>
      <c r="O420" s="78"/>
      <c r="P420" s="78"/>
      <c r="Q420" s="78"/>
      <c r="R420" s="78"/>
      <c r="S420" s="79"/>
      <c r="T420" s="79"/>
      <c r="U420" s="79"/>
      <c r="V420" s="79"/>
      <c r="W420" s="79"/>
      <c r="X420" s="79"/>
      <c r="Y420" s="79"/>
      <c r="Z420" s="79"/>
      <c r="AA420" s="79"/>
    </row>
    <row r="421" spans="1:27" x14ac:dyDescent="0.2">
      <c r="A421" s="73"/>
      <c r="B421" s="74"/>
      <c r="C421" s="74"/>
      <c r="D421" s="74"/>
      <c r="E421" s="74"/>
      <c r="F421" s="74"/>
      <c r="G421" s="75"/>
      <c r="H421" s="75"/>
      <c r="I421" s="76"/>
      <c r="J421" s="77"/>
      <c r="K421" s="76"/>
      <c r="L421" s="76"/>
      <c r="M421" s="74"/>
      <c r="N421" s="74"/>
      <c r="O421" s="78"/>
      <c r="P421" s="78"/>
      <c r="Q421" s="78"/>
      <c r="R421" s="78"/>
      <c r="S421" s="79"/>
      <c r="T421" s="79"/>
      <c r="U421" s="79"/>
      <c r="V421" s="79"/>
      <c r="W421" s="79"/>
      <c r="X421" s="79"/>
      <c r="Y421" s="79"/>
      <c r="Z421" s="79"/>
      <c r="AA421" s="79"/>
    </row>
    <row r="422" spans="1:27" x14ac:dyDescent="0.2">
      <c r="A422" s="73"/>
      <c r="B422" s="74"/>
      <c r="C422" s="74"/>
      <c r="D422" s="74"/>
      <c r="E422" s="74"/>
      <c r="F422" s="74"/>
      <c r="G422" s="75"/>
      <c r="H422" s="75"/>
      <c r="I422" s="76"/>
      <c r="J422" s="77"/>
      <c r="K422" s="76"/>
      <c r="L422" s="76"/>
      <c r="M422" s="74"/>
      <c r="N422" s="74"/>
      <c r="O422" s="78"/>
      <c r="P422" s="78"/>
      <c r="Q422" s="78"/>
      <c r="R422" s="78"/>
      <c r="S422" s="79"/>
      <c r="T422" s="79"/>
      <c r="U422" s="79"/>
      <c r="V422" s="79"/>
      <c r="W422" s="79"/>
      <c r="X422" s="79"/>
      <c r="Y422" s="79"/>
      <c r="Z422" s="79"/>
      <c r="AA422" s="79"/>
    </row>
    <row r="423" spans="1:27" x14ac:dyDescent="0.2">
      <c r="A423" s="73"/>
      <c r="B423" s="74"/>
      <c r="C423" s="74"/>
      <c r="D423" s="74"/>
      <c r="E423" s="74"/>
      <c r="F423" s="74"/>
      <c r="G423" s="75"/>
      <c r="H423" s="75"/>
      <c r="I423" s="76"/>
      <c r="J423" s="77"/>
      <c r="K423" s="76"/>
      <c r="L423" s="76"/>
      <c r="M423" s="74"/>
      <c r="N423" s="74"/>
      <c r="O423" s="78"/>
      <c r="P423" s="78"/>
      <c r="Q423" s="78"/>
      <c r="R423" s="78"/>
      <c r="S423" s="79"/>
      <c r="T423" s="79"/>
      <c r="U423" s="79"/>
      <c r="V423" s="79"/>
      <c r="W423" s="79"/>
      <c r="X423" s="79"/>
      <c r="Y423" s="79"/>
      <c r="Z423" s="79"/>
      <c r="AA423" s="79"/>
    </row>
    <row r="424" spans="1:27" x14ac:dyDescent="0.2">
      <c r="A424" s="73"/>
      <c r="B424" s="74"/>
      <c r="C424" s="74"/>
      <c r="D424" s="74"/>
      <c r="E424" s="74"/>
      <c r="F424" s="74"/>
      <c r="G424" s="75"/>
      <c r="H424" s="75"/>
      <c r="I424" s="76"/>
      <c r="J424" s="77"/>
      <c r="K424" s="76"/>
      <c r="L424" s="76"/>
      <c r="M424" s="74"/>
      <c r="N424" s="74"/>
      <c r="O424" s="78"/>
      <c r="P424" s="78"/>
      <c r="Q424" s="78"/>
      <c r="R424" s="78"/>
      <c r="S424" s="79"/>
      <c r="T424" s="79"/>
      <c r="U424" s="79"/>
      <c r="V424" s="79"/>
      <c r="W424" s="79"/>
      <c r="X424" s="79"/>
      <c r="Y424" s="79"/>
      <c r="Z424" s="79"/>
      <c r="AA424" s="79"/>
    </row>
    <row r="425" spans="1:27" x14ac:dyDescent="0.2">
      <c r="A425" s="73"/>
      <c r="B425" s="74"/>
      <c r="C425" s="74"/>
      <c r="D425" s="74"/>
      <c r="E425" s="74"/>
      <c r="F425" s="74"/>
      <c r="G425" s="75"/>
      <c r="H425" s="75"/>
      <c r="I425" s="76"/>
      <c r="J425" s="77"/>
      <c r="K425" s="76"/>
      <c r="L425" s="76"/>
      <c r="M425" s="74"/>
      <c r="N425" s="74"/>
      <c r="O425" s="78"/>
      <c r="P425" s="78"/>
      <c r="Q425" s="78"/>
      <c r="R425" s="78"/>
      <c r="S425" s="79"/>
      <c r="T425" s="79"/>
      <c r="U425" s="79"/>
      <c r="V425" s="79"/>
      <c r="W425" s="79"/>
      <c r="X425" s="79"/>
      <c r="Y425" s="79"/>
      <c r="Z425" s="79"/>
      <c r="AA425" s="79"/>
    </row>
    <row r="426" spans="1:27" x14ac:dyDescent="0.2">
      <c r="A426" s="73"/>
      <c r="B426" s="74"/>
      <c r="C426" s="74"/>
      <c r="D426" s="74"/>
      <c r="E426" s="74"/>
      <c r="F426" s="74"/>
      <c r="G426" s="75"/>
      <c r="H426" s="75"/>
      <c r="I426" s="76"/>
      <c r="J426" s="77"/>
      <c r="K426" s="76"/>
      <c r="L426" s="76"/>
      <c r="M426" s="74"/>
      <c r="N426" s="74"/>
      <c r="O426" s="78"/>
      <c r="P426" s="78"/>
      <c r="Q426" s="78"/>
      <c r="R426" s="78"/>
      <c r="S426" s="79"/>
      <c r="T426" s="79"/>
      <c r="U426" s="79"/>
      <c r="V426" s="79"/>
      <c r="W426" s="79"/>
      <c r="X426" s="79"/>
      <c r="Y426" s="79"/>
      <c r="Z426" s="79"/>
      <c r="AA426" s="79"/>
    </row>
    <row r="427" spans="1:27" x14ac:dyDescent="0.2">
      <c r="A427" s="73"/>
      <c r="B427" s="74"/>
      <c r="C427" s="74"/>
      <c r="D427" s="74"/>
      <c r="E427" s="74"/>
      <c r="F427" s="74"/>
      <c r="G427" s="75"/>
      <c r="H427" s="75"/>
      <c r="I427" s="76"/>
      <c r="J427" s="77"/>
      <c r="K427" s="76"/>
      <c r="L427" s="76"/>
      <c r="M427" s="74"/>
      <c r="N427" s="74"/>
      <c r="O427" s="78"/>
      <c r="P427" s="78"/>
      <c r="Q427" s="78"/>
      <c r="R427" s="78"/>
      <c r="S427" s="79"/>
      <c r="T427" s="79"/>
      <c r="U427" s="79"/>
      <c r="V427" s="79"/>
      <c r="W427" s="79"/>
      <c r="X427" s="79"/>
      <c r="Y427" s="79"/>
      <c r="Z427" s="79"/>
      <c r="AA427" s="79"/>
    </row>
    <row r="428" spans="1:27" x14ac:dyDescent="0.2">
      <c r="A428" s="73"/>
      <c r="B428" s="74"/>
      <c r="C428" s="74"/>
      <c r="D428" s="74"/>
      <c r="E428" s="74"/>
      <c r="F428" s="74"/>
      <c r="G428" s="75"/>
      <c r="H428" s="75"/>
      <c r="I428" s="76"/>
      <c r="J428" s="77"/>
      <c r="K428" s="76"/>
      <c r="L428" s="76"/>
      <c r="M428" s="74"/>
      <c r="N428" s="74"/>
      <c r="O428" s="78"/>
      <c r="P428" s="78"/>
      <c r="Q428" s="78"/>
      <c r="R428" s="78"/>
      <c r="S428" s="79"/>
      <c r="T428" s="79"/>
      <c r="U428" s="79"/>
      <c r="V428" s="79"/>
      <c r="W428" s="79"/>
      <c r="X428" s="79"/>
      <c r="Y428" s="79"/>
      <c r="Z428" s="79"/>
      <c r="AA428" s="79"/>
    </row>
    <row r="429" spans="1:27" x14ac:dyDescent="0.2">
      <c r="A429" s="73"/>
      <c r="B429" s="74"/>
      <c r="C429" s="74"/>
      <c r="D429" s="74"/>
      <c r="E429" s="74"/>
      <c r="F429" s="74"/>
      <c r="G429" s="75"/>
      <c r="H429" s="75"/>
      <c r="I429" s="76"/>
      <c r="J429" s="77"/>
      <c r="K429" s="76"/>
      <c r="L429" s="76"/>
      <c r="M429" s="74"/>
      <c r="N429" s="74"/>
      <c r="O429" s="78"/>
      <c r="P429" s="78"/>
      <c r="Q429" s="78"/>
      <c r="R429" s="78"/>
      <c r="S429" s="79"/>
      <c r="T429" s="79"/>
      <c r="U429" s="79"/>
      <c r="V429" s="79"/>
      <c r="W429" s="79"/>
      <c r="X429" s="79"/>
      <c r="Y429" s="79"/>
      <c r="Z429" s="79"/>
      <c r="AA429" s="79"/>
    </row>
    <row r="430" spans="1:27" x14ac:dyDescent="0.2">
      <c r="A430" s="73"/>
      <c r="B430" s="74"/>
      <c r="C430" s="74"/>
      <c r="D430" s="74"/>
      <c r="E430" s="74"/>
      <c r="F430" s="74"/>
      <c r="G430" s="75"/>
      <c r="H430" s="75"/>
      <c r="I430" s="76"/>
      <c r="J430" s="77"/>
      <c r="K430" s="76"/>
      <c r="L430" s="76"/>
      <c r="M430" s="74"/>
      <c r="N430" s="74"/>
      <c r="O430" s="78"/>
      <c r="P430" s="78"/>
      <c r="Q430" s="78"/>
      <c r="R430" s="78"/>
      <c r="S430" s="79"/>
      <c r="T430" s="79"/>
      <c r="U430" s="79"/>
      <c r="V430" s="79"/>
      <c r="W430" s="79"/>
      <c r="X430" s="79"/>
      <c r="Y430" s="79"/>
      <c r="Z430" s="79"/>
      <c r="AA430" s="79"/>
    </row>
    <row r="431" spans="1:27" x14ac:dyDescent="0.2">
      <c r="A431" s="73"/>
      <c r="B431" s="74"/>
      <c r="C431" s="74"/>
      <c r="D431" s="74"/>
      <c r="E431" s="74"/>
      <c r="F431" s="74"/>
      <c r="G431" s="75"/>
      <c r="H431" s="75"/>
      <c r="I431" s="76"/>
      <c r="J431" s="77"/>
      <c r="K431" s="76"/>
      <c r="L431" s="76"/>
      <c r="M431" s="74"/>
      <c r="N431" s="74"/>
      <c r="O431" s="78"/>
      <c r="P431" s="78"/>
      <c r="Q431" s="78"/>
      <c r="R431" s="78"/>
      <c r="S431" s="79"/>
      <c r="T431" s="79"/>
      <c r="U431" s="79"/>
      <c r="V431" s="79"/>
      <c r="W431" s="79"/>
      <c r="X431" s="79"/>
      <c r="Y431" s="79"/>
      <c r="Z431" s="79"/>
      <c r="AA431" s="79"/>
    </row>
    <row r="432" spans="1:27" x14ac:dyDescent="0.2">
      <c r="A432" s="73"/>
      <c r="B432" s="74"/>
      <c r="C432" s="74"/>
      <c r="D432" s="74"/>
      <c r="E432" s="74"/>
      <c r="F432" s="74"/>
      <c r="G432" s="75"/>
      <c r="H432" s="75"/>
      <c r="I432" s="76"/>
      <c r="J432" s="77"/>
      <c r="K432" s="76"/>
      <c r="L432" s="76"/>
      <c r="M432" s="74"/>
      <c r="N432" s="74"/>
      <c r="O432" s="78"/>
      <c r="P432" s="78"/>
      <c r="Q432" s="78"/>
      <c r="R432" s="78"/>
      <c r="S432" s="79"/>
      <c r="T432" s="79"/>
      <c r="U432" s="79"/>
      <c r="V432" s="79"/>
      <c r="W432" s="79"/>
      <c r="X432" s="79"/>
      <c r="Y432" s="79"/>
      <c r="Z432" s="79"/>
      <c r="AA432" s="79"/>
    </row>
    <row r="433" spans="1:27" x14ac:dyDescent="0.2">
      <c r="A433" s="73"/>
      <c r="B433" s="74"/>
      <c r="C433" s="74"/>
      <c r="D433" s="74"/>
      <c r="E433" s="74"/>
      <c r="F433" s="74"/>
      <c r="G433" s="75"/>
      <c r="H433" s="75"/>
      <c r="I433" s="76"/>
      <c r="J433" s="77"/>
      <c r="K433" s="76"/>
      <c r="L433" s="76"/>
      <c r="M433" s="74"/>
      <c r="N433" s="74"/>
      <c r="O433" s="78"/>
      <c r="P433" s="78"/>
      <c r="Q433" s="78"/>
      <c r="R433" s="78"/>
      <c r="S433" s="79"/>
      <c r="T433" s="79"/>
      <c r="U433" s="79"/>
      <c r="V433" s="79"/>
      <c r="W433" s="79"/>
      <c r="X433" s="79"/>
      <c r="Y433" s="79"/>
      <c r="Z433" s="79"/>
      <c r="AA433" s="79"/>
    </row>
    <row r="434" spans="1:27" x14ac:dyDescent="0.2">
      <c r="A434" s="73"/>
      <c r="B434" s="74"/>
      <c r="C434" s="74"/>
      <c r="D434" s="74"/>
      <c r="E434" s="74"/>
      <c r="F434" s="74"/>
      <c r="G434" s="75"/>
      <c r="H434" s="75"/>
      <c r="I434" s="76"/>
      <c r="J434" s="77"/>
      <c r="K434" s="76"/>
      <c r="L434" s="76"/>
      <c r="M434" s="74"/>
      <c r="N434" s="74"/>
      <c r="O434" s="78"/>
      <c r="P434" s="78"/>
      <c r="Q434" s="78"/>
      <c r="R434" s="78"/>
      <c r="S434" s="79"/>
      <c r="T434" s="79"/>
      <c r="U434" s="79"/>
      <c r="V434" s="79"/>
      <c r="W434" s="79"/>
      <c r="X434" s="79"/>
      <c r="Y434" s="79"/>
      <c r="Z434" s="79"/>
      <c r="AA434" s="79"/>
    </row>
    <row r="435" spans="1:27" x14ac:dyDescent="0.2">
      <c r="A435" s="73"/>
      <c r="B435" s="74"/>
      <c r="C435" s="74"/>
      <c r="D435" s="74"/>
      <c r="E435" s="74"/>
      <c r="F435" s="74"/>
      <c r="G435" s="75"/>
      <c r="H435" s="75"/>
      <c r="I435" s="76"/>
      <c r="J435" s="77"/>
      <c r="K435" s="76"/>
      <c r="L435" s="76"/>
      <c r="M435" s="74"/>
      <c r="N435" s="74"/>
      <c r="O435" s="78"/>
      <c r="P435" s="78"/>
      <c r="Q435" s="78"/>
      <c r="R435" s="78"/>
      <c r="S435" s="79"/>
      <c r="T435" s="79"/>
      <c r="U435" s="79"/>
      <c r="V435" s="79"/>
      <c r="W435" s="79"/>
      <c r="X435" s="79"/>
      <c r="Y435" s="79"/>
      <c r="Z435" s="79"/>
      <c r="AA435" s="79"/>
    </row>
    <row r="436" spans="1:27" x14ac:dyDescent="0.2">
      <c r="A436" s="73"/>
      <c r="B436" s="74"/>
      <c r="C436" s="74"/>
      <c r="D436" s="74"/>
      <c r="E436" s="74"/>
      <c r="F436" s="74"/>
      <c r="G436" s="75"/>
      <c r="H436" s="75"/>
      <c r="I436" s="76"/>
      <c r="J436" s="77"/>
      <c r="K436" s="76"/>
      <c r="L436" s="76"/>
      <c r="M436" s="74"/>
      <c r="N436" s="74"/>
      <c r="O436" s="78"/>
      <c r="P436" s="78"/>
      <c r="Q436" s="78"/>
      <c r="R436" s="78"/>
      <c r="S436" s="79"/>
      <c r="T436" s="79"/>
      <c r="U436" s="79"/>
      <c r="V436" s="79"/>
      <c r="W436" s="79"/>
      <c r="X436" s="79"/>
      <c r="Y436" s="79"/>
      <c r="Z436" s="79"/>
      <c r="AA436" s="79"/>
    </row>
    <row r="437" spans="1:27" x14ac:dyDescent="0.2">
      <c r="A437" s="73"/>
      <c r="B437" s="74"/>
      <c r="C437" s="74"/>
      <c r="D437" s="74"/>
      <c r="E437" s="74"/>
      <c r="F437" s="74"/>
      <c r="G437" s="75"/>
      <c r="H437" s="75"/>
      <c r="I437" s="76"/>
      <c r="J437" s="77"/>
      <c r="K437" s="76"/>
      <c r="L437" s="76"/>
      <c r="M437" s="74"/>
      <c r="N437" s="74"/>
      <c r="O437" s="78"/>
      <c r="P437" s="78"/>
      <c r="Q437" s="78"/>
      <c r="R437" s="78"/>
      <c r="S437" s="79"/>
      <c r="T437" s="79"/>
      <c r="U437" s="79"/>
      <c r="V437" s="79"/>
      <c r="W437" s="79"/>
      <c r="X437" s="79"/>
      <c r="Y437" s="79"/>
      <c r="Z437" s="79"/>
      <c r="AA437" s="79"/>
    </row>
    <row r="438" spans="1:27" x14ac:dyDescent="0.2">
      <c r="A438" s="73"/>
      <c r="B438" s="74"/>
      <c r="C438" s="74"/>
      <c r="D438" s="74"/>
      <c r="E438" s="74"/>
      <c r="F438" s="74"/>
      <c r="G438" s="75"/>
      <c r="H438" s="75"/>
      <c r="I438" s="76"/>
      <c r="J438" s="77"/>
      <c r="K438" s="76"/>
      <c r="L438" s="76"/>
      <c r="M438" s="74"/>
      <c r="N438" s="74"/>
      <c r="O438" s="78"/>
      <c r="P438" s="78"/>
      <c r="Q438" s="78"/>
      <c r="R438" s="78"/>
      <c r="S438" s="79"/>
      <c r="T438" s="79"/>
      <c r="U438" s="79"/>
      <c r="V438" s="79"/>
      <c r="W438" s="79"/>
      <c r="X438" s="79"/>
      <c r="Y438" s="79"/>
      <c r="Z438" s="79"/>
      <c r="AA438" s="79"/>
    </row>
    <row r="439" spans="1:27" x14ac:dyDescent="0.2">
      <c r="A439" s="73"/>
      <c r="B439" s="74"/>
      <c r="C439" s="74"/>
      <c r="D439" s="74"/>
      <c r="E439" s="74"/>
      <c r="F439" s="74"/>
      <c r="G439" s="75"/>
      <c r="H439" s="75"/>
      <c r="I439" s="76"/>
      <c r="J439" s="77"/>
      <c r="K439" s="76"/>
      <c r="L439" s="76"/>
      <c r="M439" s="74"/>
      <c r="N439" s="74"/>
      <c r="O439" s="78"/>
      <c r="P439" s="78"/>
      <c r="Q439" s="78"/>
      <c r="R439" s="78"/>
      <c r="S439" s="79"/>
      <c r="T439" s="79"/>
      <c r="U439" s="79"/>
      <c r="V439" s="79"/>
      <c r="W439" s="79"/>
      <c r="X439" s="79"/>
      <c r="Y439" s="79"/>
      <c r="Z439" s="79"/>
      <c r="AA439" s="79"/>
    </row>
    <row r="440" spans="1:27" x14ac:dyDescent="0.2">
      <c r="A440" s="73"/>
      <c r="B440" s="74"/>
      <c r="C440" s="74"/>
      <c r="D440" s="74"/>
      <c r="E440" s="74"/>
      <c r="F440" s="74"/>
      <c r="G440" s="75"/>
      <c r="H440" s="75"/>
      <c r="I440" s="76"/>
      <c r="J440" s="77"/>
      <c r="K440" s="76"/>
      <c r="L440" s="76"/>
      <c r="M440" s="74"/>
      <c r="N440" s="74"/>
      <c r="O440" s="78"/>
      <c r="P440" s="78"/>
      <c r="Q440" s="78"/>
      <c r="R440" s="78"/>
      <c r="S440" s="79"/>
      <c r="T440" s="79"/>
      <c r="U440" s="79"/>
      <c r="V440" s="79"/>
      <c r="W440" s="79"/>
      <c r="X440" s="79"/>
      <c r="Y440" s="79"/>
      <c r="Z440" s="79"/>
      <c r="AA440" s="79"/>
    </row>
    <row r="441" spans="1:27" x14ac:dyDescent="0.2">
      <c r="A441" s="73"/>
      <c r="B441" s="74"/>
      <c r="C441" s="74"/>
      <c r="D441" s="74"/>
      <c r="E441" s="74"/>
      <c r="F441" s="74"/>
      <c r="G441" s="75"/>
      <c r="H441" s="75"/>
      <c r="I441" s="76"/>
      <c r="J441" s="77"/>
      <c r="K441" s="76"/>
      <c r="L441" s="76"/>
      <c r="M441" s="74"/>
      <c r="N441" s="74"/>
      <c r="O441" s="78"/>
      <c r="P441" s="78"/>
      <c r="Q441" s="78"/>
      <c r="R441" s="78"/>
      <c r="S441" s="79"/>
      <c r="T441" s="79"/>
      <c r="U441" s="79"/>
      <c r="V441" s="79"/>
      <c r="W441" s="79"/>
      <c r="X441" s="79"/>
      <c r="Y441" s="79"/>
      <c r="Z441" s="79"/>
      <c r="AA441" s="79"/>
    </row>
    <row r="442" spans="1:27" x14ac:dyDescent="0.2">
      <c r="A442" s="73"/>
      <c r="B442" s="74"/>
      <c r="C442" s="74"/>
      <c r="D442" s="74"/>
      <c r="E442" s="74"/>
      <c r="F442" s="74"/>
      <c r="G442" s="75"/>
      <c r="H442" s="75"/>
      <c r="I442" s="76"/>
      <c r="J442" s="77"/>
      <c r="K442" s="76"/>
      <c r="L442" s="76"/>
      <c r="M442" s="74"/>
      <c r="N442" s="74"/>
      <c r="O442" s="78"/>
      <c r="P442" s="78"/>
      <c r="Q442" s="78"/>
      <c r="R442" s="78"/>
      <c r="S442" s="79"/>
      <c r="T442" s="79"/>
      <c r="U442" s="79"/>
      <c r="V442" s="79"/>
      <c r="W442" s="79"/>
      <c r="X442" s="79"/>
      <c r="Y442" s="79"/>
      <c r="Z442" s="79"/>
      <c r="AA442" s="79"/>
    </row>
    <row r="443" spans="1:27" x14ac:dyDescent="0.2">
      <c r="A443" s="73"/>
      <c r="B443" s="74"/>
      <c r="C443" s="74"/>
      <c r="D443" s="74"/>
      <c r="E443" s="74"/>
      <c r="F443" s="74"/>
      <c r="G443" s="75"/>
      <c r="H443" s="75"/>
      <c r="I443" s="76"/>
      <c r="J443" s="77"/>
      <c r="K443" s="76"/>
      <c r="L443" s="76"/>
      <c r="M443" s="74"/>
      <c r="N443" s="74"/>
      <c r="O443" s="78"/>
      <c r="P443" s="78"/>
      <c r="Q443" s="78"/>
      <c r="R443" s="78"/>
      <c r="S443" s="79"/>
      <c r="T443" s="79"/>
      <c r="U443" s="79"/>
      <c r="V443" s="79"/>
      <c r="W443" s="79"/>
      <c r="X443" s="79"/>
      <c r="Y443" s="79"/>
      <c r="Z443" s="79"/>
      <c r="AA443" s="79"/>
    </row>
    <row r="444" spans="1:27" x14ac:dyDescent="0.2">
      <c r="A444" s="73"/>
      <c r="B444" s="74"/>
      <c r="C444" s="74"/>
      <c r="D444" s="74"/>
      <c r="E444" s="74"/>
      <c r="F444" s="74"/>
      <c r="G444" s="75"/>
      <c r="H444" s="75"/>
      <c r="I444" s="76"/>
      <c r="J444" s="77"/>
      <c r="K444" s="76"/>
      <c r="L444" s="76"/>
      <c r="M444" s="74"/>
      <c r="N444" s="74"/>
      <c r="O444" s="78"/>
      <c r="P444" s="78"/>
      <c r="Q444" s="78"/>
      <c r="R444" s="78"/>
      <c r="S444" s="79"/>
      <c r="T444" s="79"/>
      <c r="U444" s="79"/>
      <c r="V444" s="79"/>
      <c r="W444" s="79"/>
      <c r="X444" s="79"/>
      <c r="Y444" s="79"/>
      <c r="Z444" s="79"/>
      <c r="AA444" s="79"/>
    </row>
    <row r="445" spans="1:27" x14ac:dyDescent="0.2">
      <c r="A445" s="73"/>
      <c r="B445" s="74"/>
      <c r="C445" s="74"/>
      <c r="D445" s="74"/>
      <c r="E445" s="74"/>
      <c r="F445" s="74"/>
      <c r="G445" s="75"/>
      <c r="H445" s="75"/>
      <c r="I445" s="76"/>
      <c r="J445" s="77"/>
      <c r="K445" s="76"/>
      <c r="L445" s="76"/>
      <c r="M445" s="74"/>
      <c r="N445" s="74"/>
      <c r="O445" s="78"/>
      <c r="P445" s="78"/>
      <c r="Q445" s="78"/>
      <c r="R445" s="78"/>
      <c r="S445" s="79"/>
      <c r="T445" s="79"/>
      <c r="U445" s="79"/>
      <c r="V445" s="79"/>
      <c r="W445" s="79"/>
      <c r="X445" s="79"/>
      <c r="Y445" s="79"/>
      <c r="Z445" s="79"/>
      <c r="AA445" s="79"/>
    </row>
    <row r="446" spans="1:27" x14ac:dyDescent="0.2">
      <c r="A446" s="73"/>
      <c r="B446" s="74"/>
      <c r="C446" s="74"/>
      <c r="D446" s="74"/>
      <c r="E446" s="74"/>
      <c r="F446" s="74"/>
      <c r="G446" s="75"/>
      <c r="H446" s="75"/>
      <c r="I446" s="76"/>
      <c r="J446" s="77"/>
      <c r="K446" s="76"/>
      <c r="L446" s="76"/>
      <c r="M446" s="74"/>
      <c r="N446" s="74"/>
      <c r="O446" s="78"/>
      <c r="P446" s="78"/>
      <c r="Q446" s="78"/>
      <c r="R446" s="78"/>
      <c r="S446" s="79"/>
      <c r="T446" s="79"/>
      <c r="U446" s="79"/>
      <c r="V446" s="79"/>
      <c r="W446" s="79"/>
      <c r="X446" s="79"/>
      <c r="Y446" s="79"/>
      <c r="Z446" s="79"/>
      <c r="AA446" s="79"/>
    </row>
    <row r="447" spans="1:27" x14ac:dyDescent="0.2">
      <c r="A447" s="73"/>
      <c r="B447" s="74"/>
      <c r="C447" s="74"/>
      <c r="D447" s="74"/>
      <c r="E447" s="74"/>
      <c r="F447" s="74"/>
      <c r="G447" s="75"/>
      <c r="H447" s="75"/>
      <c r="I447" s="76"/>
      <c r="J447" s="77"/>
      <c r="K447" s="76"/>
      <c r="L447" s="76"/>
      <c r="M447" s="74"/>
      <c r="N447" s="74"/>
      <c r="O447" s="78"/>
      <c r="P447" s="78"/>
      <c r="Q447" s="78"/>
      <c r="R447" s="78"/>
      <c r="S447" s="79"/>
      <c r="T447" s="79"/>
      <c r="U447" s="79"/>
      <c r="V447" s="79"/>
      <c r="W447" s="79"/>
      <c r="X447" s="79"/>
      <c r="Y447" s="79"/>
      <c r="Z447" s="79"/>
      <c r="AA447" s="79"/>
    </row>
    <row r="448" spans="1:27" x14ac:dyDescent="0.2">
      <c r="A448" s="73"/>
      <c r="B448" s="74"/>
      <c r="C448" s="74"/>
      <c r="D448" s="74"/>
      <c r="E448" s="74"/>
      <c r="F448" s="74"/>
      <c r="G448" s="75"/>
      <c r="H448" s="75"/>
      <c r="I448" s="76"/>
      <c r="J448" s="77"/>
      <c r="K448" s="76"/>
      <c r="L448" s="76"/>
      <c r="M448" s="74"/>
      <c r="N448" s="74"/>
      <c r="O448" s="78"/>
      <c r="P448" s="78"/>
      <c r="Q448" s="78"/>
      <c r="R448" s="78"/>
      <c r="S448" s="79"/>
      <c r="T448" s="79"/>
      <c r="U448" s="79"/>
      <c r="V448" s="79"/>
      <c r="W448" s="79"/>
      <c r="X448" s="79"/>
      <c r="Y448" s="79"/>
      <c r="Z448" s="79"/>
      <c r="AA448" s="79"/>
    </row>
    <row r="449" spans="1:27" x14ac:dyDescent="0.2">
      <c r="A449" s="73"/>
      <c r="B449" s="74"/>
      <c r="C449" s="74"/>
      <c r="D449" s="74"/>
      <c r="E449" s="74"/>
      <c r="F449" s="74"/>
      <c r="G449" s="75"/>
      <c r="H449" s="75"/>
      <c r="I449" s="76"/>
      <c r="J449" s="77"/>
      <c r="K449" s="76"/>
      <c r="L449" s="76"/>
      <c r="M449" s="74"/>
      <c r="N449" s="74"/>
      <c r="O449" s="78"/>
      <c r="P449" s="78"/>
      <c r="Q449" s="78"/>
      <c r="R449" s="78"/>
      <c r="S449" s="79"/>
      <c r="T449" s="79"/>
      <c r="U449" s="79"/>
      <c r="V449" s="79"/>
      <c r="W449" s="79"/>
      <c r="X449" s="79"/>
      <c r="Y449" s="79"/>
      <c r="Z449" s="79"/>
      <c r="AA449" s="79"/>
    </row>
    <row r="450" spans="1:27" x14ac:dyDescent="0.2">
      <c r="A450" s="73"/>
      <c r="B450" s="74"/>
      <c r="C450" s="74"/>
      <c r="D450" s="74"/>
      <c r="E450" s="74"/>
      <c r="F450" s="74"/>
      <c r="G450" s="75"/>
      <c r="H450" s="75"/>
      <c r="I450" s="76"/>
      <c r="J450" s="77"/>
      <c r="K450" s="76"/>
      <c r="L450" s="76"/>
      <c r="M450" s="74"/>
      <c r="N450" s="74"/>
      <c r="O450" s="78"/>
      <c r="P450" s="78"/>
      <c r="Q450" s="78"/>
      <c r="R450" s="78"/>
      <c r="S450" s="79"/>
      <c r="T450" s="79"/>
      <c r="U450" s="79"/>
      <c r="V450" s="79"/>
      <c r="W450" s="79"/>
      <c r="X450" s="79"/>
      <c r="Y450" s="79"/>
      <c r="Z450" s="79"/>
      <c r="AA450" s="79"/>
    </row>
    <row r="451" spans="1:27" x14ac:dyDescent="0.2">
      <c r="A451" s="73"/>
      <c r="B451" s="74"/>
      <c r="C451" s="74"/>
      <c r="D451" s="74"/>
      <c r="E451" s="74"/>
      <c r="F451" s="74"/>
      <c r="G451" s="75"/>
      <c r="H451" s="75"/>
      <c r="I451" s="76"/>
      <c r="J451" s="77"/>
      <c r="K451" s="76"/>
      <c r="L451" s="76"/>
      <c r="M451" s="74"/>
      <c r="N451" s="74"/>
      <c r="O451" s="78"/>
      <c r="P451" s="78"/>
      <c r="Q451" s="78"/>
      <c r="R451" s="78"/>
      <c r="S451" s="79"/>
      <c r="T451" s="79"/>
      <c r="U451" s="79"/>
      <c r="V451" s="79"/>
      <c r="W451" s="79"/>
      <c r="X451" s="79"/>
      <c r="Y451" s="79"/>
      <c r="Z451" s="79"/>
      <c r="AA451" s="79"/>
    </row>
    <row r="452" spans="1:27" x14ac:dyDescent="0.2">
      <c r="A452" s="73"/>
      <c r="B452" s="74"/>
      <c r="C452" s="74"/>
      <c r="D452" s="74"/>
      <c r="E452" s="74"/>
      <c r="F452" s="74"/>
      <c r="G452" s="75"/>
      <c r="H452" s="75"/>
      <c r="I452" s="76"/>
      <c r="J452" s="77"/>
      <c r="K452" s="76"/>
      <c r="L452" s="76"/>
      <c r="M452" s="74"/>
      <c r="N452" s="74"/>
      <c r="O452" s="78"/>
      <c r="P452" s="78"/>
      <c r="Q452" s="78"/>
      <c r="R452" s="78"/>
      <c r="S452" s="79"/>
      <c r="T452" s="79"/>
      <c r="U452" s="79"/>
      <c r="V452" s="79"/>
      <c r="W452" s="79"/>
      <c r="X452" s="79"/>
      <c r="Y452" s="79"/>
      <c r="Z452" s="79"/>
      <c r="AA452" s="79"/>
    </row>
    <row r="453" spans="1:27" x14ac:dyDescent="0.2">
      <c r="A453" s="73"/>
      <c r="B453" s="74"/>
      <c r="C453" s="74"/>
      <c r="D453" s="74"/>
      <c r="E453" s="74"/>
      <c r="F453" s="74"/>
      <c r="G453" s="75"/>
      <c r="H453" s="75"/>
      <c r="I453" s="76"/>
      <c r="J453" s="77"/>
      <c r="K453" s="76"/>
      <c r="L453" s="76"/>
      <c r="M453" s="74"/>
      <c r="N453" s="74"/>
      <c r="O453" s="78"/>
      <c r="P453" s="78"/>
      <c r="Q453" s="78"/>
      <c r="R453" s="78"/>
      <c r="S453" s="79"/>
      <c r="T453" s="79"/>
      <c r="U453" s="79"/>
      <c r="V453" s="79"/>
      <c r="W453" s="79"/>
      <c r="X453" s="79"/>
      <c r="Y453" s="79"/>
      <c r="Z453" s="79"/>
      <c r="AA453" s="79"/>
    </row>
    <row r="454" spans="1:27" x14ac:dyDescent="0.2">
      <c r="A454" s="73"/>
      <c r="B454" s="74"/>
      <c r="C454" s="74"/>
      <c r="D454" s="74"/>
      <c r="E454" s="74"/>
      <c r="F454" s="74"/>
      <c r="G454" s="75"/>
      <c r="H454" s="75"/>
      <c r="I454" s="76"/>
      <c r="J454" s="77"/>
      <c r="K454" s="76"/>
      <c r="L454" s="76"/>
      <c r="M454" s="74"/>
      <c r="N454" s="74"/>
      <c r="O454" s="78"/>
      <c r="P454" s="78"/>
      <c r="Q454" s="78"/>
      <c r="R454" s="78"/>
      <c r="S454" s="79"/>
      <c r="T454" s="79"/>
      <c r="U454" s="79"/>
      <c r="V454" s="79"/>
      <c r="W454" s="79"/>
      <c r="X454" s="79"/>
      <c r="Y454" s="79"/>
      <c r="Z454" s="79"/>
      <c r="AA454" s="79"/>
    </row>
    <row r="455" spans="1:27" x14ac:dyDescent="0.2">
      <c r="A455" s="73"/>
      <c r="B455" s="74"/>
      <c r="C455" s="74"/>
      <c r="D455" s="74"/>
      <c r="E455" s="74"/>
      <c r="F455" s="74"/>
      <c r="G455" s="75"/>
      <c r="H455" s="75"/>
      <c r="I455" s="76"/>
      <c r="J455" s="77"/>
      <c r="K455" s="76"/>
      <c r="L455" s="76"/>
      <c r="M455" s="74"/>
      <c r="N455" s="74"/>
      <c r="O455" s="78"/>
      <c r="P455" s="78"/>
      <c r="Q455" s="78"/>
      <c r="R455" s="78"/>
      <c r="S455" s="79"/>
      <c r="T455" s="79"/>
      <c r="U455" s="79"/>
      <c r="V455" s="79"/>
      <c r="W455" s="79"/>
      <c r="X455" s="79"/>
      <c r="Y455" s="79"/>
      <c r="Z455" s="79"/>
      <c r="AA455" s="79"/>
    </row>
    <row r="456" spans="1:27" x14ac:dyDescent="0.2">
      <c r="A456" s="73"/>
      <c r="B456" s="74"/>
      <c r="C456" s="74"/>
      <c r="D456" s="74"/>
      <c r="E456" s="74"/>
      <c r="F456" s="74"/>
      <c r="G456" s="75"/>
      <c r="H456" s="75"/>
      <c r="I456" s="76"/>
      <c r="J456" s="77"/>
      <c r="K456" s="76"/>
      <c r="L456" s="76"/>
      <c r="M456" s="74"/>
      <c r="N456" s="74"/>
      <c r="O456" s="78"/>
      <c r="P456" s="78"/>
      <c r="Q456" s="78"/>
      <c r="R456" s="78"/>
      <c r="S456" s="79"/>
      <c r="T456" s="79"/>
      <c r="U456" s="79"/>
      <c r="V456" s="79"/>
      <c r="W456" s="79"/>
      <c r="X456" s="79"/>
      <c r="Y456" s="79"/>
      <c r="Z456" s="79"/>
      <c r="AA456" s="79"/>
    </row>
    <row r="457" spans="1:27" x14ac:dyDescent="0.2">
      <c r="A457" s="73"/>
      <c r="B457" s="74"/>
      <c r="C457" s="74"/>
      <c r="D457" s="74"/>
      <c r="E457" s="74"/>
      <c r="F457" s="74"/>
      <c r="G457" s="75"/>
      <c r="H457" s="75"/>
      <c r="I457" s="76"/>
      <c r="J457" s="77"/>
      <c r="K457" s="76"/>
      <c r="L457" s="76"/>
      <c r="M457" s="74"/>
      <c r="N457" s="74"/>
      <c r="O457" s="78"/>
      <c r="P457" s="78"/>
      <c r="Q457" s="78"/>
      <c r="R457" s="78"/>
      <c r="S457" s="79"/>
      <c r="T457" s="79"/>
      <c r="U457" s="79"/>
      <c r="V457" s="79"/>
      <c r="W457" s="79"/>
      <c r="X457" s="79"/>
      <c r="Y457" s="79"/>
      <c r="Z457" s="79"/>
      <c r="AA457" s="79"/>
    </row>
    <row r="458" spans="1:27" x14ac:dyDescent="0.2">
      <c r="A458" s="73"/>
      <c r="B458" s="74"/>
      <c r="C458" s="74"/>
      <c r="D458" s="74"/>
      <c r="E458" s="74"/>
      <c r="F458" s="74"/>
      <c r="G458" s="75"/>
      <c r="H458" s="75"/>
      <c r="I458" s="76"/>
      <c r="J458" s="77"/>
      <c r="K458" s="76"/>
      <c r="L458" s="76"/>
      <c r="M458" s="74"/>
      <c r="N458" s="74"/>
      <c r="O458" s="78"/>
      <c r="P458" s="78"/>
      <c r="Q458" s="78"/>
      <c r="R458" s="78"/>
      <c r="S458" s="79"/>
      <c r="T458" s="79"/>
      <c r="U458" s="79"/>
      <c r="V458" s="79"/>
      <c r="W458" s="79"/>
      <c r="X458" s="79"/>
      <c r="Y458" s="79"/>
      <c r="Z458" s="79"/>
      <c r="AA458" s="79"/>
    </row>
    <row r="459" spans="1:27" x14ac:dyDescent="0.2">
      <c r="A459" s="73"/>
      <c r="B459" s="74"/>
      <c r="C459" s="74"/>
      <c r="D459" s="74"/>
      <c r="E459" s="74"/>
      <c r="F459" s="74"/>
      <c r="G459" s="75"/>
      <c r="H459" s="75"/>
      <c r="I459" s="76"/>
      <c r="J459" s="77"/>
      <c r="K459" s="76"/>
      <c r="L459" s="76"/>
      <c r="M459" s="74"/>
      <c r="N459" s="74"/>
      <c r="O459" s="78"/>
      <c r="P459" s="78"/>
      <c r="Q459" s="78"/>
      <c r="R459" s="78"/>
      <c r="S459" s="79"/>
      <c r="T459" s="79"/>
      <c r="U459" s="79"/>
      <c r="V459" s="79"/>
      <c r="W459" s="79"/>
      <c r="X459" s="79"/>
      <c r="Y459" s="79"/>
      <c r="Z459" s="79"/>
      <c r="AA459" s="79"/>
    </row>
    <row r="460" spans="1:27" x14ac:dyDescent="0.2">
      <c r="A460" s="73"/>
      <c r="B460" s="74"/>
      <c r="C460" s="74"/>
      <c r="D460" s="74"/>
      <c r="E460" s="74"/>
      <c r="F460" s="74"/>
      <c r="G460" s="75"/>
      <c r="H460" s="75"/>
      <c r="I460" s="76"/>
      <c r="J460" s="77"/>
      <c r="K460" s="76"/>
      <c r="L460" s="76"/>
      <c r="M460" s="74"/>
      <c r="N460" s="74"/>
      <c r="O460" s="78"/>
      <c r="P460" s="78"/>
      <c r="Q460" s="78"/>
      <c r="R460" s="78"/>
      <c r="S460" s="79"/>
      <c r="T460" s="79"/>
      <c r="U460" s="79"/>
      <c r="V460" s="79"/>
      <c r="W460" s="79"/>
      <c r="X460" s="79"/>
      <c r="Y460" s="79"/>
      <c r="Z460" s="79"/>
      <c r="AA460" s="79"/>
    </row>
    <row r="461" spans="1:27" x14ac:dyDescent="0.2">
      <c r="A461" s="73"/>
      <c r="B461" s="74"/>
      <c r="C461" s="74"/>
      <c r="D461" s="74"/>
      <c r="E461" s="74"/>
      <c r="F461" s="74"/>
      <c r="G461" s="75"/>
      <c r="H461" s="75"/>
      <c r="I461" s="76"/>
      <c r="J461" s="77"/>
      <c r="K461" s="76"/>
      <c r="L461" s="76"/>
      <c r="M461" s="74"/>
      <c r="N461" s="74"/>
      <c r="O461" s="78"/>
      <c r="P461" s="78"/>
      <c r="Q461" s="78"/>
      <c r="R461" s="78"/>
      <c r="S461" s="79"/>
      <c r="T461" s="79"/>
      <c r="U461" s="79"/>
      <c r="V461" s="79"/>
      <c r="W461" s="79"/>
      <c r="X461" s="79"/>
      <c r="Y461" s="79"/>
      <c r="Z461" s="79"/>
      <c r="AA461" s="79"/>
    </row>
    <row r="462" spans="1:27" x14ac:dyDescent="0.2">
      <c r="A462" s="73"/>
      <c r="B462" s="74"/>
      <c r="C462" s="74"/>
      <c r="D462" s="74"/>
      <c r="E462" s="74"/>
      <c r="F462" s="74"/>
      <c r="G462" s="75"/>
      <c r="H462" s="75"/>
      <c r="I462" s="76"/>
      <c r="J462" s="77"/>
      <c r="K462" s="76"/>
      <c r="L462" s="76"/>
      <c r="M462" s="74"/>
      <c r="N462" s="74"/>
      <c r="O462" s="78"/>
      <c r="P462" s="78"/>
      <c r="Q462" s="78"/>
      <c r="R462" s="78"/>
      <c r="S462" s="79"/>
      <c r="T462" s="79"/>
      <c r="U462" s="79"/>
      <c r="V462" s="79"/>
      <c r="W462" s="79"/>
      <c r="X462" s="79"/>
      <c r="Y462" s="79"/>
      <c r="Z462" s="79"/>
      <c r="AA462" s="79"/>
    </row>
    <row r="463" spans="1:27" x14ac:dyDescent="0.2">
      <c r="A463" s="73"/>
      <c r="B463" s="74"/>
      <c r="C463" s="74"/>
      <c r="D463" s="74"/>
      <c r="E463" s="74"/>
      <c r="F463" s="74"/>
      <c r="G463" s="75"/>
      <c r="H463" s="75"/>
      <c r="I463" s="76"/>
      <c r="J463" s="77"/>
      <c r="K463" s="76"/>
      <c r="L463" s="76"/>
      <c r="M463" s="74"/>
      <c r="N463" s="74"/>
      <c r="O463" s="78"/>
      <c r="P463" s="78"/>
      <c r="Q463" s="78"/>
      <c r="R463" s="78"/>
      <c r="S463" s="79"/>
      <c r="T463" s="79"/>
      <c r="U463" s="79"/>
      <c r="V463" s="79"/>
      <c r="W463" s="79"/>
      <c r="X463" s="79"/>
      <c r="Y463" s="79"/>
      <c r="Z463" s="79"/>
      <c r="AA463" s="79"/>
    </row>
    <row r="464" spans="1:27" x14ac:dyDescent="0.2">
      <c r="A464" s="73"/>
      <c r="B464" s="74"/>
      <c r="C464" s="74"/>
      <c r="D464" s="74"/>
      <c r="E464" s="74"/>
      <c r="F464" s="74"/>
      <c r="G464" s="75"/>
      <c r="H464" s="75"/>
      <c r="I464" s="76"/>
      <c r="J464" s="77"/>
      <c r="K464" s="76"/>
      <c r="L464" s="76"/>
      <c r="M464" s="74"/>
      <c r="N464" s="74"/>
      <c r="O464" s="78"/>
      <c r="P464" s="78"/>
      <c r="Q464" s="78"/>
      <c r="R464" s="78"/>
      <c r="S464" s="79"/>
      <c r="T464" s="79"/>
      <c r="U464" s="79"/>
      <c r="V464" s="79"/>
      <c r="W464" s="79"/>
      <c r="X464" s="79"/>
      <c r="Y464" s="79"/>
      <c r="Z464" s="79"/>
      <c r="AA464" s="79"/>
    </row>
    <row r="465" spans="1:27" x14ac:dyDescent="0.2">
      <c r="A465" s="73"/>
      <c r="B465" s="74"/>
      <c r="C465" s="74"/>
      <c r="D465" s="74"/>
      <c r="E465" s="74"/>
      <c r="F465" s="74"/>
      <c r="G465" s="75"/>
      <c r="H465" s="75"/>
      <c r="I465" s="76"/>
      <c r="J465" s="77"/>
      <c r="K465" s="76"/>
      <c r="L465" s="76"/>
      <c r="M465" s="74"/>
      <c r="N465" s="74"/>
      <c r="O465" s="78"/>
      <c r="P465" s="78"/>
      <c r="Q465" s="78"/>
      <c r="R465" s="78"/>
      <c r="S465" s="79"/>
      <c r="T465" s="79"/>
      <c r="U465" s="79"/>
      <c r="V465" s="79"/>
      <c r="W465" s="79"/>
      <c r="X465" s="79"/>
      <c r="Y465" s="79"/>
      <c r="Z465" s="79"/>
      <c r="AA465" s="79"/>
    </row>
    <row r="466" spans="1:27" x14ac:dyDescent="0.2">
      <c r="A466" s="73"/>
      <c r="B466" s="74"/>
      <c r="C466" s="74"/>
      <c r="D466" s="74"/>
      <c r="E466" s="74"/>
      <c r="F466" s="74"/>
      <c r="G466" s="75"/>
      <c r="H466" s="75"/>
      <c r="I466" s="76"/>
      <c r="J466" s="77"/>
      <c r="K466" s="76"/>
      <c r="L466" s="76"/>
      <c r="M466" s="74"/>
      <c r="N466" s="74"/>
      <c r="O466" s="78"/>
      <c r="P466" s="78"/>
      <c r="Q466" s="78"/>
      <c r="R466" s="78"/>
      <c r="S466" s="79"/>
      <c r="T466" s="79"/>
      <c r="U466" s="79"/>
      <c r="V466" s="79"/>
      <c r="W466" s="79"/>
      <c r="X466" s="79"/>
      <c r="Y466" s="79"/>
      <c r="Z466" s="79"/>
      <c r="AA466" s="79"/>
    </row>
    <row r="467" spans="1:27" x14ac:dyDescent="0.2">
      <c r="A467" s="73"/>
      <c r="B467" s="74"/>
      <c r="C467" s="74"/>
      <c r="D467" s="74"/>
      <c r="E467" s="74"/>
      <c r="F467" s="74"/>
      <c r="G467" s="75"/>
      <c r="H467" s="75"/>
      <c r="I467" s="76"/>
      <c r="J467" s="77"/>
      <c r="K467" s="76"/>
      <c r="L467" s="76"/>
      <c r="M467" s="74"/>
      <c r="N467" s="74"/>
      <c r="O467" s="78"/>
      <c r="P467" s="78"/>
      <c r="Q467" s="78"/>
      <c r="R467" s="78"/>
      <c r="S467" s="79"/>
      <c r="T467" s="79"/>
      <c r="U467" s="79"/>
      <c r="V467" s="79"/>
      <c r="W467" s="79"/>
      <c r="X467" s="79"/>
      <c r="Y467" s="79"/>
      <c r="Z467" s="79"/>
      <c r="AA467" s="79"/>
    </row>
    <row r="468" spans="1:27" x14ac:dyDescent="0.2">
      <c r="A468" s="73"/>
      <c r="B468" s="74"/>
      <c r="C468" s="74"/>
      <c r="D468" s="74"/>
      <c r="E468" s="74"/>
      <c r="F468" s="74"/>
      <c r="G468" s="75"/>
      <c r="H468" s="75"/>
      <c r="I468" s="76"/>
      <c r="J468" s="77"/>
      <c r="K468" s="76"/>
      <c r="L468" s="76"/>
      <c r="M468" s="74"/>
      <c r="N468" s="74"/>
      <c r="O468" s="78"/>
      <c r="P468" s="78"/>
      <c r="Q468" s="78"/>
      <c r="R468" s="78"/>
      <c r="S468" s="79"/>
      <c r="T468" s="79"/>
      <c r="U468" s="79"/>
      <c r="V468" s="79"/>
      <c r="W468" s="79"/>
      <c r="X468" s="79"/>
      <c r="Y468" s="79"/>
      <c r="Z468" s="79"/>
      <c r="AA468" s="79"/>
    </row>
    <row r="469" spans="1:27" x14ac:dyDescent="0.2">
      <c r="A469" s="73"/>
      <c r="B469" s="74"/>
      <c r="C469" s="74"/>
      <c r="D469" s="74"/>
      <c r="E469" s="74"/>
      <c r="F469" s="74"/>
      <c r="G469" s="75"/>
      <c r="H469" s="75"/>
      <c r="I469" s="76"/>
      <c r="J469" s="77"/>
      <c r="K469" s="76"/>
      <c r="L469" s="76"/>
      <c r="M469" s="74"/>
      <c r="N469" s="74"/>
      <c r="O469" s="78"/>
      <c r="P469" s="78"/>
      <c r="Q469" s="78"/>
      <c r="R469" s="78"/>
      <c r="S469" s="79"/>
      <c r="T469" s="79"/>
      <c r="U469" s="79"/>
      <c r="V469" s="79"/>
      <c r="W469" s="79"/>
      <c r="X469" s="79"/>
      <c r="Y469" s="79"/>
      <c r="Z469" s="79"/>
      <c r="AA469" s="79"/>
    </row>
    <row r="470" spans="1:27" x14ac:dyDescent="0.2">
      <c r="A470" s="73"/>
      <c r="B470" s="74"/>
      <c r="C470" s="74"/>
      <c r="D470" s="74"/>
      <c r="E470" s="74"/>
      <c r="F470" s="74"/>
      <c r="G470" s="75"/>
      <c r="H470" s="75"/>
      <c r="I470" s="76"/>
      <c r="J470" s="77"/>
      <c r="K470" s="76"/>
      <c r="L470" s="76"/>
      <c r="M470" s="74"/>
      <c r="N470" s="74"/>
      <c r="O470" s="78"/>
      <c r="P470" s="78"/>
      <c r="Q470" s="78"/>
      <c r="R470" s="78"/>
      <c r="S470" s="79"/>
      <c r="T470" s="79"/>
      <c r="U470" s="79"/>
      <c r="V470" s="79"/>
      <c r="W470" s="79"/>
      <c r="X470" s="79"/>
      <c r="Y470" s="79"/>
      <c r="Z470" s="79"/>
      <c r="AA470" s="79"/>
    </row>
    <row r="471" spans="1:27" x14ac:dyDescent="0.2">
      <c r="A471" s="73"/>
      <c r="B471" s="74"/>
      <c r="C471" s="74"/>
      <c r="D471" s="74"/>
      <c r="E471" s="74"/>
      <c r="F471" s="74"/>
      <c r="G471" s="75"/>
      <c r="H471" s="75"/>
      <c r="I471" s="76"/>
      <c r="J471" s="77"/>
      <c r="K471" s="76"/>
      <c r="L471" s="76"/>
      <c r="M471" s="74"/>
      <c r="N471" s="74"/>
      <c r="O471" s="78"/>
      <c r="P471" s="78"/>
      <c r="Q471" s="78"/>
      <c r="R471" s="78"/>
      <c r="S471" s="79"/>
      <c r="T471" s="79"/>
      <c r="U471" s="79"/>
      <c r="V471" s="79"/>
      <c r="W471" s="79"/>
      <c r="X471" s="79"/>
      <c r="Y471" s="79"/>
      <c r="Z471" s="79"/>
      <c r="AA471" s="79"/>
    </row>
    <row r="472" spans="1:27" x14ac:dyDescent="0.2">
      <c r="A472" s="73"/>
      <c r="B472" s="74"/>
      <c r="C472" s="74"/>
      <c r="D472" s="74"/>
      <c r="E472" s="74"/>
      <c r="F472" s="74"/>
      <c r="G472" s="75"/>
      <c r="H472" s="75"/>
      <c r="I472" s="76"/>
      <c r="J472" s="77"/>
      <c r="K472" s="76"/>
      <c r="L472" s="76"/>
      <c r="M472" s="74"/>
      <c r="N472" s="74"/>
      <c r="O472" s="78"/>
      <c r="P472" s="78"/>
      <c r="Q472" s="78"/>
      <c r="R472" s="78"/>
      <c r="S472" s="79"/>
      <c r="T472" s="79"/>
      <c r="U472" s="79"/>
      <c r="V472" s="79"/>
      <c r="W472" s="79"/>
      <c r="X472" s="79"/>
      <c r="Y472" s="79"/>
      <c r="Z472" s="79"/>
      <c r="AA472" s="79"/>
    </row>
    <row r="473" spans="1:27" x14ac:dyDescent="0.2">
      <c r="A473" s="73"/>
      <c r="B473" s="74"/>
      <c r="C473" s="74"/>
      <c r="D473" s="74"/>
      <c r="E473" s="74"/>
      <c r="F473" s="74"/>
      <c r="G473" s="75"/>
      <c r="H473" s="75"/>
      <c r="I473" s="76"/>
      <c r="J473" s="77"/>
      <c r="K473" s="76"/>
      <c r="L473" s="76"/>
      <c r="M473" s="74"/>
      <c r="N473" s="74"/>
      <c r="O473" s="78"/>
      <c r="P473" s="78"/>
      <c r="Q473" s="78"/>
      <c r="R473" s="78"/>
      <c r="S473" s="79"/>
      <c r="T473" s="79"/>
      <c r="U473" s="79"/>
      <c r="V473" s="79"/>
      <c r="W473" s="79"/>
      <c r="X473" s="79"/>
      <c r="Y473" s="79"/>
      <c r="Z473" s="79"/>
      <c r="AA473" s="79"/>
    </row>
    <row r="474" spans="1:27" x14ac:dyDescent="0.2">
      <c r="A474" s="73"/>
      <c r="B474" s="74"/>
      <c r="C474" s="74"/>
      <c r="D474" s="74"/>
      <c r="E474" s="74"/>
      <c r="F474" s="74"/>
      <c r="G474" s="75"/>
      <c r="H474" s="75"/>
      <c r="I474" s="76"/>
      <c r="J474" s="77"/>
      <c r="K474" s="76"/>
      <c r="L474" s="76"/>
      <c r="M474" s="74"/>
      <c r="N474" s="74"/>
      <c r="O474" s="78"/>
      <c r="P474" s="78"/>
      <c r="Q474" s="78"/>
      <c r="R474" s="78"/>
      <c r="S474" s="79"/>
      <c r="T474" s="79"/>
      <c r="U474" s="79"/>
      <c r="V474" s="79"/>
      <c r="W474" s="79"/>
      <c r="X474" s="79"/>
      <c r="Y474" s="79"/>
      <c r="Z474" s="79"/>
      <c r="AA474" s="79"/>
    </row>
    <row r="475" spans="1:27" x14ac:dyDescent="0.2">
      <c r="A475" s="73"/>
      <c r="B475" s="74"/>
      <c r="C475" s="74"/>
      <c r="D475" s="74"/>
      <c r="E475" s="74"/>
      <c r="F475" s="74"/>
      <c r="G475" s="75"/>
      <c r="H475" s="75"/>
      <c r="I475" s="76"/>
      <c r="J475" s="77"/>
      <c r="K475" s="76"/>
      <c r="L475" s="76"/>
      <c r="M475" s="74"/>
      <c r="N475" s="74"/>
      <c r="O475" s="78"/>
      <c r="P475" s="78"/>
      <c r="Q475" s="78"/>
      <c r="R475" s="78"/>
      <c r="S475" s="79"/>
      <c r="T475" s="79"/>
      <c r="U475" s="79"/>
      <c r="V475" s="79"/>
      <c r="W475" s="79"/>
      <c r="X475" s="79"/>
      <c r="Y475" s="79"/>
      <c r="Z475" s="79"/>
      <c r="AA475" s="79"/>
    </row>
    <row r="476" spans="1:27" x14ac:dyDescent="0.2">
      <c r="A476" s="73"/>
      <c r="B476" s="74"/>
      <c r="C476" s="74"/>
      <c r="D476" s="74"/>
      <c r="E476" s="74"/>
      <c r="F476" s="74"/>
      <c r="G476" s="75"/>
      <c r="H476" s="75"/>
      <c r="I476" s="76"/>
      <c r="J476" s="77"/>
      <c r="K476" s="76"/>
      <c r="L476" s="76"/>
      <c r="M476" s="74"/>
      <c r="N476" s="74"/>
      <c r="O476" s="78"/>
      <c r="P476" s="78"/>
      <c r="Q476" s="78"/>
      <c r="R476" s="78"/>
      <c r="S476" s="79"/>
      <c r="T476" s="79"/>
      <c r="U476" s="79"/>
      <c r="V476" s="79"/>
      <c r="W476" s="79"/>
      <c r="X476" s="79"/>
      <c r="Y476" s="79"/>
      <c r="Z476" s="79"/>
      <c r="AA476" s="79"/>
    </row>
    <row r="477" spans="1:27" x14ac:dyDescent="0.2">
      <c r="A477" s="73"/>
      <c r="B477" s="74"/>
      <c r="C477" s="74"/>
      <c r="D477" s="74"/>
      <c r="E477" s="74"/>
      <c r="F477" s="74"/>
      <c r="G477" s="75"/>
      <c r="H477" s="75"/>
      <c r="I477" s="76"/>
      <c r="J477" s="77"/>
      <c r="K477" s="76"/>
      <c r="L477" s="76"/>
      <c r="M477" s="74"/>
      <c r="N477" s="74"/>
      <c r="O477" s="78"/>
      <c r="P477" s="78"/>
      <c r="Q477" s="78"/>
      <c r="R477" s="78"/>
      <c r="S477" s="79"/>
      <c r="T477" s="79"/>
      <c r="U477" s="79"/>
      <c r="V477" s="79"/>
      <c r="W477" s="79"/>
      <c r="X477" s="79"/>
      <c r="Y477" s="79"/>
      <c r="Z477" s="79"/>
      <c r="AA477" s="79"/>
    </row>
    <row r="478" spans="1:27" x14ac:dyDescent="0.2">
      <c r="A478" s="73"/>
      <c r="B478" s="74"/>
      <c r="C478" s="74"/>
      <c r="D478" s="74"/>
      <c r="E478" s="74"/>
      <c r="F478" s="74"/>
      <c r="G478" s="75"/>
      <c r="H478" s="75"/>
      <c r="I478" s="76"/>
      <c r="J478" s="77"/>
      <c r="K478" s="76"/>
      <c r="L478" s="76"/>
      <c r="M478" s="74"/>
      <c r="N478" s="74"/>
      <c r="O478" s="78"/>
      <c r="P478" s="78"/>
      <c r="Q478" s="78"/>
      <c r="R478" s="78"/>
      <c r="S478" s="79"/>
      <c r="T478" s="79"/>
      <c r="U478" s="79"/>
      <c r="V478" s="79"/>
      <c r="W478" s="79"/>
      <c r="X478" s="79"/>
      <c r="Y478" s="79"/>
      <c r="Z478" s="79"/>
      <c r="AA478" s="79"/>
    </row>
    <row r="479" spans="1:27" x14ac:dyDescent="0.2">
      <c r="A479" s="73"/>
      <c r="B479" s="74"/>
      <c r="C479" s="74"/>
      <c r="D479" s="74"/>
      <c r="E479" s="74"/>
      <c r="F479" s="74"/>
      <c r="G479" s="75"/>
      <c r="H479" s="75"/>
      <c r="I479" s="76"/>
      <c r="J479" s="77"/>
      <c r="K479" s="76"/>
      <c r="L479" s="76"/>
      <c r="M479" s="74"/>
      <c r="N479" s="74"/>
      <c r="O479" s="78"/>
      <c r="P479" s="78"/>
      <c r="Q479" s="78"/>
      <c r="R479" s="78"/>
      <c r="S479" s="79"/>
      <c r="T479" s="79"/>
      <c r="U479" s="79"/>
      <c r="V479" s="79"/>
      <c r="W479" s="79"/>
      <c r="X479" s="79"/>
      <c r="Y479" s="79"/>
      <c r="Z479" s="79"/>
      <c r="AA479" s="79"/>
    </row>
    <row r="480" spans="1:27" x14ac:dyDescent="0.2">
      <c r="A480" s="73"/>
      <c r="B480" s="74"/>
      <c r="C480" s="74"/>
      <c r="D480" s="74"/>
      <c r="E480" s="74"/>
      <c r="F480" s="74"/>
      <c r="G480" s="75"/>
      <c r="H480" s="75"/>
      <c r="I480" s="76"/>
      <c r="J480" s="77"/>
      <c r="K480" s="76"/>
      <c r="L480" s="76"/>
      <c r="M480" s="74"/>
      <c r="N480" s="74"/>
      <c r="O480" s="78"/>
      <c r="P480" s="78"/>
      <c r="Q480" s="78"/>
      <c r="R480" s="78"/>
      <c r="S480" s="79"/>
      <c r="T480" s="79"/>
      <c r="U480" s="79"/>
      <c r="V480" s="79"/>
      <c r="W480" s="79"/>
      <c r="X480" s="79"/>
      <c r="Y480" s="79"/>
      <c r="Z480" s="79"/>
      <c r="AA480" s="79"/>
    </row>
    <row r="481" spans="1:27" x14ac:dyDescent="0.2">
      <c r="A481" s="73"/>
      <c r="B481" s="74"/>
      <c r="C481" s="74"/>
      <c r="D481" s="74"/>
      <c r="E481" s="74"/>
      <c r="F481" s="74"/>
      <c r="G481" s="75"/>
      <c r="H481" s="75"/>
      <c r="I481" s="76"/>
      <c r="J481" s="77"/>
      <c r="K481" s="76"/>
      <c r="L481" s="76"/>
      <c r="M481" s="74"/>
      <c r="N481" s="74"/>
      <c r="O481" s="78"/>
      <c r="P481" s="78"/>
      <c r="Q481" s="78"/>
      <c r="R481" s="78"/>
      <c r="S481" s="79"/>
      <c r="T481" s="79"/>
      <c r="U481" s="79"/>
      <c r="V481" s="79"/>
      <c r="W481" s="79"/>
      <c r="X481" s="79"/>
      <c r="Y481" s="79"/>
      <c r="Z481" s="79"/>
      <c r="AA481" s="79"/>
    </row>
    <row r="482" spans="1:27" x14ac:dyDescent="0.2">
      <c r="A482" s="73"/>
      <c r="B482" s="74"/>
      <c r="C482" s="74"/>
      <c r="D482" s="74"/>
      <c r="E482" s="74"/>
      <c r="F482" s="74"/>
      <c r="G482" s="75"/>
      <c r="H482" s="75"/>
      <c r="I482" s="76"/>
      <c r="J482" s="77"/>
      <c r="K482" s="76"/>
      <c r="L482" s="76"/>
      <c r="M482" s="74"/>
      <c r="N482" s="74"/>
      <c r="O482" s="78"/>
      <c r="P482" s="78"/>
      <c r="Q482" s="78"/>
      <c r="R482" s="78"/>
      <c r="S482" s="79"/>
      <c r="T482" s="79"/>
      <c r="U482" s="79"/>
      <c r="V482" s="79"/>
      <c r="W482" s="79"/>
      <c r="X482" s="79"/>
      <c r="Y482" s="79"/>
      <c r="Z482" s="79"/>
      <c r="AA482" s="79"/>
    </row>
    <row r="483" spans="1:27" x14ac:dyDescent="0.2">
      <c r="A483" s="73"/>
      <c r="B483" s="74"/>
      <c r="C483" s="74"/>
      <c r="D483" s="74"/>
      <c r="E483" s="74"/>
      <c r="F483" s="74"/>
      <c r="G483" s="75"/>
      <c r="H483" s="75"/>
      <c r="I483" s="76"/>
      <c r="J483" s="77"/>
      <c r="K483" s="76"/>
      <c r="L483" s="76"/>
      <c r="M483" s="74"/>
      <c r="N483" s="74"/>
      <c r="O483" s="78"/>
      <c r="P483" s="78"/>
      <c r="Q483" s="78"/>
      <c r="R483" s="78"/>
      <c r="S483" s="79"/>
      <c r="T483" s="79"/>
      <c r="U483" s="79"/>
      <c r="V483" s="79"/>
      <c r="W483" s="79"/>
      <c r="X483" s="79"/>
      <c r="Y483" s="79"/>
      <c r="Z483" s="79"/>
      <c r="AA483" s="79"/>
    </row>
    <row r="484" spans="1:27" x14ac:dyDescent="0.2">
      <c r="A484" s="73"/>
      <c r="B484" s="74"/>
      <c r="C484" s="74"/>
      <c r="D484" s="74"/>
      <c r="E484" s="74"/>
      <c r="F484" s="74"/>
      <c r="G484" s="75"/>
      <c r="H484" s="75"/>
      <c r="I484" s="76"/>
      <c r="J484" s="77"/>
      <c r="K484" s="76"/>
      <c r="L484" s="76"/>
      <c r="M484" s="74"/>
      <c r="N484" s="74"/>
      <c r="O484" s="78"/>
      <c r="P484" s="78"/>
      <c r="Q484" s="78"/>
      <c r="R484" s="78"/>
      <c r="S484" s="79"/>
      <c r="T484" s="79"/>
      <c r="U484" s="79"/>
      <c r="V484" s="79"/>
      <c r="W484" s="79"/>
      <c r="X484" s="79"/>
      <c r="Y484" s="79"/>
      <c r="Z484" s="79"/>
      <c r="AA484" s="79"/>
    </row>
    <row r="485" spans="1:27" x14ac:dyDescent="0.2">
      <c r="A485" s="73"/>
      <c r="B485" s="74"/>
      <c r="C485" s="74"/>
      <c r="D485" s="74"/>
      <c r="E485" s="74"/>
      <c r="F485" s="74"/>
      <c r="G485" s="75"/>
      <c r="H485" s="75"/>
      <c r="I485" s="76"/>
      <c r="J485" s="77"/>
      <c r="K485" s="76"/>
      <c r="L485" s="76"/>
      <c r="M485" s="74"/>
      <c r="N485" s="74"/>
      <c r="O485" s="78"/>
      <c r="P485" s="78"/>
      <c r="Q485" s="78"/>
      <c r="R485" s="78"/>
      <c r="S485" s="79"/>
      <c r="T485" s="79"/>
      <c r="U485" s="79"/>
      <c r="V485" s="79"/>
      <c r="W485" s="79"/>
      <c r="X485" s="79"/>
      <c r="Y485" s="79"/>
      <c r="Z485" s="79"/>
      <c r="AA485" s="79"/>
    </row>
    <row r="486" spans="1:27" x14ac:dyDescent="0.2">
      <c r="A486" s="73"/>
      <c r="B486" s="74"/>
      <c r="C486" s="74"/>
      <c r="D486" s="74"/>
      <c r="E486" s="74"/>
      <c r="F486" s="74"/>
      <c r="G486" s="75"/>
      <c r="H486" s="75"/>
      <c r="I486" s="76"/>
      <c r="J486" s="77"/>
      <c r="K486" s="76"/>
      <c r="L486" s="76"/>
      <c r="M486" s="74"/>
      <c r="N486" s="74"/>
      <c r="O486" s="78"/>
      <c r="P486" s="78"/>
      <c r="Q486" s="78"/>
      <c r="R486" s="78"/>
      <c r="S486" s="79"/>
      <c r="T486" s="79"/>
      <c r="U486" s="79"/>
      <c r="V486" s="79"/>
      <c r="W486" s="79"/>
      <c r="X486" s="79"/>
      <c r="Y486" s="79"/>
      <c r="Z486" s="79"/>
      <c r="AA486" s="79"/>
    </row>
    <row r="487" spans="1:27" x14ac:dyDescent="0.2">
      <c r="A487" s="73"/>
      <c r="B487" s="74"/>
      <c r="C487" s="74"/>
      <c r="D487" s="74"/>
      <c r="E487" s="74"/>
      <c r="F487" s="74"/>
      <c r="G487" s="75"/>
      <c r="H487" s="75"/>
      <c r="I487" s="76"/>
      <c r="J487" s="77"/>
      <c r="K487" s="76"/>
      <c r="L487" s="76"/>
      <c r="M487" s="74"/>
      <c r="N487" s="74"/>
      <c r="O487" s="78"/>
      <c r="P487" s="78"/>
      <c r="Q487" s="78"/>
      <c r="R487" s="78"/>
      <c r="S487" s="79"/>
      <c r="T487" s="79"/>
      <c r="U487" s="79"/>
      <c r="V487" s="79"/>
      <c r="W487" s="79"/>
      <c r="X487" s="79"/>
      <c r="Y487" s="79"/>
      <c r="Z487" s="79"/>
      <c r="AA487" s="79"/>
    </row>
    <row r="488" spans="1:27" x14ac:dyDescent="0.2">
      <c r="A488" s="73"/>
      <c r="B488" s="74"/>
      <c r="C488" s="74"/>
      <c r="D488" s="74"/>
      <c r="E488" s="74"/>
      <c r="F488" s="74"/>
      <c r="G488" s="75"/>
      <c r="H488" s="75"/>
      <c r="I488" s="76"/>
      <c r="J488" s="77"/>
      <c r="K488" s="76"/>
      <c r="L488" s="76"/>
      <c r="M488" s="74"/>
      <c r="N488" s="74"/>
      <c r="O488" s="78"/>
      <c r="P488" s="78"/>
      <c r="Q488" s="78"/>
      <c r="R488" s="78"/>
      <c r="S488" s="79"/>
      <c r="T488" s="79"/>
      <c r="U488" s="79"/>
      <c r="V488" s="79"/>
      <c r="W488" s="79"/>
      <c r="X488" s="79"/>
      <c r="Y488" s="79"/>
      <c r="Z488" s="79"/>
      <c r="AA488" s="79"/>
    </row>
    <row r="489" spans="1:27" x14ac:dyDescent="0.2">
      <c r="A489" s="73"/>
      <c r="B489" s="74"/>
      <c r="C489" s="74"/>
      <c r="D489" s="74"/>
      <c r="E489" s="74"/>
      <c r="F489" s="74"/>
      <c r="G489" s="75"/>
      <c r="H489" s="75"/>
      <c r="I489" s="76"/>
      <c r="J489" s="77"/>
      <c r="K489" s="76"/>
      <c r="L489" s="76"/>
      <c r="M489" s="74"/>
      <c r="N489" s="74"/>
      <c r="O489" s="78"/>
      <c r="P489" s="78"/>
      <c r="Q489" s="78"/>
      <c r="R489" s="78"/>
      <c r="S489" s="79"/>
      <c r="T489" s="79"/>
      <c r="U489" s="79"/>
      <c r="V489" s="79"/>
      <c r="W489" s="79"/>
      <c r="X489" s="79"/>
      <c r="Y489" s="79"/>
      <c r="Z489" s="79"/>
      <c r="AA489" s="79"/>
    </row>
    <row r="490" spans="1:27" x14ac:dyDescent="0.2">
      <c r="A490" s="73"/>
      <c r="B490" s="74"/>
      <c r="C490" s="74"/>
      <c r="D490" s="74"/>
      <c r="E490" s="74"/>
      <c r="F490" s="74"/>
      <c r="G490" s="75"/>
      <c r="H490" s="75"/>
      <c r="I490" s="76"/>
      <c r="J490" s="77"/>
      <c r="K490" s="76"/>
      <c r="L490" s="76"/>
      <c r="M490" s="74"/>
      <c r="N490" s="74"/>
      <c r="O490" s="78"/>
      <c r="P490" s="78"/>
      <c r="Q490" s="78"/>
      <c r="R490" s="78"/>
      <c r="S490" s="79"/>
      <c r="T490" s="79"/>
      <c r="U490" s="79"/>
      <c r="V490" s="79"/>
      <c r="W490" s="79"/>
      <c r="X490" s="79"/>
      <c r="Y490" s="79"/>
      <c r="Z490" s="79"/>
      <c r="AA490" s="79"/>
    </row>
    <row r="491" spans="1:27" x14ac:dyDescent="0.2">
      <c r="A491" s="73"/>
      <c r="B491" s="74"/>
      <c r="C491" s="74"/>
      <c r="D491" s="74"/>
      <c r="E491" s="74"/>
      <c r="F491" s="74"/>
      <c r="G491" s="75"/>
      <c r="H491" s="75"/>
      <c r="I491" s="76"/>
      <c r="J491" s="77"/>
      <c r="K491" s="76"/>
      <c r="L491" s="76"/>
      <c r="M491" s="74"/>
      <c r="N491" s="74"/>
      <c r="O491" s="78"/>
      <c r="P491" s="78"/>
      <c r="Q491" s="78"/>
      <c r="R491" s="78"/>
      <c r="S491" s="79"/>
      <c r="T491" s="79"/>
      <c r="U491" s="79"/>
      <c r="V491" s="79"/>
      <c r="W491" s="79"/>
      <c r="X491" s="79"/>
      <c r="Y491" s="79"/>
      <c r="Z491" s="79"/>
      <c r="AA491" s="79"/>
    </row>
    <row r="492" spans="1:27" x14ac:dyDescent="0.2">
      <c r="A492" s="73"/>
      <c r="B492" s="74"/>
      <c r="C492" s="74"/>
      <c r="D492" s="74"/>
      <c r="E492" s="74"/>
      <c r="F492" s="74"/>
      <c r="G492" s="75"/>
      <c r="H492" s="75"/>
      <c r="I492" s="76"/>
      <c r="J492" s="77"/>
      <c r="K492" s="76"/>
      <c r="L492" s="76"/>
      <c r="M492" s="74"/>
      <c r="N492" s="74"/>
      <c r="O492" s="78"/>
      <c r="P492" s="78"/>
      <c r="Q492" s="78"/>
      <c r="R492" s="78"/>
      <c r="S492" s="79"/>
      <c r="T492" s="79"/>
      <c r="U492" s="79"/>
      <c r="V492" s="79"/>
      <c r="W492" s="79"/>
      <c r="X492" s="79"/>
      <c r="Y492" s="79"/>
      <c r="Z492" s="79"/>
      <c r="AA492" s="79"/>
    </row>
    <row r="493" spans="1:27" x14ac:dyDescent="0.2">
      <c r="A493" s="73"/>
      <c r="B493" s="74"/>
      <c r="C493" s="74"/>
      <c r="D493" s="74"/>
      <c r="E493" s="74"/>
      <c r="F493" s="74"/>
      <c r="G493" s="75"/>
      <c r="H493" s="75"/>
      <c r="I493" s="76"/>
      <c r="J493" s="77"/>
      <c r="K493" s="76"/>
      <c r="L493" s="76"/>
      <c r="M493" s="74"/>
      <c r="N493" s="74"/>
      <c r="O493" s="78"/>
      <c r="P493" s="78"/>
      <c r="Q493" s="78"/>
      <c r="R493" s="78"/>
      <c r="S493" s="79"/>
      <c r="T493" s="79"/>
      <c r="U493" s="79"/>
      <c r="V493" s="79"/>
      <c r="W493" s="79"/>
      <c r="X493" s="79"/>
      <c r="Y493" s="79"/>
      <c r="Z493" s="79"/>
      <c r="AA493" s="79"/>
    </row>
    <row r="494" spans="1:27" x14ac:dyDescent="0.2">
      <c r="A494" s="73"/>
      <c r="B494" s="74"/>
      <c r="C494" s="74"/>
      <c r="D494" s="74"/>
      <c r="E494" s="74"/>
      <c r="F494" s="74"/>
      <c r="G494" s="75"/>
      <c r="H494" s="75"/>
      <c r="I494" s="76"/>
      <c r="J494" s="77"/>
      <c r="K494" s="76"/>
      <c r="L494" s="76"/>
      <c r="M494" s="74"/>
      <c r="N494" s="74"/>
      <c r="O494" s="78"/>
      <c r="P494" s="78"/>
      <c r="Q494" s="78"/>
      <c r="R494" s="78"/>
      <c r="S494" s="79"/>
      <c r="T494" s="79"/>
      <c r="U494" s="79"/>
      <c r="V494" s="79"/>
      <c r="W494" s="79"/>
      <c r="X494" s="79"/>
      <c r="Y494" s="79"/>
      <c r="Z494" s="79"/>
      <c r="AA494" s="79"/>
    </row>
    <row r="495" spans="1:27" x14ac:dyDescent="0.2">
      <c r="A495" s="73"/>
      <c r="B495" s="74"/>
      <c r="C495" s="74"/>
      <c r="D495" s="74"/>
      <c r="E495" s="74"/>
      <c r="F495" s="74"/>
      <c r="G495" s="75"/>
      <c r="H495" s="75"/>
      <c r="I495" s="76"/>
      <c r="J495" s="77"/>
      <c r="K495" s="76"/>
      <c r="L495" s="76"/>
      <c r="M495" s="74"/>
      <c r="N495" s="74"/>
      <c r="O495" s="78"/>
      <c r="P495" s="78"/>
      <c r="Q495" s="78"/>
      <c r="R495" s="78"/>
      <c r="S495" s="79"/>
      <c r="T495" s="79"/>
      <c r="U495" s="79"/>
      <c r="V495" s="79"/>
      <c r="W495" s="79"/>
      <c r="X495" s="79"/>
      <c r="Y495" s="79"/>
      <c r="Z495" s="79"/>
      <c r="AA495" s="79"/>
    </row>
    <row r="496" spans="1:27" x14ac:dyDescent="0.2">
      <c r="A496" s="73"/>
      <c r="B496" s="74"/>
      <c r="C496" s="74"/>
      <c r="D496" s="74"/>
      <c r="E496" s="74"/>
      <c r="F496" s="74"/>
      <c r="G496" s="75"/>
      <c r="H496" s="75"/>
      <c r="I496" s="76"/>
      <c r="J496" s="77"/>
      <c r="K496" s="76"/>
      <c r="L496" s="76"/>
      <c r="M496" s="74"/>
      <c r="N496" s="74"/>
      <c r="O496" s="78"/>
      <c r="P496" s="78"/>
      <c r="Q496" s="78"/>
      <c r="R496" s="78"/>
      <c r="S496" s="79"/>
      <c r="T496" s="79"/>
      <c r="U496" s="79"/>
      <c r="V496" s="79"/>
      <c r="W496" s="79"/>
      <c r="X496" s="79"/>
      <c r="Y496" s="79"/>
      <c r="Z496" s="79"/>
      <c r="AA496" s="79"/>
    </row>
    <row r="497" spans="1:27" x14ac:dyDescent="0.2">
      <c r="A497" s="73"/>
      <c r="B497" s="74"/>
      <c r="C497" s="74"/>
      <c r="D497" s="74"/>
      <c r="E497" s="74"/>
      <c r="F497" s="74"/>
      <c r="G497" s="75"/>
      <c r="H497" s="75"/>
      <c r="I497" s="76"/>
      <c r="J497" s="77"/>
      <c r="K497" s="76"/>
      <c r="L497" s="76"/>
      <c r="M497" s="74"/>
      <c r="N497" s="74"/>
      <c r="O497" s="78"/>
      <c r="P497" s="78"/>
      <c r="Q497" s="78"/>
      <c r="R497" s="78"/>
      <c r="S497" s="79"/>
      <c r="T497" s="79"/>
      <c r="U497" s="79"/>
      <c r="V497" s="79"/>
      <c r="W497" s="79"/>
      <c r="X497" s="79"/>
      <c r="Y497" s="79"/>
      <c r="Z497" s="79"/>
      <c r="AA497" s="79"/>
    </row>
    <row r="498" spans="1:27" x14ac:dyDescent="0.2">
      <c r="A498" s="73"/>
      <c r="B498" s="74"/>
      <c r="C498" s="74"/>
      <c r="D498" s="74"/>
      <c r="E498" s="74"/>
      <c r="F498" s="74"/>
      <c r="G498" s="75"/>
      <c r="H498" s="75"/>
      <c r="I498" s="76"/>
      <c r="J498" s="77"/>
      <c r="K498" s="76"/>
      <c r="L498" s="76"/>
      <c r="M498" s="74"/>
      <c r="N498" s="74"/>
      <c r="O498" s="78"/>
      <c r="P498" s="78"/>
      <c r="Q498" s="78"/>
      <c r="R498" s="78"/>
      <c r="S498" s="79"/>
      <c r="T498" s="79"/>
      <c r="U498" s="79"/>
      <c r="V498" s="79"/>
      <c r="W498" s="79"/>
      <c r="X498" s="79"/>
      <c r="Y498" s="79"/>
      <c r="Z498" s="79"/>
      <c r="AA498" s="79"/>
    </row>
    <row r="499" spans="1:27" x14ac:dyDescent="0.2">
      <c r="A499" s="73"/>
      <c r="B499" s="74"/>
      <c r="C499" s="74"/>
      <c r="D499" s="74"/>
      <c r="E499" s="74"/>
      <c r="F499" s="74"/>
      <c r="G499" s="75"/>
      <c r="H499" s="75"/>
      <c r="I499" s="76"/>
      <c r="J499" s="77"/>
      <c r="K499" s="76"/>
      <c r="L499" s="76"/>
      <c r="M499" s="74"/>
      <c r="N499" s="74"/>
      <c r="O499" s="78"/>
      <c r="P499" s="78"/>
      <c r="Q499" s="78"/>
      <c r="R499" s="78"/>
      <c r="S499" s="79"/>
      <c r="T499" s="79"/>
      <c r="U499" s="79"/>
      <c r="V499" s="79"/>
      <c r="W499" s="79"/>
      <c r="X499" s="79"/>
      <c r="Y499" s="79"/>
      <c r="Z499" s="79"/>
      <c r="AA499" s="79"/>
    </row>
    <row r="500" spans="1:27" x14ac:dyDescent="0.2">
      <c r="A500" s="73"/>
      <c r="B500" s="74"/>
      <c r="C500" s="74"/>
      <c r="D500" s="74"/>
      <c r="E500" s="74"/>
      <c r="F500" s="74"/>
      <c r="G500" s="75"/>
      <c r="H500" s="75"/>
      <c r="I500" s="76"/>
      <c r="J500" s="77"/>
      <c r="K500" s="76"/>
      <c r="L500" s="76"/>
      <c r="M500" s="74"/>
      <c r="N500" s="74"/>
      <c r="O500" s="78"/>
      <c r="P500" s="78"/>
      <c r="Q500" s="78"/>
      <c r="R500" s="78"/>
      <c r="S500" s="79"/>
      <c r="T500" s="79"/>
      <c r="U500" s="79"/>
      <c r="V500" s="79"/>
      <c r="W500" s="79"/>
      <c r="X500" s="79"/>
      <c r="Y500" s="79"/>
      <c r="Z500" s="79"/>
      <c r="AA500" s="79"/>
    </row>
    <row r="501" spans="1:27" x14ac:dyDescent="0.2">
      <c r="A501" s="73"/>
      <c r="B501" s="74"/>
      <c r="C501" s="74"/>
      <c r="D501" s="74"/>
      <c r="E501" s="74"/>
      <c r="F501" s="74"/>
      <c r="G501" s="75"/>
      <c r="H501" s="75"/>
      <c r="I501" s="76"/>
      <c r="J501" s="77"/>
      <c r="K501" s="76"/>
      <c r="L501" s="76"/>
      <c r="M501" s="74"/>
      <c r="N501" s="74"/>
      <c r="O501" s="78"/>
      <c r="P501" s="78"/>
      <c r="Q501" s="78"/>
      <c r="R501" s="78"/>
      <c r="S501" s="79"/>
      <c r="T501" s="79"/>
      <c r="U501" s="79"/>
      <c r="V501" s="79"/>
      <c r="W501" s="79"/>
      <c r="X501" s="79"/>
      <c r="Y501" s="79"/>
      <c r="Z501" s="79"/>
      <c r="AA501" s="79"/>
    </row>
    <row r="502" spans="1:27" x14ac:dyDescent="0.2">
      <c r="A502" s="73"/>
      <c r="B502" s="74"/>
      <c r="C502" s="74"/>
      <c r="D502" s="74"/>
      <c r="E502" s="74"/>
      <c r="F502" s="74"/>
      <c r="G502" s="75"/>
      <c r="H502" s="75"/>
      <c r="I502" s="76"/>
      <c r="J502" s="77"/>
      <c r="K502" s="76"/>
      <c r="L502" s="76"/>
      <c r="M502" s="74"/>
      <c r="N502" s="74"/>
      <c r="O502" s="78"/>
      <c r="P502" s="78"/>
      <c r="Q502" s="78"/>
      <c r="R502" s="78"/>
      <c r="S502" s="79"/>
      <c r="T502" s="79"/>
      <c r="U502" s="79"/>
      <c r="V502" s="79"/>
      <c r="W502" s="79"/>
      <c r="X502" s="79"/>
      <c r="Y502" s="79"/>
      <c r="Z502" s="79"/>
      <c r="AA502" s="79"/>
    </row>
    <row r="503" spans="1:27" x14ac:dyDescent="0.2">
      <c r="A503" s="73"/>
      <c r="B503" s="74"/>
      <c r="C503" s="74"/>
      <c r="D503" s="74"/>
      <c r="E503" s="74"/>
      <c r="F503" s="74"/>
      <c r="G503" s="75"/>
      <c r="H503" s="75"/>
      <c r="I503" s="76"/>
      <c r="J503" s="77"/>
      <c r="K503" s="76"/>
      <c r="L503" s="76"/>
      <c r="M503" s="74"/>
      <c r="N503" s="74"/>
      <c r="O503" s="78"/>
      <c r="P503" s="78"/>
      <c r="Q503" s="78"/>
      <c r="R503" s="78"/>
      <c r="S503" s="79"/>
      <c r="T503" s="79"/>
      <c r="U503" s="79"/>
      <c r="V503" s="79"/>
      <c r="W503" s="79"/>
      <c r="X503" s="79"/>
      <c r="Y503" s="79"/>
      <c r="Z503" s="79"/>
      <c r="AA503" s="79"/>
    </row>
    <row r="504" spans="1:27" x14ac:dyDescent="0.2">
      <c r="A504" s="73"/>
      <c r="B504" s="74"/>
      <c r="C504" s="74"/>
      <c r="D504" s="74"/>
      <c r="E504" s="74"/>
      <c r="F504" s="74"/>
      <c r="G504" s="75"/>
      <c r="H504" s="75"/>
      <c r="I504" s="76"/>
      <c r="J504" s="77"/>
      <c r="K504" s="76"/>
      <c r="L504" s="76"/>
      <c r="M504" s="74"/>
      <c r="N504" s="74"/>
      <c r="O504" s="78"/>
      <c r="P504" s="78"/>
      <c r="Q504" s="78"/>
      <c r="R504" s="78"/>
      <c r="S504" s="79"/>
      <c r="T504" s="79"/>
      <c r="U504" s="79"/>
      <c r="V504" s="79"/>
      <c r="W504" s="79"/>
      <c r="X504" s="79"/>
      <c r="Y504" s="79"/>
      <c r="Z504" s="79"/>
      <c r="AA504" s="79"/>
    </row>
    <row r="505" spans="1:27" x14ac:dyDescent="0.2">
      <c r="A505" s="73"/>
      <c r="B505" s="74"/>
      <c r="C505" s="74"/>
      <c r="D505" s="74"/>
      <c r="E505" s="74"/>
      <c r="F505" s="74"/>
      <c r="G505" s="75"/>
      <c r="H505" s="75"/>
      <c r="I505" s="76"/>
      <c r="J505" s="77"/>
      <c r="K505" s="76"/>
      <c r="L505" s="76"/>
      <c r="M505" s="74"/>
      <c r="N505" s="74"/>
      <c r="O505" s="78"/>
      <c r="P505" s="78"/>
      <c r="Q505" s="78"/>
      <c r="R505" s="78"/>
      <c r="S505" s="79"/>
      <c r="T505" s="79"/>
      <c r="U505" s="79"/>
      <c r="V505" s="79"/>
      <c r="W505" s="79"/>
      <c r="X505" s="79"/>
      <c r="Y505" s="79"/>
      <c r="Z505" s="79"/>
      <c r="AA505" s="79"/>
    </row>
    <row r="506" spans="1:27" x14ac:dyDescent="0.2">
      <c r="A506" s="73"/>
      <c r="B506" s="74"/>
      <c r="C506" s="74"/>
      <c r="D506" s="74"/>
      <c r="E506" s="74"/>
      <c r="F506" s="74"/>
      <c r="G506" s="75"/>
      <c r="H506" s="75"/>
      <c r="I506" s="76"/>
      <c r="J506" s="77"/>
      <c r="K506" s="76"/>
      <c r="L506" s="76"/>
      <c r="M506" s="74"/>
      <c r="N506" s="74"/>
      <c r="O506" s="78"/>
      <c r="P506" s="78"/>
      <c r="Q506" s="78"/>
      <c r="R506" s="78"/>
      <c r="S506" s="79"/>
      <c r="T506" s="79"/>
      <c r="U506" s="79"/>
      <c r="V506" s="79"/>
      <c r="W506" s="79"/>
      <c r="X506" s="79"/>
      <c r="Y506" s="79"/>
      <c r="Z506" s="79"/>
      <c r="AA506" s="79"/>
    </row>
    <row r="507" spans="1:27" x14ac:dyDescent="0.2">
      <c r="A507" s="73"/>
      <c r="B507" s="74"/>
      <c r="C507" s="74"/>
      <c r="D507" s="74"/>
      <c r="E507" s="74"/>
      <c r="F507" s="74"/>
      <c r="G507" s="75"/>
      <c r="H507" s="75"/>
      <c r="I507" s="76"/>
      <c r="J507" s="77"/>
      <c r="K507" s="76"/>
      <c r="L507" s="76"/>
      <c r="M507" s="74"/>
      <c r="N507" s="74"/>
      <c r="O507" s="78"/>
      <c r="P507" s="78"/>
      <c r="Q507" s="78"/>
      <c r="R507" s="78"/>
      <c r="S507" s="79"/>
      <c r="T507" s="79"/>
      <c r="U507" s="79"/>
      <c r="V507" s="79"/>
      <c r="W507" s="79"/>
      <c r="X507" s="79"/>
      <c r="Y507" s="79"/>
      <c r="Z507" s="79"/>
      <c r="AA507" s="79"/>
    </row>
    <row r="508" spans="1:27" x14ac:dyDescent="0.2">
      <c r="A508" s="73"/>
      <c r="B508" s="74"/>
      <c r="C508" s="74"/>
      <c r="D508" s="74"/>
      <c r="E508" s="74"/>
      <c r="F508" s="74"/>
      <c r="G508" s="75"/>
      <c r="H508" s="75"/>
      <c r="I508" s="76"/>
      <c r="J508" s="77"/>
      <c r="K508" s="76"/>
      <c r="L508" s="76"/>
      <c r="M508" s="74"/>
      <c r="N508" s="74"/>
      <c r="O508" s="78"/>
      <c r="P508" s="78"/>
      <c r="Q508" s="78"/>
      <c r="R508" s="78"/>
      <c r="S508" s="79"/>
      <c r="T508" s="79"/>
      <c r="U508" s="79"/>
      <c r="V508" s="79"/>
      <c r="W508" s="79"/>
      <c r="X508" s="79"/>
      <c r="Y508" s="79"/>
      <c r="Z508" s="79"/>
      <c r="AA508" s="79"/>
    </row>
    <row r="509" spans="1:27" x14ac:dyDescent="0.2">
      <c r="A509" s="73"/>
      <c r="B509" s="74"/>
      <c r="C509" s="74"/>
      <c r="D509" s="74"/>
      <c r="E509" s="74"/>
      <c r="F509" s="74"/>
      <c r="G509" s="75"/>
      <c r="H509" s="75"/>
      <c r="I509" s="76"/>
      <c r="J509" s="77"/>
      <c r="K509" s="76"/>
      <c r="L509" s="76"/>
      <c r="M509" s="74"/>
      <c r="N509" s="74"/>
      <c r="O509" s="78"/>
      <c r="P509" s="78"/>
      <c r="Q509" s="78"/>
      <c r="R509" s="78"/>
      <c r="S509" s="79"/>
      <c r="T509" s="79"/>
      <c r="U509" s="79"/>
      <c r="V509" s="79"/>
      <c r="W509" s="79"/>
      <c r="X509" s="79"/>
      <c r="Y509" s="79"/>
      <c r="Z509" s="79"/>
      <c r="AA509" s="79"/>
    </row>
    <row r="510" spans="1:27" x14ac:dyDescent="0.2">
      <c r="A510" s="73"/>
      <c r="B510" s="74"/>
      <c r="C510" s="74"/>
      <c r="D510" s="74"/>
      <c r="E510" s="74"/>
      <c r="F510" s="74"/>
      <c r="G510" s="75"/>
      <c r="H510" s="75"/>
      <c r="I510" s="76"/>
      <c r="J510" s="77"/>
      <c r="K510" s="76"/>
      <c r="L510" s="76"/>
      <c r="M510" s="74"/>
      <c r="N510" s="74"/>
      <c r="O510" s="78"/>
      <c r="P510" s="78"/>
      <c r="Q510" s="78"/>
      <c r="R510" s="78"/>
      <c r="S510" s="79"/>
      <c r="T510" s="79"/>
      <c r="U510" s="79"/>
      <c r="V510" s="79"/>
      <c r="W510" s="79"/>
      <c r="X510" s="79"/>
      <c r="Y510" s="79"/>
      <c r="Z510" s="79"/>
      <c r="AA510" s="79"/>
    </row>
    <row r="511" spans="1:27" x14ac:dyDescent="0.2">
      <c r="A511" s="73"/>
      <c r="B511" s="74"/>
      <c r="C511" s="74"/>
      <c r="D511" s="74"/>
      <c r="E511" s="74"/>
      <c r="F511" s="74"/>
      <c r="G511" s="75"/>
      <c r="H511" s="75"/>
      <c r="I511" s="76"/>
      <c r="J511" s="77"/>
      <c r="K511" s="76"/>
      <c r="L511" s="76"/>
      <c r="M511" s="74"/>
      <c r="N511" s="74"/>
      <c r="O511" s="78"/>
      <c r="P511" s="78"/>
      <c r="Q511" s="78"/>
      <c r="R511" s="78"/>
      <c r="S511" s="79"/>
      <c r="T511" s="79"/>
      <c r="U511" s="79"/>
      <c r="V511" s="79"/>
      <c r="W511" s="79"/>
      <c r="X511" s="79"/>
      <c r="Y511" s="79"/>
      <c r="Z511" s="79"/>
      <c r="AA511" s="79"/>
    </row>
    <row r="512" spans="1:27" x14ac:dyDescent="0.2">
      <c r="A512" s="73"/>
      <c r="B512" s="74"/>
      <c r="C512" s="74"/>
      <c r="D512" s="74"/>
      <c r="E512" s="74"/>
      <c r="F512" s="74"/>
      <c r="G512" s="75"/>
      <c r="H512" s="75"/>
      <c r="I512" s="76"/>
      <c r="J512" s="77"/>
      <c r="K512" s="76"/>
      <c r="L512" s="76"/>
      <c r="M512" s="74"/>
      <c r="N512" s="74"/>
      <c r="O512" s="78"/>
      <c r="P512" s="78"/>
      <c r="Q512" s="78"/>
      <c r="R512" s="78"/>
      <c r="S512" s="79"/>
      <c r="T512" s="79"/>
      <c r="U512" s="79"/>
      <c r="V512" s="79"/>
      <c r="W512" s="79"/>
      <c r="X512" s="79"/>
      <c r="Y512" s="79"/>
      <c r="Z512" s="79"/>
      <c r="AA512" s="79"/>
    </row>
    <row r="513" spans="1:27" x14ac:dyDescent="0.2">
      <c r="A513" s="73"/>
      <c r="B513" s="74"/>
      <c r="C513" s="74"/>
      <c r="D513" s="74"/>
      <c r="E513" s="74"/>
      <c r="F513" s="74"/>
      <c r="G513" s="75"/>
      <c r="H513" s="75"/>
      <c r="I513" s="76"/>
      <c r="J513" s="77"/>
      <c r="K513" s="76"/>
      <c r="L513" s="76"/>
      <c r="M513" s="74"/>
      <c r="N513" s="74"/>
      <c r="O513" s="78"/>
      <c r="P513" s="78"/>
      <c r="Q513" s="78"/>
      <c r="R513" s="78"/>
      <c r="S513" s="79"/>
      <c r="T513" s="79"/>
      <c r="U513" s="79"/>
      <c r="V513" s="79"/>
      <c r="W513" s="79"/>
      <c r="X513" s="79"/>
      <c r="Y513" s="79"/>
      <c r="Z513" s="79"/>
      <c r="AA513" s="79"/>
    </row>
    <row r="514" spans="1:27" x14ac:dyDescent="0.2">
      <c r="A514" s="73"/>
      <c r="B514" s="74"/>
      <c r="C514" s="74"/>
      <c r="D514" s="74"/>
      <c r="E514" s="74"/>
      <c r="F514" s="74"/>
      <c r="G514" s="75"/>
      <c r="H514" s="75"/>
      <c r="I514" s="76"/>
      <c r="J514" s="77"/>
      <c r="K514" s="76"/>
      <c r="L514" s="76"/>
      <c r="M514" s="74"/>
      <c r="N514" s="74"/>
      <c r="O514" s="78"/>
      <c r="P514" s="78"/>
      <c r="Q514" s="78"/>
      <c r="R514" s="78"/>
      <c r="S514" s="79"/>
      <c r="T514" s="79"/>
      <c r="U514" s="79"/>
      <c r="V514" s="79"/>
      <c r="W514" s="79"/>
      <c r="X514" s="79"/>
      <c r="Y514" s="79"/>
      <c r="Z514" s="79"/>
      <c r="AA514" s="79"/>
    </row>
    <row r="515" spans="1:27" x14ac:dyDescent="0.2">
      <c r="A515" s="73"/>
      <c r="B515" s="74"/>
      <c r="C515" s="74"/>
      <c r="D515" s="74"/>
      <c r="E515" s="74"/>
      <c r="F515" s="74"/>
      <c r="G515" s="75"/>
      <c r="H515" s="75"/>
      <c r="I515" s="76"/>
      <c r="J515" s="77"/>
      <c r="K515" s="76"/>
      <c r="L515" s="76"/>
      <c r="M515" s="74"/>
      <c r="N515" s="74"/>
      <c r="O515" s="78"/>
      <c r="P515" s="78"/>
      <c r="Q515" s="78"/>
      <c r="R515" s="78"/>
      <c r="S515" s="79"/>
      <c r="T515" s="79"/>
      <c r="U515" s="79"/>
      <c r="V515" s="79"/>
      <c r="W515" s="79"/>
      <c r="X515" s="79"/>
      <c r="Y515" s="79"/>
      <c r="Z515" s="79"/>
      <c r="AA515" s="79"/>
    </row>
    <row r="516" spans="1:27" x14ac:dyDescent="0.2">
      <c r="A516" s="73"/>
      <c r="B516" s="74"/>
      <c r="C516" s="74"/>
      <c r="D516" s="74"/>
      <c r="E516" s="74"/>
      <c r="F516" s="74"/>
      <c r="G516" s="75"/>
      <c r="H516" s="75"/>
      <c r="I516" s="76"/>
      <c r="J516" s="77"/>
      <c r="K516" s="76"/>
      <c r="L516" s="76"/>
      <c r="M516" s="74"/>
      <c r="N516" s="74"/>
      <c r="O516" s="78"/>
      <c r="P516" s="78"/>
      <c r="Q516" s="78"/>
      <c r="R516" s="78"/>
      <c r="S516" s="79"/>
      <c r="T516" s="79"/>
      <c r="U516" s="79"/>
      <c r="V516" s="79"/>
      <c r="W516" s="79"/>
      <c r="X516" s="79"/>
      <c r="Y516" s="79"/>
      <c r="Z516" s="79"/>
      <c r="AA516" s="79"/>
    </row>
    <row r="517" spans="1:27" x14ac:dyDescent="0.2">
      <c r="A517" s="73"/>
      <c r="B517" s="74"/>
      <c r="C517" s="74"/>
      <c r="D517" s="74"/>
      <c r="E517" s="74"/>
      <c r="F517" s="74"/>
      <c r="G517" s="75"/>
      <c r="H517" s="75"/>
      <c r="I517" s="76"/>
      <c r="J517" s="77"/>
      <c r="K517" s="76"/>
      <c r="L517" s="76"/>
      <c r="M517" s="74"/>
      <c r="N517" s="74"/>
      <c r="O517" s="78"/>
      <c r="P517" s="78"/>
      <c r="Q517" s="78"/>
      <c r="R517" s="78"/>
      <c r="S517" s="79"/>
      <c r="T517" s="79"/>
      <c r="U517" s="79"/>
      <c r="V517" s="79"/>
      <c r="W517" s="79"/>
      <c r="X517" s="79"/>
      <c r="Y517" s="79"/>
      <c r="Z517" s="79"/>
      <c r="AA517" s="79"/>
    </row>
    <row r="518" spans="1:27" x14ac:dyDescent="0.2">
      <c r="A518" s="73"/>
      <c r="B518" s="74"/>
      <c r="C518" s="74"/>
      <c r="D518" s="74"/>
      <c r="E518" s="74"/>
      <c r="F518" s="74"/>
      <c r="G518" s="75"/>
      <c r="H518" s="75"/>
      <c r="I518" s="76"/>
      <c r="J518" s="77"/>
      <c r="K518" s="76"/>
      <c r="L518" s="76"/>
      <c r="M518" s="74"/>
      <c r="N518" s="74"/>
      <c r="O518" s="78"/>
      <c r="P518" s="78"/>
      <c r="Q518" s="78"/>
      <c r="R518" s="78"/>
      <c r="S518" s="79"/>
      <c r="T518" s="79"/>
      <c r="U518" s="79"/>
      <c r="V518" s="79"/>
      <c r="W518" s="79"/>
      <c r="X518" s="79"/>
      <c r="Y518" s="79"/>
      <c r="Z518" s="79"/>
      <c r="AA518" s="79"/>
    </row>
    <row r="519" spans="1:27" x14ac:dyDescent="0.2">
      <c r="A519" s="73"/>
      <c r="B519" s="74"/>
      <c r="C519" s="74"/>
      <c r="D519" s="74"/>
      <c r="E519" s="74"/>
      <c r="F519" s="74"/>
      <c r="G519" s="75"/>
      <c r="H519" s="75"/>
      <c r="I519" s="76"/>
      <c r="J519" s="77"/>
      <c r="K519" s="76"/>
      <c r="L519" s="76"/>
      <c r="M519" s="74"/>
      <c r="N519" s="74"/>
      <c r="O519" s="78"/>
      <c r="P519" s="78"/>
      <c r="Q519" s="78"/>
      <c r="R519" s="78"/>
      <c r="S519" s="79"/>
      <c r="T519" s="79"/>
      <c r="U519" s="79"/>
      <c r="V519" s="79"/>
      <c r="W519" s="79"/>
      <c r="X519" s="79"/>
      <c r="Y519" s="79"/>
      <c r="Z519" s="79"/>
      <c r="AA519" s="79"/>
    </row>
    <row r="520" spans="1:27" x14ac:dyDescent="0.2">
      <c r="A520" s="73"/>
      <c r="B520" s="74"/>
      <c r="C520" s="74"/>
      <c r="D520" s="74"/>
      <c r="E520" s="74"/>
      <c r="F520" s="74"/>
      <c r="G520" s="75"/>
      <c r="H520" s="75"/>
      <c r="I520" s="76"/>
      <c r="J520" s="77"/>
      <c r="K520" s="76"/>
      <c r="L520" s="76"/>
      <c r="M520" s="74"/>
      <c r="N520" s="74"/>
      <c r="O520" s="78"/>
      <c r="P520" s="78"/>
      <c r="Q520" s="78"/>
      <c r="R520" s="78"/>
      <c r="S520" s="79"/>
      <c r="T520" s="79"/>
      <c r="U520" s="79"/>
      <c r="V520" s="79"/>
      <c r="W520" s="79"/>
      <c r="X520" s="79"/>
      <c r="Y520" s="79"/>
      <c r="Z520" s="79"/>
      <c r="AA520" s="79"/>
    </row>
    <row r="521" spans="1:27" x14ac:dyDescent="0.2">
      <c r="A521" s="73"/>
      <c r="B521" s="74"/>
      <c r="C521" s="74"/>
      <c r="D521" s="74"/>
      <c r="E521" s="74"/>
      <c r="F521" s="74"/>
      <c r="G521" s="75"/>
      <c r="H521" s="75"/>
      <c r="I521" s="76"/>
      <c r="J521" s="77"/>
      <c r="K521" s="76"/>
      <c r="L521" s="76"/>
      <c r="M521" s="74"/>
      <c r="N521" s="74"/>
      <c r="O521" s="78"/>
      <c r="P521" s="78"/>
      <c r="Q521" s="78"/>
      <c r="R521" s="78"/>
      <c r="S521" s="79"/>
      <c r="T521" s="79"/>
      <c r="U521" s="79"/>
      <c r="V521" s="79"/>
      <c r="W521" s="79"/>
      <c r="X521" s="79"/>
      <c r="Y521" s="79"/>
      <c r="Z521" s="79"/>
      <c r="AA521" s="79"/>
    </row>
    <row r="522" spans="1:27" x14ac:dyDescent="0.2">
      <c r="A522" s="73"/>
      <c r="B522" s="74"/>
      <c r="C522" s="74"/>
      <c r="D522" s="74"/>
      <c r="E522" s="74"/>
      <c r="F522" s="74"/>
      <c r="G522" s="75"/>
      <c r="H522" s="75"/>
      <c r="I522" s="76"/>
      <c r="J522" s="77"/>
      <c r="K522" s="76"/>
      <c r="L522" s="76"/>
      <c r="M522" s="74"/>
      <c r="N522" s="74"/>
      <c r="O522" s="78"/>
      <c r="P522" s="78"/>
      <c r="Q522" s="78"/>
      <c r="R522" s="78"/>
      <c r="S522" s="79"/>
      <c r="T522" s="79"/>
      <c r="U522" s="79"/>
      <c r="V522" s="79"/>
      <c r="W522" s="79"/>
      <c r="X522" s="79"/>
      <c r="Y522" s="79"/>
      <c r="Z522" s="79"/>
      <c r="AA522" s="79"/>
    </row>
    <row r="523" spans="1:27" x14ac:dyDescent="0.2">
      <c r="A523" s="73"/>
      <c r="B523" s="74"/>
      <c r="C523" s="74"/>
      <c r="D523" s="74"/>
      <c r="E523" s="74"/>
      <c r="F523" s="74"/>
      <c r="G523" s="75"/>
      <c r="H523" s="75"/>
      <c r="I523" s="76"/>
      <c r="J523" s="77"/>
      <c r="K523" s="76"/>
      <c r="L523" s="76"/>
      <c r="M523" s="74"/>
      <c r="N523" s="74"/>
      <c r="O523" s="78"/>
      <c r="P523" s="78"/>
      <c r="Q523" s="78"/>
      <c r="R523" s="78"/>
      <c r="S523" s="79"/>
      <c r="T523" s="79"/>
      <c r="U523" s="79"/>
      <c r="V523" s="79"/>
      <c r="W523" s="79"/>
      <c r="X523" s="79"/>
      <c r="Y523" s="79"/>
      <c r="Z523" s="79"/>
      <c r="AA523" s="79"/>
    </row>
    <row r="524" spans="1:27" x14ac:dyDescent="0.2">
      <c r="A524" s="73"/>
      <c r="B524" s="74"/>
      <c r="C524" s="74"/>
      <c r="D524" s="74"/>
      <c r="E524" s="74"/>
      <c r="F524" s="74"/>
      <c r="G524" s="75"/>
      <c r="H524" s="75"/>
      <c r="I524" s="76"/>
      <c r="J524" s="77"/>
      <c r="K524" s="76"/>
      <c r="L524" s="76"/>
      <c r="M524" s="74"/>
      <c r="N524" s="74"/>
      <c r="O524" s="78"/>
      <c r="P524" s="78"/>
      <c r="Q524" s="78"/>
      <c r="R524" s="78"/>
      <c r="S524" s="79"/>
      <c r="T524" s="79"/>
      <c r="U524" s="79"/>
      <c r="V524" s="79"/>
      <c r="W524" s="79"/>
      <c r="X524" s="79"/>
      <c r="Y524" s="79"/>
      <c r="Z524" s="79"/>
      <c r="AA524" s="79"/>
    </row>
    <row r="525" spans="1:27" x14ac:dyDescent="0.2">
      <c r="A525" s="73"/>
      <c r="B525" s="74"/>
      <c r="C525" s="74"/>
      <c r="D525" s="74"/>
      <c r="E525" s="74"/>
      <c r="F525" s="74"/>
      <c r="G525" s="75"/>
      <c r="H525" s="75"/>
      <c r="I525" s="76"/>
      <c r="J525" s="77"/>
      <c r="K525" s="76"/>
      <c r="L525" s="76"/>
      <c r="M525" s="74"/>
      <c r="N525" s="74"/>
      <c r="O525" s="78"/>
      <c r="P525" s="78"/>
      <c r="Q525" s="78"/>
      <c r="R525" s="78"/>
      <c r="S525" s="79"/>
      <c r="T525" s="79"/>
      <c r="U525" s="79"/>
      <c r="V525" s="79"/>
      <c r="W525" s="79"/>
      <c r="X525" s="79"/>
      <c r="Y525" s="79"/>
      <c r="Z525" s="79"/>
      <c r="AA525" s="79"/>
    </row>
    <row r="526" spans="1:27" x14ac:dyDescent="0.2">
      <c r="A526" s="73"/>
      <c r="B526" s="74"/>
      <c r="C526" s="74"/>
      <c r="D526" s="74"/>
      <c r="E526" s="74"/>
      <c r="F526" s="74"/>
      <c r="G526" s="75"/>
      <c r="H526" s="75"/>
      <c r="I526" s="76"/>
      <c r="J526" s="77"/>
      <c r="K526" s="76"/>
      <c r="L526" s="76"/>
      <c r="M526" s="74"/>
      <c r="N526" s="74"/>
      <c r="O526" s="78"/>
      <c r="P526" s="78"/>
      <c r="Q526" s="78"/>
      <c r="R526" s="78"/>
      <c r="S526" s="79"/>
      <c r="T526" s="79"/>
      <c r="U526" s="79"/>
      <c r="V526" s="79"/>
      <c r="W526" s="79"/>
      <c r="X526" s="79"/>
      <c r="Y526" s="79"/>
      <c r="Z526" s="79"/>
      <c r="AA526" s="79"/>
    </row>
    <row r="527" spans="1:27" x14ac:dyDescent="0.2">
      <c r="A527" s="73"/>
      <c r="B527" s="74"/>
      <c r="C527" s="74"/>
      <c r="D527" s="74"/>
      <c r="E527" s="74"/>
      <c r="F527" s="74"/>
      <c r="G527" s="75"/>
      <c r="H527" s="75"/>
      <c r="I527" s="76"/>
      <c r="J527" s="77"/>
      <c r="K527" s="76"/>
      <c r="L527" s="76"/>
      <c r="M527" s="74"/>
      <c r="N527" s="74"/>
      <c r="O527" s="78"/>
      <c r="P527" s="78"/>
      <c r="Q527" s="78"/>
      <c r="R527" s="78"/>
      <c r="S527" s="79"/>
      <c r="T527" s="79"/>
      <c r="U527" s="79"/>
      <c r="V527" s="79"/>
      <c r="W527" s="79"/>
      <c r="X527" s="79"/>
      <c r="Y527" s="79"/>
      <c r="Z527" s="79"/>
      <c r="AA527" s="79"/>
    </row>
    <row r="528" spans="1:27" x14ac:dyDescent="0.2">
      <c r="A528" s="73"/>
      <c r="B528" s="74"/>
      <c r="C528" s="74"/>
      <c r="D528" s="74"/>
      <c r="E528" s="74"/>
      <c r="F528" s="74"/>
      <c r="G528" s="75"/>
      <c r="H528" s="75"/>
      <c r="I528" s="76"/>
      <c r="J528" s="77"/>
      <c r="K528" s="76"/>
      <c r="L528" s="76"/>
      <c r="M528" s="74"/>
      <c r="N528" s="74"/>
      <c r="O528" s="78"/>
      <c r="P528" s="78"/>
      <c r="Q528" s="78"/>
      <c r="R528" s="78"/>
      <c r="S528" s="79"/>
      <c r="T528" s="79"/>
      <c r="U528" s="79"/>
      <c r="V528" s="79"/>
      <c r="W528" s="79"/>
      <c r="X528" s="79"/>
      <c r="Y528" s="79"/>
      <c r="Z528" s="79"/>
      <c r="AA528" s="79"/>
    </row>
    <row r="529" spans="1:27" x14ac:dyDescent="0.2">
      <c r="A529" s="73"/>
      <c r="B529" s="74"/>
      <c r="C529" s="74"/>
      <c r="D529" s="74"/>
      <c r="E529" s="74"/>
      <c r="F529" s="74"/>
      <c r="G529" s="75"/>
      <c r="H529" s="75"/>
      <c r="I529" s="76"/>
      <c r="J529" s="77"/>
      <c r="K529" s="76"/>
      <c r="L529" s="76"/>
      <c r="M529" s="74"/>
      <c r="N529" s="74"/>
      <c r="O529" s="78"/>
      <c r="P529" s="78"/>
      <c r="Q529" s="78"/>
      <c r="R529" s="78"/>
      <c r="S529" s="79"/>
      <c r="T529" s="79"/>
      <c r="U529" s="79"/>
      <c r="V529" s="79"/>
      <c r="W529" s="79"/>
      <c r="X529" s="79"/>
      <c r="Y529" s="79"/>
      <c r="Z529" s="79"/>
      <c r="AA529" s="79"/>
    </row>
    <row r="530" spans="1:27" x14ac:dyDescent="0.2">
      <c r="A530" s="73"/>
      <c r="B530" s="74"/>
      <c r="C530" s="74"/>
      <c r="D530" s="74"/>
      <c r="E530" s="74"/>
      <c r="F530" s="74"/>
      <c r="G530" s="75"/>
      <c r="H530" s="75"/>
      <c r="I530" s="76"/>
      <c r="J530" s="77"/>
      <c r="K530" s="76"/>
      <c r="L530" s="76"/>
      <c r="M530" s="74"/>
      <c r="N530" s="74"/>
      <c r="O530" s="78"/>
      <c r="P530" s="78"/>
      <c r="Q530" s="78"/>
      <c r="R530" s="78"/>
      <c r="S530" s="79"/>
      <c r="T530" s="79"/>
      <c r="U530" s="79"/>
      <c r="V530" s="79"/>
      <c r="W530" s="79"/>
      <c r="X530" s="79"/>
      <c r="Y530" s="79"/>
      <c r="Z530" s="79"/>
      <c r="AA530" s="79"/>
    </row>
    <row r="531" spans="1:27" x14ac:dyDescent="0.2">
      <c r="A531" s="73"/>
      <c r="B531" s="74"/>
      <c r="C531" s="74"/>
      <c r="D531" s="74"/>
      <c r="E531" s="74"/>
      <c r="F531" s="74"/>
      <c r="G531" s="75"/>
      <c r="H531" s="75"/>
      <c r="I531" s="76"/>
      <c r="J531" s="77"/>
      <c r="K531" s="76"/>
      <c r="L531" s="76"/>
      <c r="M531" s="74"/>
      <c r="N531" s="74"/>
      <c r="O531" s="78"/>
      <c r="P531" s="78"/>
      <c r="Q531" s="78"/>
      <c r="R531" s="78"/>
      <c r="S531" s="79"/>
      <c r="T531" s="79"/>
      <c r="U531" s="79"/>
      <c r="V531" s="79"/>
      <c r="W531" s="79"/>
      <c r="X531" s="79"/>
      <c r="Y531" s="79"/>
      <c r="Z531" s="79"/>
      <c r="AA531" s="79"/>
    </row>
    <row r="532" spans="1:27" x14ac:dyDescent="0.2">
      <c r="A532" s="73"/>
      <c r="B532" s="74"/>
      <c r="C532" s="74"/>
      <c r="D532" s="74"/>
      <c r="E532" s="74"/>
      <c r="F532" s="74"/>
      <c r="G532" s="75"/>
      <c r="H532" s="75"/>
      <c r="I532" s="76"/>
      <c r="J532" s="77"/>
      <c r="K532" s="76"/>
      <c r="L532" s="76"/>
      <c r="M532" s="74"/>
      <c r="N532" s="74"/>
      <c r="O532" s="78"/>
      <c r="P532" s="78"/>
      <c r="Q532" s="78"/>
      <c r="R532" s="78"/>
      <c r="S532" s="79"/>
      <c r="T532" s="79"/>
      <c r="U532" s="79"/>
      <c r="V532" s="79"/>
      <c r="W532" s="79"/>
      <c r="X532" s="79"/>
      <c r="Y532" s="79"/>
      <c r="Z532" s="79"/>
      <c r="AA532" s="79"/>
    </row>
    <row r="533" spans="1:27" x14ac:dyDescent="0.2">
      <c r="A533" s="73"/>
      <c r="B533" s="74"/>
      <c r="C533" s="74"/>
      <c r="D533" s="74"/>
      <c r="E533" s="74"/>
      <c r="F533" s="74"/>
      <c r="G533" s="75"/>
      <c r="H533" s="75"/>
      <c r="I533" s="76"/>
      <c r="J533" s="77"/>
      <c r="K533" s="76"/>
      <c r="L533" s="76"/>
      <c r="M533" s="74"/>
      <c r="N533" s="74"/>
      <c r="O533" s="78"/>
      <c r="P533" s="78"/>
      <c r="Q533" s="78"/>
      <c r="R533" s="78"/>
      <c r="S533" s="79"/>
      <c r="T533" s="79"/>
      <c r="U533" s="79"/>
      <c r="V533" s="79"/>
      <c r="W533" s="79"/>
      <c r="X533" s="79"/>
      <c r="Y533" s="79"/>
      <c r="Z533" s="79"/>
      <c r="AA533" s="79"/>
    </row>
    <row r="534" spans="1:27" x14ac:dyDescent="0.2">
      <c r="A534" s="73"/>
      <c r="B534" s="74"/>
      <c r="C534" s="74"/>
      <c r="D534" s="74"/>
      <c r="E534" s="74"/>
      <c r="F534" s="74"/>
      <c r="G534" s="75"/>
      <c r="H534" s="75"/>
      <c r="I534" s="76"/>
      <c r="J534" s="77"/>
      <c r="K534" s="76"/>
      <c r="L534" s="76"/>
      <c r="M534" s="74"/>
      <c r="N534" s="74"/>
      <c r="O534" s="78"/>
      <c r="P534" s="78"/>
      <c r="Q534" s="78"/>
      <c r="R534" s="78"/>
      <c r="S534" s="79"/>
      <c r="T534" s="79"/>
      <c r="U534" s="79"/>
      <c r="V534" s="79"/>
      <c r="W534" s="79"/>
      <c r="X534" s="79"/>
      <c r="Y534" s="79"/>
      <c r="Z534" s="79"/>
      <c r="AA534" s="79"/>
    </row>
    <row r="535" spans="1:27" x14ac:dyDescent="0.2">
      <c r="A535" s="73"/>
      <c r="B535" s="74"/>
      <c r="C535" s="74"/>
      <c r="D535" s="74"/>
      <c r="E535" s="74"/>
      <c r="F535" s="74"/>
      <c r="G535" s="75"/>
      <c r="H535" s="75"/>
      <c r="I535" s="76"/>
      <c r="J535" s="77"/>
      <c r="K535" s="76"/>
      <c r="L535" s="76"/>
      <c r="M535" s="74"/>
      <c r="N535" s="74"/>
      <c r="O535" s="78"/>
      <c r="P535" s="78"/>
      <c r="Q535" s="78"/>
      <c r="R535" s="78"/>
      <c r="S535" s="79"/>
      <c r="T535" s="79"/>
      <c r="U535" s="79"/>
      <c r="V535" s="79"/>
      <c r="W535" s="79"/>
      <c r="X535" s="79"/>
      <c r="Y535" s="79"/>
      <c r="Z535" s="79"/>
      <c r="AA535" s="79"/>
    </row>
    <row r="536" spans="1:27" x14ac:dyDescent="0.2">
      <c r="A536" s="73"/>
      <c r="B536" s="74"/>
      <c r="C536" s="74"/>
      <c r="D536" s="74"/>
      <c r="E536" s="74"/>
      <c r="F536" s="74"/>
      <c r="G536" s="75"/>
      <c r="H536" s="75"/>
      <c r="I536" s="76"/>
      <c r="J536" s="77"/>
      <c r="K536" s="76"/>
      <c r="L536" s="76"/>
      <c r="M536" s="74"/>
      <c r="N536" s="74"/>
      <c r="O536" s="78"/>
      <c r="P536" s="78"/>
      <c r="Q536" s="78"/>
      <c r="R536" s="78"/>
      <c r="S536" s="79"/>
      <c r="T536" s="79"/>
      <c r="U536" s="79"/>
      <c r="V536" s="79"/>
      <c r="W536" s="79"/>
      <c r="X536" s="79"/>
      <c r="Y536" s="79"/>
      <c r="Z536" s="79"/>
      <c r="AA536" s="79"/>
    </row>
    <row r="537" spans="1:27" x14ac:dyDescent="0.2">
      <c r="A537" s="73"/>
      <c r="B537" s="74"/>
      <c r="C537" s="74"/>
      <c r="D537" s="74"/>
      <c r="E537" s="74"/>
      <c r="F537" s="74"/>
      <c r="G537" s="75"/>
      <c r="H537" s="75"/>
      <c r="I537" s="76"/>
      <c r="J537" s="77"/>
      <c r="K537" s="76"/>
      <c r="L537" s="76"/>
      <c r="M537" s="74"/>
      <c r="N537" s="74"/>
      <c r="O537" s="78"/>
      <c r="P537" s="78"/>
      <c r="Q537" s="78"/>
      <c r="R537" s="78"/>
      <c r="S537" s="79"/>
      <c r="T537" s="79"/>
      <c r="U537" s="79"/>
      <c r="V537" s="79"/>
      <c r="W537" s="79"/>
      <c r="X537" s="79"/>
      <c r="Y537" s="79"/>
      <c r="Z537" s="79"/>
      <c r="AA537" s="79"/>
    </row>
    <row r="538" spans="1:27" x14ac:dyDescent="0.2">
      <c r="A538" s="73"/>
      <c r="B538" s="74"/>
      <c r="C538" s="74"/>
      <c r="D538" s="74"/>
      <c r="E538" s="74"/>
      <c r="F538" s="74"/>
      <c r="G538" s="75"/>
      <c r="H538" s="75"/>
      <c r="I538" s="76"/>
      <c r="J538" s="77"/>
      <c r="K538" s="76"/>
      <c r="L538" s="76"/>
      <c r="M538" s="74"/>
      <c r="N538" s="74"/>
      <c r="O538" s="78"/>
      <c r="P538" s="78"/>
      <c r="Q538" s="78"/>
      <c r="R538" s="78"/>
      <c r="S538" s="79"/>
      <c r="T538" s="79"/>
      <c r="U538" s="79"/>
      <c r="V538" s="79"/>
      <c r="W538" s="79"/>
      <c r="X538" s="79"/>
      <c r="Y538" s="79"/>
      <c r="Z538" s="79"/>
      <c r="AA538" s="79"/>
    </row>
    <row r="539" spans="1:27" x14ac:dyDescent="0.2">
      <c r="A539" s="73"/>
      <c r="B539" s="74"/>
      <c r="C539" s="74"/>
      <c r="D539" s="74"/>
      <c r="E539" s="74"/>
      <c r="F539" s="74"/>
      <c r="G539" s="75"/>
      <c r="H539" s="75"/>
      <c r="I539" s="76"/>
      <c r="J539" s="77"/>
      <c r="K539" s="76"/>
      <c r="L539" s="76"/>
      <c r="M539" s="74"/>
      <c r="N539" s="74"/>
      <c r="O539" s="78"/>
      <c r="P539" s="78"/>
      <c r="Q539" s="78"/>
      <c r="R539" s="78"/>
      <c r="S539" s="79"/>
      <c r="T539" s="79"/>
      <c r="U539" s="79"/>
      <c r="V539" s="79"/>
      <c r="W539" s="79"/>
      <c r="X539" s="79"/>
      <c r="Y539" s="79"/>
      <c r="Z539" s="79"/>
      <c r="AA539" s="79"/>
    </row>
    <row r="540" spans="1:27" x14ac:dyDescent="0.2">
      <c r="A540" s="73"/>
      <c r="B540" s="74"/>
      <c r="C540" s="74"/>
      <c r="D540" s="74"/>
      <c r="E540" s="74"/>
      <c r="F540" s="74"/>
      <c r="G540" s="75"/>
      <c r="H540" s="75"/>
      <c r="I540" s="76"/>
      <c r="J540" s="77"/>
      <c r="K540" s="76"/>
      <c r="L540" s="76"/>
      <c r="M540" s="74"/>
      <c r="N540" s="74"/>
      <c r="O540" s="78"/>
      <c r="P540" s="78"/>
      <c r="Q540" s="78"/>
      <c r="R540" s="78"/>
      <c r="S540" s="79"/>
      <c r="T540" s="79"/>
      <c r="U540" s="79"/>
      <c r="V540" s="79"/>
      <c r="W540" s="79"/>
      <c r="X540" s="79"/>
      <c r="Y540" s="79"/>
      <c r="Z540" s="79"/>
      <c r="AA540" s="79"/>
    </row>
    <row r="541" spans="1:27" x14ac:dyDescent="0.2">
      <c r="A541" s="73"/>
      <c r="B541" s="74"/>
      <c r="C541" s="74"/>
      <c r="D541" s="74"/>
      <c r="E541" s="74"/>
      <c r="F541" s="74"/>
      <c r="G541" s="75"/>
      <c r="H541" s="75"/>
      <c r="I541" s="76"/>
      <c r="J541" s="77"/>
      <c r="K541" s="76"/>
      <c r="L541" s="76"/>
      <c r="M541" s="74"/>
      <c r="N541" s="74"/>
      <c r="O541" s="78"/>
      <c r="P541" s="78"/>
      <c r="Q541" s="78"/>
      <c r="R541" s="78"/>
      <c r="S541" s="79"/>
      <c r="T541" s="79"/>
      <c r="U541" s="79"/>
      <c r="V541" s="79"/>
      <c r="W541" s="79"/>
      <c r="X541" s="79"/>
      <c r="Y541" s="79"/>
      <c r="Z541" s="79"/>
      <c r="AA541" s="79"/>
    </row>
    <row r="542" spans="1:27" x14ac:dyDescent="0.2">
      <c r="A542" s="73"/>
      <c r="B542" s="74"/>
      <c r="C542" s="74"/>
      <c r="D542" s="74"/>
      <c r="E542" s="74"/>
      <c r="F542" s="74"/>
      <c r="G542" s="75"/>
      <c r="H542" s="75"/>
      <c r="I542" s="76"/>
      <c r="J542" s="77"/>
      <c r="K542" s="76"/>
      <c r="L542" s="76"/>
      <c r="M542" s="74"/>
      <c r="N542" s="74"/>
      <c r="O542" s="78"/>
      <c r="P542" s="78"/>
      <c r="Q542" s="78"/>
      <c r="R542" s="78"/>
      <c r="S542" s="79"/>
      <c r="T542" s="79"/>
      <c r="U542" s="79"/>
      <c r="V542" s="79"/>
      <c r="W542" s="79"/>
      <c r="X542" s="79"/>
      <c r="Y542" s="79"/>
      <c r="Z542" s="79"/>
      <c r="AA542" s="79"/>
    </row>
    <row r="543" spans="1:27" x14ac:dyDescent="0.2">
      <c r="A543" s="73"/>
      <c r="B543" s="74"/>
      <c r="C543" s="74"/>
      <c r="D543" s="74"/>
      <c r="E543" s="74"/>
      <c r="F543" s="74"/>
      <c r="G543" s="75"/>
      <c r="H543" s="75"/>
      <c r="I543" s="76"/>
      <c r="J543" s="77"/>
      <c r="K543" s="76"/>
      <c r="L543" s="76"/>
      <c r="M543" s="74"/>
      <c r="N543" s="74"/>
      <c r="O543" s="78"/>
      <c r="P543" s="78"/>
      <c r="Q543" s="78"/>
      <c r="R543" s="78"/>
      <c r="S543" s="79"/>
      <c r="T543" s="79"/>
      <c r="U543" s="79"/>
      <c r="V543" s="79"/>
      <c r="W543" s="79"/>
      <c r="X543" s="79"/>
      <c r="Y543" s="79"/>
      <c r="Z543" s="79"/>
      <c r="AA543" s="79"/>
    </row>
    <row r="544" spans="1:27" x14ac:dyDescent="0.2">
      <c r="A544" s="73"/>
      <c r="B544" s="74"/>
      <c r="C544" s="74"/>
      <c r="D544" s="74"/>
      <c r="E544" s="74"/>
      <c r="F544" s="74"/>
      <c r="G544" s="75"/>
      <c r="H544" s="75"/>
      <c r="I544" s="76"/>
      <c r="J544" s="77"/>
      <c r="K544" s="76"/>
      <c r="L544" s="76"/>
      <c r="M544" s="74"/>
      <c r="N544" s="74"/>
      <c r="O544" s="78"/>
      <c r="P544" s="78"/>
      <c r="Q544" s="78"/>
      <c r="R544" s="78"/>
      <c r="S544" s="79"/>
      <c r="T544" s="79"/>
      <c r="U544" s="79"/>
      <c r="V544" s="79"/>
      <c r="W544" s="79"/>
      <c r="X544" s="79"/>
      <c r="Y544" s="79"/>
      <c r="Z544" s="79"/>
      <c r="AA544" s="79"/>
    </row>
    <row r="545" spans="1:27" x14ac:dyDescent="0.2">
      <c r="A545" s="73"/>
      <c r="B545" s="74"/>
      <c r="C545" s="74"/>
      <c r="D545" s="74"/>
      <c r="E545" s="74"/>
      <c r="F545" s="74"/>
      <c r="G545" s="75"/>
      <c r="H545" s="75"/>
      <c r="I545" s="76"/>
      <c r="J545" s="77"/>
      <c r="K545" s="76"/>
      <c r="L545" s="76"/>
      <c r="M545" s="74"/>
      <c r="N545" s="74"/>
      <c r="O545" s="78"/>
      <c r="P545" s="78"/>
      <c r="Q545" s="78"/>
      <c r="R545" s="78"/>
      <c r="S545" s="79"/>
      <c r="T545" s="79"/>
      <c r="U545" s="79"/>
      <c r="V545" s="79"/>
      <c r="W545" s="79"/>
      <c r="X545" s="79"/>
      <c r="Y545" s="79"/>
      <c r="Z545" s="79"/>
      <c r="AA545" s="79"/>
    </row>
    <row r="546" spans="1:27" x14ac:dyDescent="0.2">
      <c r="A546" s="73"/>
      <c r="B546" s="74"/>
      <c r="C546" s="74"/>
      <c r="D546" s="74"/>
      <c r="E546" s="74"/>
      <c r="F546" s="74"/>
      <c r="G546" s="75"/>
      <c r="H546" s="75"/>
      <c r="I546" s="76"/>
      <c r="J546" s="77"/>
      <c r="K546" s="76"/>
      <c r="L546" s="76"/>
      <c r="M546" s="74"/>
      <c r="N546" s="74"/>
      <c r="O546" s="78"/>
      <c r="P546" s="78"/>
      <c r="Q546" s="78"/>
      <c r="R546" s="78"/>
      <c r="S546" s="79"/>
      <c r="T546" s="79"/>
      <c r="U546" s="79"/>
      <c r="V546" s="79"/>
      <c r="W546" s="79"/>
      <c r="X546" s="79"/>
      <c r="Y546" s="79"/>
      <c r="Z546" s="79"/>
      <c r="AA546" s="79"/>
    </row>
    <row r="547" spans="1:27" x14ac:dyDescent="0.2">
      <c r="A547" s="73"/>
      <c r="B547" s="74"/>
      <c r="C547" s="74"/>
      <c r="D547" s="74"/>
      <c r="E547" s="74"/>
      <c r="F547" s="74"/>
      <c r="G547" s="75"/>
      <c r="H547" s="75"/>
      <c r="I547" s="76"/>
      <c r="J547" s="77"/>
      <c r="K547" s="76"/>
      <c r="L547" s="76"/>
      <c r="M547" s="74"/>
      <c r="N547" s="74"/>
      <c r="O547" s="78"/>
      <c r="P547" s="78"/>
      <c r="Q547" s="78"/>
      <c r="R547" s="78"/>
      <c r="S547" s="79"/>
      <c r="T547" s="79"/>
      <c r="U547" s="79"/>
      <c r="V547" s="79"/>
      <c r="W547" s="79"/>
      <c r="X547" s="79"/>
      <c r="Y547" s="79"/>
      <c r="Z547" s="79"/>
      <c r="AA547" s="79"/>
    </row>
    <row r="548" spans="1:27" x14ac:dyDescent="0.2">
      <c r="A548" s="73"/>
      <c r="B548" s="74"/>
      <c r="C548" s="74"/>
      <c r="D548" s="74"/>
      <c r="E548" s="74"/>
      <c r="F548" s="74"/>
      <c r="G548" s="75"/>
      <c r="H548" s="75"/>
      <c r="I548" s="76"/>
      <c r="J548" s="77"/>
      <c r="K548" s="76"/>
      <c r="L548" s="76"/>
      <c r="M548" s="74"/>
      <c r="N548" s="74"/>
      <c r="O548" s="78"/>
      <c r="P548" s="78"/>
      <c r="Q548" s="78"/>
      <c r="R548" s="78"/>
      <c r="S548" s="79"/>
      <c r="T548" s="79"/>
      <c r="U548" s="79"/>
      <c r="V548" s="79"/>
      <c r="W548" s="79"/>
      <c r="X548" s="79"/>
      <c r="Y548" s="79"/>
      <c r="Z548" s="79"/>
      <c r="AA548" s="79"/>
    </row>
    <row r="549" spans="1:27" x14ac:dyDescent="0.2">
      <c r="A549" s="73"/>
      <c r="B549" s="74"/>
      <c r="C549" s="74"/>
      <c r="D549" s="74"/>
      <c r="E549" s="74"/>
      <c r="F549" s="74"/>
      <c r="G549" s="75"/>
      <c r="H549" s="75"/>
      <c r="I549" s="76"/>
      <c r="J549" s="77"/>
      <c r="K549" s="76"/>
      <c r="L549" s="76"/>
      <c r="M549" s="74"/>
      <c r="N549" s="74"/>
      <c r="O549" s="78"/>
      <c r="P549" s="78"/>
      <c r="Q549" s="78"/>
      <c r="R549" s="78"/>
      <c r="S549" s="79"/>
      <c r="T549" s="79"/>
      <c r="U549" s="79"/>
      <c r="V549" s="79"/>
      <c r="W549" s="79"/>
      <c r="X549" s="79"/>
      <c r="Y549" s="79"/>
      <c r="Z549" s="79"/>
      <c r="AA549" s="79"/>
    </row>
    <row r="550" spans="1:27" x14ac:dyDescent="0.2">
      <c r="A550" s="73"/>
      <c r="B550" s="74"/>
      <c r="C550" s="74"/>
      <c r="D550" s="74"/>
      <c r="E550" s="74"/>
      <c r="F550" s="74"/>
      <c r="G550" s="75"/>
      <c r="H550" s="75"/>
      <c r="I550" s="76"/>
      <c r="J550" s="77"/>
      <c r="K550" s="76"/>
      <c r="L550" s="76"/>
      <c r="M550" s="74"/>
      <c r="N550" s="74"/>
      <c r="O550" s="78"/>
      <c r="P550" s="78"/>
      <c r="Q550" s="78"/>
      <c r="R550" s="78"/>
      <c r="S550" s="79"/>
      <c r="T550" s="79"/>
      <c r="U550" s="79"/>
      <c r="V550" s="79"/>
      <c r="W550" s="79"/>
      <c r="X550" s="79"/>
      <c r="Y550" s="79"/>
      <c r="Z550" s="79"/>
      <c r="AA550" s="79"/>
    </row>
    <row r="551" spans="1:27" x14ac:dyDescent="0.2">
      <c r="A551" s="73"/>
      <c r="B551" s="74"/>
      <c r="C551" s="74"/>
      <c r="D551" s="74"/>
      <c r="E551" s="74"/>
      <c r="F551" s="74"/>
      <c r="G551" s="75"/>
      <c r="H551" s="75"/>
      <c r="I551" s="76"/>
      <c r="J551" s="77"/>
      <c r="K551" s="76"/>
      <c r="L551" s="76"/>
      <c r="M551" s="74"/>
      <c r="N551" s="74"/>
      <c r="O551" s="78"/>
      <c r="P551" s="78"/>
      <c r="Q551" s="78"/>
      <c r="R551" s="78"/>
      <c r="S551" s="79"/>
      <c r="T551" s="79"/>
      <c r="U551" s="79"/>
      <c r="V551" s="79"/>
      <c r="W551" s="79"/>
      <c r="X551" s="79"/>
      <c r="Y551" s="79"/>
      <c r="Z551" s="79"/>
      <c r="AA551" s="79"/>
    </row>
    <row r="552" spans="1:27" x14ac:dyDescent="0.2">
      <c r="A552" s="73"/>
      <c r="B552" s="74"/>
      <c r="C552" s="74"/>
      <c r="D552" s="74"/>
      <c r="E552" s="74"/>
      <c r="F552" s="74"/>
      <c r="G552" s="75"/>
      <c r="H552" s="75"/>
      <c r="I552" s="76"/>
      <c r="J552" s="77"/>
      <c r="K552" s="76"/>
      <c r="L552" s="76"/>
      <c r="M552" s="74"/>
      <c r="N552" s="74"/>
      <c r="O552" s="78"/>
      <c r="P552" s="78"/>
      <c r="Q552" s="78"/>
      <c r="R552" s="78"/>
      <c r="S552" s="79"/>
      <c r="T552" s="79"/>
      <c r="U552" s="79"/>
      <c r="V552" s="79"/>
      <c r="W552" s="79"/>
      <c r="X552" s="79"/>
      <c r="Y552" s="79"/>
      <c r="Z552" s="79"/>
      <c r="AA552" s="79"/>
    </row>
    <row r="553" spans="1:27" x14ac:dyDescent="0.2">
      <c r="A553" s="73"/>
      <c r="B553" s="74"/>
      <c r="C553" s="74"/>
      <c r="D553" s="74"/>
      <c r="E553" s="74"/>
      <c r="F553" s="74"/>
      <c r="G553" s="75"/>
      <c r="H553" s="75"/>
      <c r="I553" s="76"/>
      <c r="J553" s="77"/>
      <c r="K553" s="76"/>
      <c r="L553" s="76"/>
      <c r="M553" s="74"/>
      <c r="N553" s="74"/>
      <c r="O553" s="78"/>
      <c r="P553" s="78"/>
      <c r="Q553" s="78"/>
      <c r="R553" s="78"/>
      <c r="S553" s="79"/>
      <c r="T553" s="79"/>
      <c r="U553" s="79"/>
      <c r="V553" s="79"/>
      <c r="W553" s="79"/>
      <c r="X553" s="79"/>
      <c r="Y553" s="79"/>
      <c r="Z553" s="79"/>
      <c r="AA553" s="79"/>
    </row>
    <row r="554" spans="1:27" x14ac:dyDescent="0.2">
      <c r="A554" s="73"/>
      <c r="B554" s="74"/>
      <c r="C554" s="74"/>
      <c r="D554" s="74"/>
      <c r="E554" s="74"/>
      <c r="F554" s="74"/>
      <c r="G554" s="75"/>
      <c r="H554" s="75"/>
      <c r="I554" s="76"/>
      <c r="J554" s="77"/>
      <c r="K554" s="76"/>
      <c r="L554" s="76"/>
      <c r="M554" s="74"/>
      <c r="N554" s="74"/>
      <c r="O554" s="78"/>
      <c r="P554" s="78"/>
      <c r="Q554" s="78"/>
      <c r="R554" s="78"/>
      <c r="S554" s="79"/>
      <c r="T554" s="79"/>
      <c r="U554" s="79"/>
      <c r="V554" s="79"/>
      <c r="W554" s="79"/>
      <c r="X554" s="79"/>
      <c r="Y554" s="79"/>
      <c r="Z554" s="79"/>
      <c r="AA554" s="79"/>
    </row>
    <row r="555" spans="1:27" x14ac:dyDescent="0.2">
      <c r="A555" s="73"/>
      <c r="B555" s="74"/>
      <c r="C555" s="74"/>
      <c r="D555" s="74"/>
      <c r="E555" s="74"/>
      <c r="F555" s="74"/>
      <c r="G555" s="75"/>
      <c r="H555" s="75"/>
      <c r="I555" s="76"/>
      <c r="J555" s="77"/>
      <c r="K555" s="76"/>
      <c r="L555" s="76"/>
      <c r="M555" s="74"/>
      <c r="N555" s="74"/>
      <c r="O555" s="78"/>
      <c r="P555" s="78"/>
      <c r="Q555" s="78"/>
      <c r="R555" s="78"/>
      <c r="S555" s="79"/>
      <c r="T555" s="79"/>
      <c r="U555" s="79"/>
      <c r="V555" s="79"/>
      <c r="W555" s="79"/>
      <c r="X555" s="79"/>
      <c r="Y555" s="79"/>
      <c r="Z555" s="79"/>
      <c r="AA555" s="79"/>
    </row>
    <row r="556" spans="1:27" x14ac:dyDescent="0.2">
      <c r="A556" s="73"/>
      <c r="B556" s="74"/>
      <c r="C556" s="74"/>
      <c r="D556" s="74"/>
      <c r="E556" s="74"/>
      <c r="F556" s="74"/>
      <c r="G556" s="75"/>
      <c r="H556" s="75"/>
      <c r="I556" s="76"/>
      <c r="J556" s="77"/>
      <c r="K556" s="76"/>
      <c r="L556" s="76"/>
      <c r="M556" s="74"/>
      <c r="N556" s="74"/>
      <c r="O556" s="78"/>
      <c r="P556" s="78"/>
      <c r="Q556" s="78"/>
      <c r="R556" s="78"/>
      <c r="S556" s="79"/>
      <c r="T556" s="79"/>
      <c r="U556" s="79"/>
      <c r="V556" s="79"/>
      <c r="W556" s="79"/>
      <c r="X556" s="79"/>
      <c r="Y556" s="79"/>
      <c r="Z556" s="79"/>
      <c r="AA556" s="79"/>
    </row>
    <row r="557" spans="1:27" x14ac:dyDescent="0.2">
      <c r="A557" s="73"/>
      <c r="B557" s="74"/>
      <c r="C557" s="74"/>
      <c r="D557" s="74"/>
      <c r="E557" s="74"/>
      <c r="F557" s="74"/>
      <c r="G557" s="75"/>
      <c r="H557" s="75"/>
      <c r="I557" s="76"/>
      <c r="J557" s="77"/>
      <c r="K557" s="76"/>
      <c r="L557" s="76"/>
      <c r="M557" s="74"/>
      <c r="N557" s="74"/>
      <c r="O557" s="78"/>
      <c r="P557" s="78"/>
      <c r="Q557" s="78"/>
      <c r="R557" s="78"/>
      <c r="S557" s="79"/>
      <c r="T557" s="79"/>
      <c r="U557" s="79"/>
      <c r="V557" s="79"/>
      <c r="W557" s="79"/>
      <c r="X557" s="79"/>
      <c r="Y557" s="79"/>
      <c r="Z557" s="79"/>
      <c r="AA557" s="79"/>
    </row>
    <row r="558" spans="1:27" x14ac:dyDescent="0.2">
      <c r="A558" s="73"/>
      <c r="B558" s="74"/>
      <c r="C558" s="74"/>
      <c r="D558" s="74"/>
      <c r="E558" s="74"/>
      <c r="F558" s="74"/>
      <c r="G558" s="75"/>
      <c r="H558" s="75"/>
      <c r="I558" s="76"/>
      <c r="J558" s="77"/>
      <c r="K558" s="76"/>
      <c r="L558" s="76"/>
      <c r="M558" s="74"/>
      <c r="N558" s="74"/>
      <c r="O558" s="78"/>
      <c r="P558" s="78"/>
      <c r="Q558" s="78"/>
      <c r="R558" s="78"/>
      <c r="S558" s="79"/>
      <c r="T558" s="79"/>
      <c r="U558" s="79"/>
      <c r="V558" s="79"/>
      <c r="W558" s="79"/>
      <c r="X558" s="79"/>
      <c r="Y558" s="79"/>
      <c r="Z558" s="79"/>
      <c r="AA558" s="79"/>
    </row>
    <row r="559" spans="1:27" x14ac:dyDescent="0.2">
      <c r="A559" s="73"/>
      <c r="B559" s="74"/>
      <c r="C559" s="74"/>
      <c r="D559" s="74"/>
      <c r="E559" s="74"/>
      <c r="F559" s="74"/>
      <c r="G559" s="75"/>
      <c r="H559" s="75"/>
      <c r="I559" s="76"/>
      <c r="J559" s="77"/>
      <c r="K559" s="76"/>
      <c r="L559" s="76"/>
      <c r="M559" s="74"/>
      <c r="N559" s="74"/>
      <c r="O559" s="78"/>
      <c r="P559" s="78"/>
      <c r="Q559" s="78"/>
      <c r="R559" s="78"/>
      <c r="S559" s="79"/>
      <c r="T559" s="79"/>
      <c r="U559" s="79"/>
      <c r="V559" s="79"/>
      <c r="W559" s="79"/>
      <c r="X559" s="79"/>
      <c r="Y559" s="79"/>
      <c r="Z559" s="79"/>
      <c r="AA559" s="79"/>
    </row>
    <row r="560" spans="1:27" x14ac:dyDescent="0.2">
      <c r="A560" s="73"/>
      <c r="B560" s="74"/>
      <c r="C560" s="74"/>
      <c r="D560" s="74"/>
      <c r="E560" s="74"/>
      <c r="F560" s="74"/>
      <c r="G560" s="75"/>
      <c r="H560" s="75"/>
      <c r="I560" s="76"/>
      <c r="J560" s="77"/>
      <c r="K560" s="76"/>
      <c r="L560" s="76"/>
      <c r="M560" s="74"/>
      <c r="N560" s="74"/>
      <c r="O560" s="78"/>
      <c r="P560" s="78"/>
      <c r="Q560" s="78"/>
      <c r="R560" s="78"/>
      <c r="S560" s="79"/>
      <c r="T560" s="79"/>
      <c r="U560" s="79"/>
      <c r="V560" s="79"/>
      <c r="W560" s="79"/>
      <c r="X560" s="79"/>
      <c r="Y560" s="79"/>
      <c r="Z560" s="79"/>
      <c r="AA560" s="79"/>
    </row>
    <row r="561" spans="1:27" x14ac:dyDescent="0.2">
      <c r="A561" s="73"/>
      <c r="B561" s="74"/>
      <c r="C561" s="74"/>
      <c r="D561" s="74"/>
      <c r="E561" s="74"/>
      <c r="F561" s="74"/>
      <c r="G561" s="75"/>
      <c r="H561" s="75"/>
      <c r="I561" s="76"/>
      <c r="J561" s="77"/>
      <c r="K561" s="76"/>
      <c r="L561" s="76"/>
      <c r="M561" s="74"/>
      <c r="N561" s="74"/>
      <c r="O561" s="78"/>
      <c r="P561" s="78"/>
      <c r="Q561" s="78"/>
      <c r="R561" s="78"/>
      <c r="S561" s="79"/>
      <c r="T561" s="79"/>
      <c r="U561" s="79"/>
      <c r="V561" s="79"/>
      <c r="W561" s="79"/>
      <c r="X561" s="79"/>
      <c r="Y561" s="79"/>
      <c r="Z561" s="79"/>
      <c r="AA561" s="79"/>
    </row>
    <row r="562" spans="1:27" x14ac:dyDescent="0.2">
      <c r="A562" s="73"/>
      <c r="B562" s="74"/>
      <c r="C562" s="74"/>
      <c r="D562" s="74"/>
      <c r="E562" s="74"/>
      <c r="F562" s="74"/>
      <c r="G562" s="75"/>
      <c r="H562" s="75"/>
      <c r="I562" s="76"/>
      <c r="J562" s="77"/>
      <c r="K562" s="76"/>
      <c r="L562" s="76"/>
      <c r="M562" s="74"/>
      <c r="N562" s="74"/>
      <c r="O562" s="78"/>
      <c r="P562" s="78"/>
      <c r="Q562" s="78"/>
      <c r="R562" s="78"/>
      <c r="S562" s="79"/>
      <c r="T562" s="79"/>
      <c r="U562" s="79"/>
      <c r="V562" s="79"/>
      <c r="W562" s="79"/>
      <c r="X562" s="79"/>
      <c r="Y562" s="79"/>
      <c r="Z562" s="79"/>
      <c r="AA562" s="79"/>
    </row>
    <row r="563" spans="1:27" x14ac:dyDescent="0.2">
      <c r="A563" s="73"/>
      <c r="B563" s="74"/>
      <c r="C563" s="74"/>
      <c r="D563" s="74"/>
      <c r="E563" s="74"/>
      <c r="F563" s="74"/>
      <c r="G563" s="75"/>
      <c r="H563" s="75"/>
      <c r="I563" s="76"/>
      <c r="J563" s="77"/>
      <c r="K563" s="76"/>
      <c r="L563" s="76"/>
      <c r="M563" s="74"/>
      <c r="N563" s="74"/>
      <c r="O563" s="78"/>
      <c r="P563" s="78"/>
      <c r="Q563" s="78"/>
      <c r="R563" s="78"/>
      <c r="S563" s="79"/>
      <c r="T563" s="79"/>
      <c r="U563" s="79"/>
      <c r="V563" s="79"/>
      <c r="W563" s="79"/>
      <c r="X563" s="79"/>
      <c r="Y563" s="79"/>
      <c r="Z563" s="79"/>
      <c r="AA563" s="79"/>
    </row>
    <row r="564" spans="1:27" x14ac:dyDescent="0.2">
      <c r="A564" s="73"/>
      <c r="B564" s="74"/>
      <c r="C564" s="74"/>
      <c r="D564" s="74"/>
      <c r="E564" s="74"/>
      <c r="F564" s="74"/>
      <c r="G564" s="75"/>
      <c r="H564" s="75"/>
      <c r="I564" s="76"/>
      <c r="J564" s="77"/>
      <c r="K564" s="76"/>
      <c r="L564" s="76"/>
      <c r="M564" s="74"/>
      <c r="N564" s="74"/>
      <c r="O564" s="78"/>
      <c r="P564" s="78"/>
      <c r="Q564" s="78"/>
      <c r="R564" s="78"/>
      <c r="S564" s="79"/>
      <c r="T564" s="79"/>
      <c r="U564" s="79"/>
      <c r="V564" s="79"/>
      <c r="W564" s="79"/>
      <c r="X564" s="79"/>
      <c r="Y564" s="79"/>
      <c r="Z564" s="79"/>
      <c r="AA564" s="79"/>
    </row>
    <row r="565" spans="1:27" x14ac:dyDescent="0.2">
      <c r="A565" s="73"/>
      <c r="B565" s="74"/>
      <c r="C565" s="74"/>
      <c r="D565" s="74"/>
      <c r="E565" s="74"/>
      <c r="F565" s="74"/>
      <c r="G565" s="75"/>
      <c r="H565" s="75"/>
      <c r="I565" s="76"/>
      <c r="J565" s="77"/>
      <c r="K565" s="76"/>
      <c r="L565" s="76"/>
      <c r="M565" s="74"/>
      <c r="N565" s="74"/>
      <c r="O565" s="78"/>
      <c r="P565" s="78"/>
      <c r="Q565" s="78"/>
      <c r="R565" s="78"/>
      <c r="S565" s="79"/>
      <c r="T565" s="79"/>
      <c r="U565" s="79"/>
      <c r="V565" s="79"/>
      <c r="W565" s="79"/>
      <c r="X565" s="79"/>
      <c r="Y565" s="79"/>
      <c r="Z565" s="79"/>
      <c r="AA565" s="79"/>
    </row>
    <row r="566" spans="1:27" x14ac:dyDescent="0.2">
      <c r="A566" s="73"/>
      <c r="B566" s="74"/>
      <c r="C566" s="74"/>
      <c r="D566" s="74"/>
      <c r="E566" s="74"/>
      <c r="F566" s="74"/>
      <c r="G566" s="75"/>
      <c r="H566" s="75"/>
      <c r="I566" s="76"/>
      <c r="J566" s="77"/>
      <c r="K566" s="76"/>
      <c r="L566" s="76"/>
      <c r="M566" s="74"/>
      <c r="N566" s="74"/>
      <c r="O566" s="78"/>
      <c r="P566" s="78"/>
      <c r="Q566" s="78"/>
      <c r="R566" s="78"/>
      <c r="S566" s="79"/>
      <c r="T566" s="79"/>
      <c r="U566" s="79"/>
      <c r="V566" s="79"/>
      <c r="W566" s="79"/>
      <c r="X566" s="79"/>
      <c r="Y566" s="79"/>
      <c r="Z566" s="79"/>
      <c r="AA566" s="79"/>
    </row>
    <row r="567" spans="1:27" x14ac:dyDescent="0.2">
      <c r="A567" s="73"/>
      <c r="B567" s="74"/>
      <c r="C567" s="74"/>
      <c r="D567" s="74"/>
      <c r="E567" s="74"/>
      <c r="F567" s="74"/>
      <c r="G567" s="75"/>
      <c r="H567" s="75"/>
      <c r="I567" s="76"/>
      <c r="J567" s="77"/>
      <c r="K567" s="76"/>
      <c r="L567" s="76"/>
      <c r="M567" s="74"/>
      <c r="N567" s="74"/>
      <c r="O567" s="78"/>
      <c r="P567" s="78"/>
      <c r="Q567" s="78"/>
      <c r="R567" s="78"/>
      <c r="S567" s="79"/>
      <c r="T567" s="79"/>
      <c r="U567" s="79"/>
      <c r="V567" s="79"/>
      <c r="W567" s="79"/>
      <c r="X567" s="79"/>
      <c r="Y567" s="79"/>
      <c r="Z567" s="79"/>
      <c r="AA567" s="79"/>
    </row>
    <row r="568" spans="1:27" x14ac:dyDescent="0.2">
      <c r="A568" s="73"/>
      <c r="B568" s="74"/>
      <c r="C568" s="74"/>
      <c r="D568" s="74"/>
      <c r="E568" s="74"/>
      <c r="F568" s="74"/>
      <c r="G568" s="75"/>
      <c r="H568" s="75"/>
      <c r="I568" s="76"/>
      <c r="J568" s="77"/>
      <c r="K568" s="76"/>
      <c r="L568" s="76"/>
      <c r="M568" s="74"/>
      <c r="N568" s="74"/>
      <c r="O568" s="78"/>
      <c r="P568" s="78"/>
      <c r="Q568" s="78"/>
      <c r="R568" s="78"/>
      <c r="S568" s="79"/>
      <c r="T568" s="79"/>
      <c r="U568" s="79"/>
      <c r="V568" s="79"/>
      <c r="W568" s="79"/>
      <c r="X568" s="79"/>
      <c r="Y568" s="79"/>
      <c r="Z568" s="79"/>
      <c r="AA568" s="79"/>
    </row>
    <row r="569" spans="1:27" x14ac:dyDescent="0.2">
      <c r="A569" s="73"/>
      <c r="B569" s="74"/>
      <c r="C569" s="74"/>
      <c r="D569" s="74"/>
      <c r="E569" s="74"/>
      <c r="F569" s="74"/>
      <c r="G569" s="75"/>
      <c r="H569" s="75"/>
      <c r="I569" s="76"/>
      <c r="J569" s="77"/>
      <c r="K569" s="76"/>
      <c r="L569" s="76"/>
      <c r="M569" s="74"/>
      <c r="N569" s="74"/>
      <c r="O569" s="78"/>
      <c r="P569" s="78"/>
      <c r="Q569" s="78"/>
      <c r="R569" s="78"/>
      <c r="S569" s="79"/>
      <c r="T569" s="79"/>
      <c r="U569" s="79"/>
      <c r="V569" s="79"/>
      <c r="W569" s="79"/>
      <c r="X569" s="79"/>
      <c r="Y569" s="79"/>
      <c r="Z569" s="79"/>
      <c r="AA569" s="79"/>
    </row>
    <row r="570" spans="1:27" x14ac:dyDescent="0.2">
      <c r="A570" s="73"/>
      <c r="B570" s="74"/>
      <c r="C570" s="74"/>
      <c r="D570" s="74"/>
      <c r="E570" s="74"/>
      <c r="F570" s="74"/>
      <c r="G570" s="75"/>
      <c r="H570" s="75"/>
      <c r="I570" s="76"/>
      <c r="J570" s="77"/>
      <c r="K570" s="76"/>
      <c r="L570" s="76"/>
      <c r="M570" s="74"/>
      <c r="N570" s="74"/>
      <c r="O570" s="78"/>
      <c r="P570" s="78"/>
      <c r="Q570" s="78"/>
      <c r="R570" s="78"/>
      <c r="S570" s="79"/>
      <c r="T570" s="79"/>
      <c r="U570" s="79"/>
      <c r="V570" s="79"/>
      <c r="W570" s="79"/>
      <c r="X570" s="79"/>
      <c r="Y570" s="79"/>
      <c r="Z570" s="79"/>
      <c r="AA570" s="79"/>
    </row>
    <row r="571" spans="1:27" x14ac:dyDescent="0.2">
      <c r="A571" s="73"/>
      <c r="B571" s="74"/>
      <c r="C571" s="74"/>
      <c r="D571" s="74"/>
      <c r="E571" s="74"/>
      <c r="F571" s="74"/>
      <c r="G571" s="75"/>
      <c r="H571" s="75"/>
      <c r="I571" s="76"/>
      <c r="J571" s="77"/>
      <c r="K571" s="76"/>
      <c r="L571" s="76"/>
      <c r="M571" s="74"/>
      <c r="N571" s="74"/>
      <c r="O571" s="78"/>
      <c r="P571" s="78"/>
      <c r="Q571" s="78"/>
      <c r="R571" s="78"/>
      <c r="S571" s="79"/>
      <c r="T571" s="79"/>
      <c r="U571" s="79"/>
      <c r="V571" s="79"/>
      <c r="W571" s="79"/>
      <c r="X571" s="79"/>
      <c r="Y571" s="79"/>
      <c r="Z571" s="79"/>
      <c r="AA571" s="79"/>
    </row>
    <row r="572" spans="1:27" x14ac:dyDescent="0.2">
      <c r="A572" s="73"/>
      <c r="B572" s="74"/>
      <c r="C572" s="74"/>
      <c r="D572" s="74"/>
      <c r="E572" s="74"/>
      <c r="F572" s="74"/>
      <c r="G572" s="75"/>
      <c r="H572" s="75"/>
      <c r="I572" s="76"/>
      <c r="J572" s="77"/>
      <c r="K572" s="76"/>
      <c r="L572" s="76"/>
      <c r="M572" s="74"/>
      <c r="N572" s="74"/>
      <c r="O572" s="78"/>
      <c r="P572" s="78"/>
      <c r="Q572" s="78"/>
      <c r="R572" s="78"/>
      <c r="S572" s="79"/>
      <c r="T572" s="79"/>
      <c r="U572" s="79"/>
      <c r="V572" s="79"/>
      <c r="W572" s="79"/>
      <c r="X572" s="79"/>
      <c r="Y572" s="79"/>
      <c r="Z572" s="79"/>
      <c r="AA572" s="79"/>
    </row>
    <row r="573" spans="1:27" x14ac:dyDescent="0.2">
      <c r="A573" s="73"/>
      <c r="B573" s="74"/>
      <c r="C573" s="74"/>
      <c r="D573" s="74"/>
      <c r="E573" s="74"/>
      <c r="F573" s="74"/>
      <c r="G573" s="75"/>
      <c r="H573" s="75"/>
      <c r="I573" s="76"/>
      <c r="J573" s="77"/>
      <c r="K573" s="76"/>
      <c r="L573" s="76"/>
      <c r="M573" s="74"/>
      <c r="N573" s="74"/>
      <c r="O573" s="78"/>
      <c r="P573" s="78"/>
      <c r="Q573" s="78"/>
      <c r="R573" s="78"/>
      <c r="S573" s="79"/>
      <c r="T573" s="79"/>
      <c r="U573" s="79"/>
      <c r="V573" s="79"/>
      <c r="W573" s="79"/>
      <c r="X573" s="79"/>
      <c r="Y573" s="79"/>
      <c r="Z573" s="79"/>
      <c r="AA573" s="79"/>
    </row>
    <row r="574" spans="1:27" x14ac:dyDescent="0.2">
      <c r="A574" s="73"/>
      <c r="B574" s="74"/>
      <c r="C574" s="74"/>
      <c r="D574" s="74"/>
      <c r="E574" s="74"/>
      <c r="F574" s="74"/>
      <c r="G574" s="75"/>
      <c r="H574" s="75"/>
      <c r="I574" s="76"/>
      <c r="J574" s="77"/>
      <c r="K574" s="76"/>
      <c r="L574" s="76"/>
      <c r="M574" s="74"/>
      <c r="N574" s="74"/>
      <c r="O574" s="78"/>
      <c r="P574" s="78"/>
      <c r="Q574" s="78"/>
      <c r="R574" s="78"/>
      <c r="S574" s="79"/>
      <c r="T574" s="79"/>
      <c r="U574" s="79"/>
      <c r="V574" s="79"/>
      <c r="W574" s="79"/>
      <c r="X574" s="79"/>
      <c r="Y574" s="79"/>
      <c r="Z574" s="79"/>
      <c r="AA574" s="79"/>
    </row>
    <row r="575" spans="1:27" x14ac:dyDescent="0.2">
      <c r="A575" s="73"/>
      <c r="B575" s="74"/>
      <c r="C575" s="74"/>
      <c r="D575" s="74"/>
      <c r="E575" s="74"/>
      <c r="F575" s="74"/>
      <c r="G575" s="75"/>
      <c r="H575" s="75"/>
      <c r="I575" s="76"/>
      <c r="J575" s="77"/>
      <c r="K575" s="76"/>
      <c r="L575" s="76"/>
      <c r="M575" s="74"/>
      <c r="N575" s="74"/>
      <c r="O575" s="78"/>
      <c r="P575" s="78"/>
      <c r="Q575" s="78"/>
      <c r="R575" s="78"/>
      <c r="S575" s="79"/>
      <c r="T575" s="79"/>
      <c r="U575" s="79"/>
      <c r="V575" s="79"/>
      <c r="W575" s="79"/>
      <c r="X575" s="79"/>
      <c r="Y575" s="79"/>
      <c r="Z575" s="79"/>
      <c r="AA575" s="79"/>
    </row>
    <row r="576" spans="1:27" x14ac:dyDescent="0.2">
      <c r="A576" s="73"/>
      <c r="B576" s="74"/>
      <c r="C576" s="74"/>
      <c r="D576" s="74"/>
      <c r="E576" s="74"/>
      <c r="F576" s="74"/>
      <c r="G576" s="75"/>
      <c r="H576" s="75"/>
      <c r="I576" s="76"/>
      <c r="J576" s="77"/>
      <c r="K576" s="76"/>
      <c r="L576" s="76"/>
      <c r="M576" s="74"/>
      <c r="N576" s="74"/>
      <c r="O576" s="78"/>
      <c r="P576" s="78"/>
      <c r="Q576" s="78"/>
      <c r="R576" s="78"/>
      <c r="S576" s="79"/>
      <c r="T576" s="79"/>
      <c r="U576" s="79"/>
      <c r="V576" s="79"/>
      <c r="W576" s="79"/>
      <c r="X576" s="79"/>
      <c r="Y576" s="79"/>
      <c r="Z576" s="79"/>
      <c r="AA576" s="79"/>
    </row>
    <row r="577" spans="1:27" x14ac:dyDescent="0.2">
      <c r="A577" s="73"/>
      <c r="B577" s="74"/>
      <c r="C577" s="74"/>
      <c r="D577" s="74"/>
      <c r="E577" s="74"/>
      <c r="F577" s="74"/>
      <c r="G577" s="75"/>
      <c r="H577" s="75"/>
      <c r="I577" s="76"/>
      <c r="J577" s="77"/>
      <c r="K577" s="76"/>
      <c r="L577" s="76"/>
      <c r="M577" s="74"/>
      <c r="N577" s="74"/>
      <c r="O577" s="78"/>
      <c r="P577" s="78"/>
      <c r="Q577" s="78"/>
      <c r="R577" s="78"/>
      <c r="S577" s="79"/>
      <c r="T577" s="79"/>
      <c r="U577" s="79"/>
      <c r="V577" s="79"/>
      <c r="W577" s="79"/>
      <c r="X577" s="79"/>
      <c r="Y577" s="79"/>
      <c r="Z577" s="79"/>
      <c r="AA577" s="79"/>
    </row>
    <row r="578" spans="1:27" x14ac:dyDescent="0.2">
      <c r="A578" s="73"/>
      <c r="B578" s="74"/>
      <c r="C578" s="74"/>
      <c r="D578" s="74"/>
      <c r="E578" s="74"/>
      <c r="F578" s="74"/>
      <c r="G578" s="75"/>
      <c r="H578" s="75"/>
      <c r="I578" s="76"/>
      <c r="J578" s="77"/>
      <c r="K578" s="76"/>
      <c r="L578" s="76"/>
      <c r="M578" s="74"/>
      <c r="N578" s="74"/>
      <c r="O578" s="78"/>
      <c r="P578" s="78"/>
      <c r="Q578" s="78"/>
      <c r="R578" s="78"/>
      <c r="S578" s="79"/>
      <c r="T578" s="79"/>
      <c r="U578" s="79"/>
      <c r="V578" s="79"/>
      <c r="W578" s="79"/>
      <c r="X578" s="79"/>
      <c r="Y578" s="79"/>
      <c r="Z578" s="79"/>
      <c r="AA578" s="79"/>
    </row>
    <row r="579" spans="1:27" x14ac:dyDescent="0.2">
      <c r="A579" s="73"/>
      <c r="B579" s="74"/>
      <c r="C579" s="74"/>
      <c r="D579" s="74"/>
      <c r="E579" s="74"/>
      <c r="F579" s="74"/>
      <c r="G579" s="75"/>
      <c r="H579" s="75"/>
      <c r="I579" s="76"/>
      <c r="J579" s="77"/>
      <c r="K579" s="76"/>
      <c r="L579" s="76"/>
      <c r="M579" s="74"/>
      <c r="N579" s="74"/>
      <c r="O579" s="78"/>
      <c r="P579" s="78"/>
      <c r="Q579" s="78"/>
      <c r="R579" s="78"/>
      <c r="S579" s="79"/>
      <c r="T579" s="79"/>
      <c r="U579" s="79"/>
      <c r="V579" s="79"/>
      <c r="W579" s="79"/>
      <c r="X579" s="79"/>
      <c r="Y579" s="79"/>
      <c r="Z579" s="79"/>
      <c r="AA579" s="79"/>
    </row>
    <row r="580" spans="1:27" x14ac:dyDescent="0.2">
      <c r="A580" s="73"/>
      <c r="B580" s="74"/>
      <c r="C580" s="74"/>
      <c r="D580" s="74"/>
      <c r="E580" s="74"/>
      <c r="F580" s="74"/>
      <c r="G580" s="75"/>
      <c r="H580" s="75"/>
      <c r="I580" s="76"/>
      <c r="J580" s="77"/>
      <c r="K580" s="76"/>
      <c r="L580" s="76"/>
      <c r="M580" s="74"/>
      <c r="N580" s="74"/>
      <c r="O580" s="78"/>
      <c r="P580" s="78"/>
      <c r="Q580" s="78"/>
      <c r="R580" s="78"/>
      <c r="S580" s="79"/>
      <c r="T580" s="79"/>
      <c r="U580" s="79"/>
      <c r="V580" s="79"/>
      <c r="W580" s="79"/>
      <c r="X580" s="79"/>
      <c r="Y580" s="79"/>
      <c r="Z580" s="79"/>
      <c r="AA580" s="79"/>
    </row>
    <row r="581" spans="1:27" x14ac:dyDescent="0.2">
      <c r="A581" s="73"/>
      <c r="B581" s="74"/>
      <c r="C581" s="74"/>
      <c r="D581" s="74"/>
      <c r="E581" s="74"/>
      <c r="F581" s="74"/>
      <c r="G581" s="75"/>
      <c r="H581" s="75"/>
      <c r="I581" s="76"/>
      <c r="J581" s="77"/>
      <c r="K581" s="76"/>
      <c r="L581" s="76"/>
      <c r="M581" s="74"/>
      <c r="N581" s="74"/>
      <c r="O581" s="78"/>
      <c r="P581" s="78"/>
      <c r="Q581" s="78"/>
      <c r="R581" s="78"/>
      <c r="S581" s="79"/>
      <c r="T581" s="79"/>
      <c r="U581" s="79"/>
      <c r="V581" s="79"/>
      <c r="W581" s="79"/>
      <c r="X581" s="79"/>
      <c r="Y581" s="79"/>
      <c r="Z581" s="79"/>
      <c r="AA581" s="79"/>
    </row>
    <row r="582" spans="1:27" x14ac:dyDescent="0.2">
      <c r="A582" s="73"/>
      <c r="B582" s="74"/>
      <c r="C582" s="74"/>
      <c r="D582" s="74"/>
      <c r="E582" s="74"/>
      <c r="F582" s="74"/>
      <c r="G582" s="75"/>
      <c r="H582" s="75"/>
      <c r="I582" s="76"/>
      <c r="J582" s="77"/>
      <c r="K582" s="76"/>
      <c r="L582" s="76"/>
      <c r="M582" s="74"/>
      <c r="N582" s="74"/>
      <c r="O582" s="78"/>
      <c r="P582" s="78"/>
      <c r="Q582" s="78"/>
      <c r="R582" s="78"/>
      <c r="S582" s="79"/>
      <c r="T582" s="79"/>
      <c r="U582" s="79"/>
      <c r="V582" s="79"/>
      <c r="W582" s="79"/>
      <c r="X582" s="79"/>
      <c r="Y582" s="79"/>
      <c r="Z582" s="79"/>
      <c r="AA582" s="79"/>
    </row>
    <row r="583" spans="1:27" x14ac:dyDescent="0.2">
      <c r="A583" s="73"/>
      <c r="B583" s="74"/>
      <c r="C583" s="74"/>
      <c r="D583" s="74"/>
      <c r="E583" s="74"/>
      <c r="F583" s="74"/>
      <c r="G583" s="75"/>
      <c r="H583" s="75"/>
      <c r="I583" s="76"/>
      <c r="J583" s="77"/>
      <c r="K583" s="76"/>
      <c r="L583" s="76"/>
      <c r="M583" s="74"/>
      <c r="N583" s="74"/>
      <c r="O583" s="78"/>
      <c r="P583" s="78"/>
      <c r="Q583" s="78"/>
      <c r="R583" s="78"/>
      <c r="S583" s="79"/>
      <c r="T583" s="79"/>
      <c r="U583" s="79"/>
      <c r="V583" s="79"/>
      <c r="W583" s="79"/>
      <c r="X583" s="79"/>
      <c r="Y583" s="79"/>
      <c r="Z583" s="79"/>
      <c r="AA583" s="79"/>
    </row>
    <row r="584" spans="1:27" x14ac:dyDescent="0.2">
      <c r="A584" s="73"/>
      <c r="B584" s="74"/>
      <c r="C584" s="74"/>
      <c r="D584" s="74"/>
      <c r="E584" s="74"/>
      <c r="F584" s="74"/>
      <c r="G584" s="75"/>
      <c r="H584" s="75"/>
      <c r="I584" s="76"/>
      <c r="J584" s="77"/>
      <c r="K584" s="76"/>
      <c r="L584" s="76"/>
      <c r="M584" s="74"/>
      <c r="N584" s="74"/>
      <c r="O584" s="78"/>
      <c r="P584" s="78"/>
      <c r="Q584" s="78"/>
      <c r="R584" s="78"/>
      <c r="S584" s="79"/>
      <c r="T584" s="79"/>
      <c r="U584" s="79"/>
      <c r="V584" s="79"/>
      <c r="W584" s="79"/>
      <c r="X584" s="79"/>
      <c r="Y584" s="79"/>
      <c r="Z584" s="79"/>
      <c r="AA584" s="79"/>
    </row>
    <row r="585" spans="1:27" x14ac:dyDescent="0.2">
      <c r="A585" s="73"/>
      <c r="B585" s="74"/>
      <c r="C585" s="74"/>
      <c r="D585" s="74"/>
      <c r="E585" s="74"/>
      <c r="F585" s="74"/>
      <c r="G585" s="75"/>
      <c r="H585" s="75"/>
      <c r="I585" s="76"/>
      <c r="J585" s="77"/>
      <c r="K585" s="76"/>
      <c r="L585" s="76"/>
      <c r="M585" s="74"/>
      <c r="N585" s="74"/>
      <c r="O585" s="78"/>
      <c r="P585" s="78"/>
      <c r="Q585" s="78"/>
      <c r="R585" s="78"/>
      <c r="S585" s="79"/>
      <c r="T585" s="79"/>
      <c r="U585" s="79"/>
      <c r="V585" s="79"/>
      <c r="W585" s="79"/>
      <c r="X585" s="79"/>
      <c r="Y585" s="79"/>
      <c r="Z585" s="79"/>
      <c r="AA585" s="79"/>
    </row>
    <row r="586" spans="1:27" x14ac:dyDescent="0.2">
      <c r="A586" s="73"/>
      <c r="B586" s="74"/>
      <c r="C586" s="74"/>
      <c r="D586" s="74"/>
      <c r="E586" s="74"/>
      <c r="F586" s="74"/>
      <c r="G586" s="75"/>
      <c r="H586" s="75"/>
      <c r="I586" s="76"/>
      <c r="J586" s="77"/>
      <c r="K586" s="76"/>
      <c r="L586" s="76"/>
      <c r="M586" s="74"/>
      <c r="N586" s="74"/>
      <c r="O586" s="78"/>
      <c r="P586" s="78"/>
      <c r="Q586" s="78"/>
      <c r="R586" s="78"/>
      <c r="S586" s="79"/>
      <c r="T586" s="79"/>
      <c r="U586" s="79"/>
      <c r="V586" s="79"/>
      <c r="W586" s="79"/>
      <c r="X586" s="79"/>
      <c r="Y586" s="79"/>
      <c r="Z586" s="79"/>
      <c r="AA586" s="79"/>
    </row>
    <row r="587" spans="1:27" x14ac:dyDescent="0.2">
      <c r="A587" s="73"/>
      <c r="B587" s="74"/>
      <c r="C587" s="74"/>
      <c r="D587" s="74"/>
      <c r="E587" s="74"/>
      <c r="F587" s="74"/>
      <c r="G587" s="75"/>
      <c r="H587" s="75"/>
      <c r="I587" s="76"/>
      <c r="J587" s="77"/>
      <c r="K587" s="76"/>
      <c r="L587" s="76"/>
      <c r="M587" s="74"/>
      <c r="N587" s="74"/>
      <c r="O587" s="78"/>
      <c r="P587" s="78"/>
      <c r="Q587" s="78"/>
      <c r="R587" s="78"/>
      <c r="S587" s="79"/>
      <c r="T587" s="79"/>
      <c r="U587" s="79"/>
      <c r="V587" s="79"/>
      <c r="W587" s="79"/>
      <c r="X587" s="79"/>
      <c r="Y587" s="79"/>
      <c r="Z587" s="79"/>
      <c r="AA587" s="79"/>
    </row>
    <row r="588" spans="1:27" x14ac:dyDescent="0.2">
      <c r="A588" s="73"/>
      <c r="B588" s="74"/>
      <c r="C588" s="74"/>
      <c r="D588" s="74"/>
      <c r="E588" s="74"/>
      <c r="F588" s="74"/>
      <c r="G588" s="75"/>
      <c r="H588" s="75"/>
      <c r="I588" s="76"/>
      <c r="J588" s="77"/>
      <c r="K588" s="76"/>
      <c r="L588" s="76"/>
      <c r="M588" s="74"/>
      <c r="N588" s="74"/>
      <c r="O588" s="78"/>
      <c r="P588" s="78"/>
      <c r="Q588" s="78"/>
      <c r="R588" s="78"/>
      <c r="S588" s="79"/>
      <c r="T588" s="79"/>
      <c r="U588" s="79"/>
      <c r="V588" s="79"/>
      <c r="W588" s="79"/>
      <c r="X588" s="79"/>
      <c r="Y588" s="79"/>
      <c r="Z588" s="79"/>
      <c r="AA588" s="79"/>
    </row>
    <row r="589" spans="1:27" x14ac:dyDescent="0.2">
      <c r="A589" s="73"/>
      <c r="B589" s="74"/>
      <c r="C589" s="74"/>
      <c r="D589" s="74"/>
      <c r="E589" s="74"/>
      <c r="F589" s="74"/>
      <c r="G589" s="75"/>
      <c r="H589" s="75"/>
      <c r="I589" s="76"/>
      <c r="J589" s="77"/>
      <c r="K589" s="76"/>
      <c r="L589" s="76"/>
      <c r="M589" s="74"/>
      <c r="N589" s="74"/>
      <c r="O589" s="78"/>
      <c r="P589" s="78"/>
      <c r="Q589" s="78"/>
      <c r="R589" s="78"/>
      <c r="S589" s="79"/>
      <c r="T589" s="79"/>
      <c r="U589" s="79"/>
      <c r="V589" s="79"/>
      <c r="W589" s="79"/>
      <c r="X589" s="79"/>
      <c r="Y589" s="79"/>
      <c r="Z589" s="79"/>
      <c r="AA589" s="79"/>
    </row>
    <row r="590" spans="1:27" x14ac:dyDescent="0.2">
      <c r="A590" s="73"/>
      <c r="B590" s="74"/>
      <c r="C590" s="74"/>
      <c r="D590" s="74"/>
      <c r="E590" s="74"/>
      <c r="F590" s="74"/>
      <c r="G590" s="75"/>
      <c r="H590" s="75"/>
      <c r="I590" s="76"/>
      <c r="J590" s="77"/>
      <c r="K590" s="76"/>
      <c r="L590" s="76"/>
      <c r="M590" s="74"/>
      <c r="N590" s="74"/>
      <c r="O590" s="78"/>
      <c r="P590" s="78"/>
      <c r="Q590" s="78"/>
      <c r="R590" s="78"/>
      <c r="S590" s="79"/>
      <c r="T590" s="79"/>
      <c r="U590" s="79"/>
      <c r="V590" s="79"/>
      <c r="W590" s="79"/>
      <c r="X590" s="79"/>
      <c r="Y590" s="79"/>
      <c r="Z590" s="79"/>
      <c r="AA590" s="79"/>
    </row>
    <row r="591" spans="1:27" x14ac:dyDescent="0.2">
      <c r="A591" s="73"/>
      <c r="B591" s="74"/>
      <c r="C591" s="74"/>
      <c r="D591" s="74"/>
      <c r="E591" s="74"/>
      <c r="F591" s="74"/>
      <c r="G591" s="75"/>
      <c r="H591" s="75"/>
      <c r="I591" s="76"/>
      <c r="J591" s="77"/>
      <c r="K591" s="76"/>
      <c r="L591" s="76"/>
      <c r="M591" s="74"/>
      <c r="N591" s="74"/>
      <c r="O591" s="78"/>
      <c r="P591" s="78"/>
      <c r="Q591" s="78"/>
      <c r="R591" s="78"/>
      <c r="S591" s="79"/>
      <c r="T591" s="79"/>
      <c r="U591" s="79"/>
      <c r="V591" s="79"/>
      <c r="W591" s="79"/>
      <c r="X591" s="79"/>
      <c r="Y591" s="79"/>
      <c r="Z591" s="79"/>
      <c r="AA591" s="79"/>
    </row>
    <row r="592" spans="1:27" x14ac:dyDescent="0.2">
      <c r="A592" s="73"/>
      <c r="B592" s="74"/>
      <c r="C592" s="74"/>
      <c r="D592" s="74"/>
      <c r="E592" s="74"/>
      <c r="F592" s="74"/>
      <c r="G592" s="75"/>
      <c r="H592" s="75"/>
      <c r="I592" s="76"/>
      <c r="J592" s="77"/>
      <c r="K592" s="76"/>
      <c r="L592" s="76"/>
      <c r="M592" s="74"/>
      <c r="N592" s="74"/>
      <c r="O592" s="78"/>
      <c r="P592" s="78"/>
      <c r="Q592" s="78"/>
      <c r="R592" s="78"/>
      <c r="S592" s="79"/>
      <c r="T592" s="79"/>
      <c r="U592" s="79"/>
      <c r="V592" s="79"/>
      <c r="W592" s="79"/>
      <c r="X592" s="79"/>
      <c r="Y592" s="79"/>
      <c r="Z592" s="79"/>
      <c r="AA592" s="79"/>
    </row>
    <row r="593" spans="1:27" x14ac:dyDescent="0.2">
      <c r="A593" s="73"/>
      <c r="B593" s="74"/>
      <c r="C593" s="74"/>
      <c r="D593" s="74"/>
      <c r="E593" s="74"/>
      <c r="F593" s="74"/>
      <c r="G593" s="75"/>
      <c r="H593" s="75"/>
      <c r="I593" s="76"/>
      <c r="J593" s="77"/>
      <c r="K593" s="76"/>
      <c r="L593" s="76"/>
      <c r="M593" s="74"/>
      <c r="N593" s="74"/>
      <c r="O593" s="78"/>
      <c r="P593" s="78"/>
      <c r="Q593" s="78"/>
      <c r="R593" s="78"/>
      <c r="S593" s="79"/>
      <c r="T593" s="79"/>
      <c r="U593" s="79"/>
      <c r="V593" s="79"/>
      <c r="W593" s="79"/>
      <c r="X593" s="79"/>
      <c r="Y593" s="79"/>
      <c r="Z593" s="79"/>
      <c r="AA593" s="79"/>
    </row>
    <row r="594" spans="1:27" x14ac:dyDescent="0.2">
      <c r="A594" s="73"/>
      <c r="B594" s="74"/>
      <c r="C594" s="74"/>
      <c r="D594" s="74"/>
      <c r="E594" s="74"/>
      <c r="F594" s="74"/>
      <c r="G594" s="75"/>
      <c r="H594" s="75"/>
      <c r="I594" s="76"/>
      <c r="J594" s="77"/>
      <c r="K594" s="76"/>
      <c r="L594" s="76"/>
      <c r="M594" s="74"/>
      <c r="N594" s="74"/>
      <c r="O594" s="78"/>
      <c r="P594" s="78"/>
      <c r="Q594" s="78"/>
      <c r="R594" s="78"/>
      <c r="S594" s="79"/>
      <c r="T594" s="79"/>
      <c r="U594" s="79"/>
      <c r="V594" s="79"/>
      <c r="W594" s="79"/>
      <c r="X594" s="79"/>
      <c r="Y594" s="79"/>
      <c r="Z594" s="79"/>
      <c r="AA594" s="79"/>
    </row>
    <row r="595" spans="1:27" x14ac:dyDescent="0.2">
      <c r="A595" s="73"/>
      <c r="B595" s="74"/>
      <c r="C595" s="74"/>
      <c r="D595" s="74"/>
      <c r="E595" s="74"/>
      <c r="F595" s="74"/>
      <c r="G595" s="75"/>
      <c r="H595" s="75"/>
      <c r="I595" s="76"/>
      <c r="J595" s="77"/>
      <c r="K595" s="76"/>
      <c r="L595" s="76"/>
      <c r="M595" s="74"/>
      <c r="N595" s="74"/>
      <c r="O595" s="78"/>
      <c r="P595" s="78"/>
      <c r="Q595" s="78"/>
      <c r="R595" s="78"/>
      <c r="S595" s="79"/>
      <c r="T595" s="79"/>
      <c r="U595" s="79"/>
      <c r="V595" s="79"/>
      <c r="W595" s="79"/>
      <c r="X595" s="79"/>
      <c r="Y595" s="79"/>
      <c r="Z595" s="79"/>
      <c r="AA595" s="79"/>
    </row>
    <row r="596" spans="1:27" x14ac:dyDescent="0.2">
      <c r="A596" s="73"/>
      <c r="B596" s="74"/>
      <c r="C596" s="74"/>
      <c r="D596" s="74"/>
      <c r="E596" s="74"/>
      <c r="F596" s="74"/>
      <c r="G596" s="75"/>
      <c r="H596" s="75"/>
      <c r="I596" s="76"/>
      <c r="J596" s="77"/>
      <c r="K596" s="76"/>
      <c r="L596" s="76"/>
      <c r="M596" s="74"/>
      <c r="N596" s="74"/>
      <c r="O596" s="78"/>
      <c r="P596" s="78"/>
      <c r="Q596" s="78"/>
      <c r="R596" s="78"/>
      <c r="S596" s="79"/>
      <c r="T596" s="79"/>
      <c r="U596" s="79"/>
      <c r="V596" s="79"/>
      <c r="W596" s="79"/>
      <c r="X596" s="79"/>
      <c r="Y596" s="79"/>
      <c r="Z596" s="79"/>
      <c r="AA596" s="79"/>
    </row>
    <row r="597" spans="1:27" x14ac:dyDescent="0.2">
      <c r="A597" s="73"/>
      <c r="B597" s="74"/>
      <c r="C597" s="74"/>
      <c r="D597" s="74"/>
      <c r="E597" s="74"/>
      <c r="F597" s="74"/>
      <c r="G597" s="75"/>
      <c r="H597" s="75"/>
      <c r="I597" s="76"/>
      <c r="J597" s="77"/>
      <c r="K597" s="76"/>
      <c r="L597" s="76"/>
      <c r="M597" s="74"/>
      <c r="N597" s="74"/>
      <c r="O597" s="78"/>
      <c r="P597" s="78"/>
      <c r="Q597" s="78"/>
      <c r="R597" s="78"/>
      <c r="S597" s="79"/>
      <c r="T597" s="79"/>
      <c r="U597" s="79"/>
      <c r="V597" s="79"/>
      <c r="W597" s="79"/>
      <c r="X597" s="79"/>
      <c r="Y597" s="79"/>
      <c r="Z597" s="79"/>
      <c r="AA597" s="79"/>
    </row>
    <row r="598" spans="1:27" x14ac:dyDescent="0.2">
      <c r="A598" s="73"/>
      <c r="B598" s="74"/>
      <c r="C598" s="74"/>
      <c r="D598" s="74"/>
      <c r="E598" s="74"/>
      <c r="F598" s="74"/>
      <c r="G598" s="75"/>
      <c r="H598" s="75"/>
      <c r="I598" s="76"/>
      <c r="J598" s="77"/>
      <c r="K598" s="76"/>
      <c r="L598" s="76"/>
      <c r="M598" s="74"/>
      <c r="N598" s="74"/>
      <c r="O598" s="78"/>
      <c r="P598" s="78"/>
      <c r="Q598" s="78"/>
      <c r="R598" s="78"/>
      <c r="S598" s="79"/>
      <c r="T598" s="79"/>
      <c r="U598" s="79"/>
      <c r="V598" s="79"/>
      <c r="W598" s="79"/>
      <c r="X598" s="79"/>
      <c r="Y598" s="79"/>
      <c r="Z598" s="79"/>
      <c r="AA598" s="79"/>
    </row>
    <row r="599" spans="1:27" x14ac:dyDescent="0.2">
      <c r="A599" s="73"/>
      <c r="B599" s="74"/>
      <c r="C599" s="74"/>
      <c r="D599" s="74"/>
      <c r="E599" s="74"/>
      <c r="F599" s="74"/>
      <c r="G599" s="75"/>
      <c r="H599" s="75"/>
      <c r="I599" s="76"/>
      <c r="J599" s="77"/>
      <c r="K599" s="76"/>
      <c r="L599" s="76"/>
      <c r="M599" s="74"/>
      <c r="N599" s="74"/>
      <c r="O599" s="78"/>
      <c r="P599" s="78"/>
      <c r="Q599" s="78"/>
      <c r="R599" s="78"/>
      <c r="S599" s="79"/>
      <c r="T599" s="79"/>
      <c r="U599" s="79"/>
      <c r="V599" s="79"/>
      <c r="W599" s="79"/>
      <c r="X599" s="79"/>
      <c r="Y599" s="79"/>
      <c r="Z599" s="79"/>
      <c r="AA599" s="79"/>
    </row>
    <row r="600" spans="1:27" x14ac:dyDescent="0.2">
      <c r="A600" s="73"/>
      <c r="B600" s="74"/>
      <c r="C600" s="74"/>
      <c r="D600" s="74"/>
      <c r="E600" s="74"/>
      <c r="F600" s="74"/>
      <c r="G600" s="75"/>
      <c r="H600" s="75"/>
      <c r="I600" s="76"/>
      <c r="J600" s="77"/>
      <c r="K600" s="76"/>
      <c r="L600" s="76"/>
      <c r="M600" s="74"/>
      <c r="N600" s="74"/>
      <c r="O600" s="78"/>
      <c r="P600" s="78"/>
      <c r="Q600" s="78"/>
      <c r="R600" s="78"/>
      <c r="S600" s="79"/>
      <c r="T600" s="79"/>
      <c r="U600" s="79"/>
      <c r="V600" s="79"/>
      <c r="W600" s="79"/>
      <c r="X600" s="79"/>
      <c r="Y600" s="79"/>
      <c r="Z600" s="79"/>
      <c r="AA600" s="79"/>
    </row>
    <row r="601" spans="1:27" x14ac:dyDescent="0.2">
      <c r="A601" s="73"/>
      <c r="B601" s="74"/>
      <c r="C601" s="74"/>
      <c r="D601" s="74"/>
      <c r="E601" s="74"/>
      <c r="F601" s="74"/>
      <c r="G601" s="75"/>
      <c r="H601" s="75"/>
      <c r="I601" s="76"/>
      <c r="J601" s="77"/>
      <c r="K601" s="76"/>
      <c r="L601" s="76"/>
      <c r="M601" s="74"/>
      <c r="N601" s="74"/>
      <c r="O601" s="78"/>
      <c r="P601" s="78"/>
      <c r="Q601" s="78"/>
      <c r="R601" s="78"/>
      <c r="S601" s="79"/>
      <c r="T601" s="79"/>
      <c r="U601" s="79"/>
      <c r="V601" s="79"/>
      <c r="W601" s="79"/>
      <c r="X601" s="79"/>
      <c r="Y601" s="79"/>
      <c r="Z601" s="79"/>
      <c r="AA601" s="79"/>
    </row>
    <row r="602" spans="1:27" x14ac:dyDescent="0.2">
      <c r="A602" s="73"/>
      <c r="B602" s="74"/>
      <c r="C602" s="74"/>
      <c r="D602" s="74"/>
      <c r="E602" s="74"/>
      <c r="F602" s="74"/>
      <c r="G602" s="75"/>
      <c r="H602" s="75"/>
      <c r="I602" s="76"/>
      <c r="J602" s="77"/>
      <c r="K602" s="76"/>
      <c r="L602" s="76"/>
      <c r="M602" s="74"/>
      <c r="N602" s="74"/>
      <c r="O602" s="78"/>
      <c r="P602" s="78"/>
      <c r="Q602" s="78"/>
      <c r="R602" s="78"/>
      <c r="S602" s="79"/>
      <c r="T602" s="79"/>
      <c r="U602" s="79"/>
      <c r="V602" s="79"/>
      <c r="W602" s="79"/>
      <c r="X602" s="79"/>
      <c r="Y602" s="79"/>
      <c r="Z602" s="79"/>
      <c r="AA602" s="79"/>
    </row>
    <row r="603" spans="1:27" x14ac:dyDescent="0.2">
      <c r="A603" s="73"/>
      <c r="B603" s="74"/>
      <c r="C603" s="74"/>
      <c r="D603" s="74"/>
      <c r="E603" s="74"/>
      <c r="F603" s="74"/>
      <c r="G603" s="75"/>
      <c r="H603" s="75"/>
      <c r="I603" s="76"/>
      <c r="J603" s="77"/>
      <c r="K603" s="76"/>
      <c r="L603" s="76"/>
      <c r="M603" s="74"/>
      <c r="N603" s="74"/>
      <c r="O603" s="78"/>
      <c r="P603" s="78"/>
      <c r="Q603" s="78"/>
      <c r="R603" s="78"/>
      <c r="S603" s="79"/>
      <c r="T603" s="79"/>
      <c r="U603" s="79"/>
      <c r="V603" s="79"/>
      <c r="W603" s="79"/>
      <c r="X603" s="79"/>
      <c r="Y603" s="79"/>
      <c r="Z603" s="79"/>
      <c r="AA603" s="79"/>
    </row>
    <row r="604" spans="1:27" x14ac:dyDescent="0.2">
      <c r="A604" s="73"/>
      <c r="B604" s="74"/>
      <c r="C604" s="74"/>
      <c r="D604" s="74"/>
      <c r="E604" s="74"/>
      <c r="F604" s="74"/>
      <c r="G604" s="75"/>
      <c r="H604" s="75"/>
      <c r="I604" s="76"/>
      <c r="J604" s="77"/>
      <c r="K604" s="76"/>
      <c r="L604" s="76"/>
      <c r="M604" s="74"/>
      <c r="N604" s="74"/>
      <c r="O604" s="78"/>
      <c r="P604" s="78"/>
      <c r="Q604" s="78"/>
      <c r="R604" s="78"/>
      <c r="S604" s="79"/>
      <c r="T604" s="79"/>
      <c r="U604" s="79"/>
      <c r="V604" s="79"/>
      <c r="W604" s="79"/>
      <c r="X604" s="79"/>
      <c r="Y604" s="79"/>
      <c r="Z604" s="79"/>
      <c r="AA604" s="79"/>
    </row>
    <row r="605" spans="1:27" x14ac:dyDescent="0.2">
      <c r="A605" s="73"/>
      <c r="B605" s="74"/>
      <c r="C605" s="74"/>
      <c r="D605" s="74"/>
      <c r="E605" s="74"/>
      <c r="F605" s="74"/>
      <c r="G605" s="75"/>
      <c r="H605" s="75"/>
      <c r="I605" s="76"/>
      <c r="J605" s="77"/>
      <c r="K605" s="76"/>
      <c r="L605" s="76"/>
      <c r="M605" s="74"/>
      <c r="N605" s="74"/>
      <c r="O605" s="78"/>
      <c r="P605" s="78"/>
      <c r="Q605" s="78"/>
      <c r="R605" s="78"/>
      <c r="S605" s="79"/>
      <c r="T605" s="79"/>
      <c r="U605" s="79"/>
      <c r="V605" s="79"/>
      <c r="W605" s="79"/>
      <c r="X605" s="79"/>
      <c r="Y605" s="79"/>
      <c r="Z605" s="79"/>
      <c r="AA605" s="79"/>
    </row>
    <row r="606" spans="1:27" x14ac:dyDescent="0.2">
      <c r="A606" s="73"/>
      <c r="B606" s="74"/>
      <c r="C606" s="74"/>
      <c r="D606" s="74"/>
      <c r="E606" s="74"/>
      <c r="F606" s="74"/>
      <c r="G606" s="75"/>
      <c r="H606" s="75"/>
      <c r="I606" s="76"/>
      <c r="J606" s="77"/>
      <c r="K606" s="76"/>
      <c r="L606" s="76"/>
      <c r="M606" s="74"/>
      <c r="N606" s="74"/>
      <c r="O606" s="78"/>
      <c r="P606" s="78"/>
      <c r="Q606" s="78"/>
      <c r="R606" s="78"/>
      <c r="S606" s="79"/>
      <c r="T606" s="79"/>
      <c r="U606" s="79"/>
      <c r="V606" s="79"/>
      <c r="W606" s="79"/>
      <c r="X606" s="79"/>
      <c r="Y606" s="79"/>
      <c r="Z606" s="79"/>
      <c r="AA606" s="79"/>
    </row>
    <row r="607" spans="1:27" x14ac:dyDescent="0.2">
      <c r="A607" s="73"/>
      <c r="B607" s="74"/>
      <c r="C607" s="74"/>
      <c r="D607" s="74"/>
      <c r="E607" s="74"/>
      <c r="F607" s="74"/>
      <c r="G607" s="75"/>
      <c r="H607" s="75"/>
      <c r="I607" s="76"/>
      <c r="J607" s="77"/>
      <c r="K607" s="76"/>
      <c r="L607" s="76"/>
      <c r="M607" s="74"/>
      <c r="N607" s="74"/>
      <c r="O607" s="78"/>
      <c r="P607" s="78"/>
      <c r="Q607" s="78"/>
      <c r="R607" s="78"/>
      <c r="S607" s="79"/>
      <c r="T607" s="79"/>
      <c r="U607" s="79"/>
      <c r="V607" s="79"/>
      <c r="W607" s="79"/>
      <c r="X607" s="79"/>
      <c r="Y607" s="79"/>
      <c r="Z607" s="79"/>
      <c r="AA607" s="79"/>
    </row>
    <row r="608" spans="1:27" x14ac:dyDescent="0.2">
      <c r="A608" s="73"/>
      <c r="B608" s="74"/>
      <c r="C608" s="74"/>
      <c r="D608" s="74"/>
      <c r="E608" s="74"/>
      <c r="F608" s="74"/>
      <c r="G608" s="75"/>
      <c r="H608" s="75"/>
      <c r="I608" s="76"/>
      <c r="J608" s="77"/>
      <c r="K608" s="76"/>
      <c r="L608" s="76"/>
      <c r="M608" s="74"/>
      <c r="N608" s="74"/>
      <c r="O608" s="78"/>
      <c r="P608" s="78"/>
      <c r="Q608" s="78"/>
      <c r="R608" s="78"/>
      <c r="S608" s="79"/>
      <c r="T608" s="79"/>
      <c r="U608" s="79"/>
      <c r="V608" s="79"/>
      <c r="W608" s="79"/>
      <c r="X608" s="79"/>
      <c r="Y608" s="79"/>
      <c r="Z608" s="79"/>
      <c r="AA608" s="79"/>
    </row>
    <row r="609" spans="1:27" x14ac:dyDescent="0.2">
      <c r="A609" s="73"/>
      <c r="B609" s="74"/>
      <c r="C609" s="74"/>
      <c r="D609" s="74"/>
      <c r="E609" s="74"/>
      <c r="F609" s="74"/>
      <c r="G609" s="75"/>
      <c r="H609" s="75"/>
      <c r="I609" s="76"/>
      <c r="J609" s="77"/>
      <c r="K609" s="76"/>
      <c r="L609" s="76"/>
      <c r="M609" s="74"/>
      <c r="N609" s="74"/>
      <c r="O609" s="78"/>
      <c r="P609" s="78"/>
      <c r="Q609" s="78"/>
      <c r="R609" s="78"/>
      <c r="S609" s="79"/>
      <c r="T609" s="79"/>
      <c r="U609" s="79"/>
      <c r="V609" s="79"/>
      <c r="W609" s="79"/>
      <c r="X609" s="79"/>
      <c r="Y609" s="79"/>
      <c r="Z609" s="79"/>
      <c r="AA609" s="79"/>
    </row>
    <row r="610" spans="1:27" x14ac:dyDescent="0.2">
      <c r="A610" s="73"/>
      <c r="B610" s="74"/>
      <c r="C610" s="74"/>
      <c r="D610" s="74"/>
      <c r="E610" s="74"/>
      <c r="F610" s="74"/>
      <c r="G610" s="75"/>
      <c r="H610" s="75"/>
      <c r="I610" s="76"/>
      <c r="J610" s="77"/>
      <c r="K610" s="76"/>
      <c r="L610" s="76"/>
      <c r="M610" s="74"/>
      <c r="N610" s="74"/>
      <c r="O610" s="78"/>
      <c r="P610" s="78"/>
      <c r="Q610" s="78"/>
      <c r="R610" s="78"/>
      <c r="S610" s="79"/>
      <c r="T610" s="79"/>
      <c r="U610" s="79"/>
      <c r="V610" s="79"/>
      <c r="W610" s="79"/>
      <c r="X610" s="79"/>
      <c r="Y610" s="79"/>
      <c r="Z610" s="79"/>
      <c r="AA610" s="79"/>
    </row>
    <row r="611" spans="1:27" x14ac:dyDescent="0.2">
      <c r="A611" s="73"/>
      <c r="B611" s="74"/>
      <c r="C611" s="74"/>
      <c r="D611" s="74"/>
      <c r="E611" s="74"/>
      <c r="F611" s="74"/>
      <c r="G611" s="75"/>
      <c r="H611" s="75"/>
      <c r="I611" s="76"/>
      <c r="J611" s="77"/>
      <c r="K611" s="76"/>
      <c r="L611" s="76"/>
      <c r="M611" s="74"/>
      <c r="N611" s="74"/>
      <c r="O611" s="78"/>
      <c r="P611" s="78"/>
      <c r="Q611" s="78"/>
      <c r="R611" s="78"/>
      <c r="S611" s="79"/>
      <c r="T611" s="79"/>
      <c r="U611" s="79"/>
      <c r="V611" s="79"/>
      <c r="W611" s="79"/>
      <c r="X611" s="79"/>
      <c r="Y611" s="79"/>
      <c r="Z611" s="79"/>
      <c r="AA611" s="79"/>
    </row>
    <row r="612" spans="1:27" x14ac:dyDescent="0.2">
      <c r="A612" s="73"/>
      <c r="B612" s="74"/>
      <c r="C612" s="74"/>
      <c r="D612" s="74"/>
      <c r="E612" s="74"/>
      <c r="F612" s="74"/>
      <c r="G612" s="75"/>
      <c r="H612" s="75"/>
      <c r="I612" s="76"/>
      <c r="J612" s="77"/>
      <c r="K612" s="76"/>
      <c r="L612" s="76"/>
      <c r="M612" s="74"/>
      <c r="N612" s="74"/>
      <c r="O612" s="78"/>
      <c r="P612" s="78"/>
      <c r="Q612" s="78"/>
      <c r="R612" s="78"/>
      <c r="S612" s="79"/>
      <c r="T612" s="79"/>
      <c r="U612" s="79"/>
      <c r="V612" s="79"/>
      <c r="W612" s="79"/>
      <c r="X612" s="79"/>
      <c r="Y612" s="79"/>
      <c r="Z612" s="79"/>
      <c r="AA612" s="79"/>
    </row>
    <row r="613" spans="1:27" x14ac:dyDescent="0.2">
      <c r="A613" s="73"/>
      <c r="B613" s="74"/>
      <c r="C613" s="74"/>
      <c r="D613" s="74"/>
      <c r="E613" s="74"/>
      <c r="F613" s="74"/>
      <c r="G613" s="75"/>
      <c r="H613" s="75"/>
      <c r="I613" s="76"/>
      <c r="J613" s="77"/>
      <c r="K613" s="76"/>
      <c r="L613" s="76"/>
      <c r="M613" s="74"/>
      <c r="N613" s="74"/>
      <c r="O613" s="78"/>
      <c r="P613" s="78"/>
      <c r="Q613" s="78"/>
      <c r="R613" s="78"/>
      <c r="S613" s="79"/>
      <c r="T613" s="79"/>
      <c r="U613" s="79"/>
      <c r="V613" s="79"/>
      <c r="W613" s="79"/>
      <c r="X613" s="79"/>
      <c r="Y613" s="79"/>
      <c r="Z613" s="79"/>
      <c r="AA613" s="79"/>
    </row>
    <row r="614" spans="1:27" x14ac:dyDescent="0.2">
      <c r="A614" s="73"/>
      <c r="B614" s="74"/>
      <c r="C614" s="74"/>
      <c r="D614" s="74"/>
      <c r="E614" s="74"/>
      <c r="F614" s="74"/>
      <c r="G614" s="75"/>
      <c r="H614" s="75"/>
      <c r="I614" s="76"/>
      <c r="J614" s="77"/>
      <c r="K614" s="76"/>
      <c r="L614" s="76"/>
      <c r="M614" s="74"/>
      <c r="N614" s="74"/>
      <c r="O614" s="78"/>
      <c r="P614" s="78"/>
      <c r="Q614" s="78"/>
      <c r="R614" s="78"/>
      <c r="S614" s="79"/>
      <c r="T614" s="79"/>
      <c r="U614" s="79"/>
      <c r="V614" s="79"/>
      <c r="W614" s="79"/>
      <c r="X614" s="79"/>
      <c r="Y614" s="79"/>
      <c r="Z614" s="79"/>
      <c r="AA614" s="79"/>
    </row>
    <row r="615" spans="1:27" x14ac:dyDescent="0.2">
      <c r="A615" s="73"/>
      <c r="B615" s="74"/>
      <c r="C615" s="74"/>
      <c r="D615" s="74"/>
      <c r="E615" s="74"/>
      <c r="F615" s="74"/>
      <c r="G615" s="75"/>
      <c r="H615" s="75"/>
      <c r="I615" s="76"/>
      <c r="J615" s="77"/>
      <c r="K615" s="76"/>
      <c r="L615" s="76"/>
      <c r="M615" s="74"/>
      <c r="N615" s="74"/>
      <c r="O615" s="78"/>
      <c r="P615" s="78"/>
      <c r="Q615" s="78"/>
      <c r="R615" s="78"/>
      <c r="S615" s="79"/>
      <c r="T615" s="79"/>
      <c r="U615" s="79"/>
      <c r="V615" s="79"/>
      <c r="W615" s="79"/>
      <c r="X615" s="79"/>
      <c r="Y615" s="79"/>
      <c r="Z615" s="79"/>
      <c r="AA615" s="79"/>
    </row>
    <row r="616" spans="1:27" x14ac:dyDescent="0.2">
      <c r="A616" s="73"/>
      <c r="B616" s="74"/>
      <c r="C616" s="74"/>
      <c r="D616" s="74"/>
      <c r="E616" s="74"/>
      <c r="F616" s="74"/>
      <c r="G616" s="75"/>
      <c r="H616" s="75"/>
      <c r="I616" s="76"/>
      <c r="J616" s="77"/>
      <c r="K616" s="76"/>
      <c r="L616" s="76"/>
      <c r="M616" s="74"/>
      <c r="N616" s="74"/>
      <c r="O616" s="78"/>
      <c r="P616" s="78"/>
      <c r="Q616" s="78"/>
      <c r="R616" s="78"/>
      <c r="S616" s="79"/>
      <c r="T616" s="79"/>
      <c r="U616" s="79"/>
      <c r="V616" s="79"/>
      <c r="W616" s="79"/>
      <c r="X616" s="79"/>
      <c r="Y616" s="79"/>
      <c r="Z616" s="79"/>
      <c r="AA616" s="79"/>
    </row>
    <row r="617" spans="1:27" x14ac:dyDescent="0.2">
      <c r="A617" s="73"/>
      <c r="B617" s="74"/>
      <c r="C617" s="74"/>
      <c r="D617" s="74"/>
      <c r="E617" s="74"/>
      <c r="F617" s="74"/>
      <c r="G617" s="75"/>
      <c r="H617" s="75"/>
      <c r="I617" s="76"/>
      <c r="J617" s="77"/>
      <c r="K617" s="76"/>
      <c r="L617" s="76"/>
      <c r="M617" s="74"/>
      <c r="N617" s="74"/>
      <c r="O617" s="78"/>
      <c r="P617" s="78"/>
      <c r="Q617" s="78"/>
      <c r="R617" s="78"/>
      <c r="S617" s="79"/>
      <c r="T617" s="79"/>
      <c r="U617" s="79"/>
      <c r="V617" s="79"/>
      <c r="W617" s="79"/>
      <c r="X617" s="79"/>
      <c r="Y617" s="79"/>
      <c r="Z617" s="79"/>
      <c r="AA617" s="79"/>
    </row>
    <row r="618" spans="1:27" x14ac:dyDescent="0.2">
      <c r="A618" s="73"/>
      <c r="B618" s="74"/>
      <c r="C618" s="74"/>
      <c r="D618" s="74"/>
      <c r="E618" s="74"/>
      <c r="F618" s="74"/>
      <c r="G618" s="75"/>
      <c r="H618" s="75"/>
      <c r="I618" s="76"/>
      <c r="J618" s="77"/>
      <c r="K618" s="76"/>
      <c r="L618" s="76"/>
      <c r="M618" s="74"/>
      <c r="N618" s="74"/>
      <c r="O618" s="78"/>
      <c r="P618" s="78"/>
      <c r="Q618" s="78"/>
      <c r="R618" s="78"/>
      <c r="S618" s="79"/>
      <c r="T618" s="79"/>
      <c r="U618" s="79"/>
      <c r="V618" s="79"/>
      <c r="W618" s="79"/>
      <c r="X618" s="79"/>
      <c r="Y618" s="79"/>
      <c r="Z618" s="79"/>
      <c r="AA618" s="79"/>
    </row>
    <row r="619" spans="1:27" x14ac:dyDescent="0.2">
      <c r="A619" s="73"/>
      <c r="B619" s="74"/>
      <c r="C619" s="74"/>
      <c r="D619" s="74"/>
      <c r="E619" s="74"/>
      <c r="F619" s="74"/>
      <c r="G619" s="75"/>
      <c r="H619" s="75"/>
      <c r="I619" s="76"/>
      <c r="J619" s="77"/>
      <c r="K619" s="76"/>
      <c r="L619" s="76"/>
      <c r="M619" s="74"/>
      <c r="N619" s="74"/>
      <c r="O619" s="78"/>
      <c r="P619" s="78"/>
      <c r="Q619" s="78"/>
      <c r="R619" s="78"/>
      <c r="S619" s="79"/>
      <c r="T619" s="79"/>
      <c r="U619" s="79"/>
      <c r="V619" s="79"/>
      <c r="W619" s="79"/>
      <c r="X619" s="79"/>
      <c r="Y619" s="79"/>
      <c r="Z619" s="79"/>
      <c r="AA619" s="79"/>
    </row>
    <row r="620" spans="1:27" x14ac:dyDescent="0.2">
      <c r="A620" s="73"/>
      <c r="B620" s="74"/>
      <c r="C620" s="74"/>
      <c r="D620" s="74"/>
      <c r="E620" s="74"/>
      <c r="F620" s="74"/>
      <c r="G620" s="75"/>
      <c r="H620" s="75"/>
      <c r="I620" s="76"/>
      <c r="J620" s="77"/>
      <c r="K620" s="76"/>
      <c r="L620" s="76"/>
      <c r="M620" s="74"/>
      <c r="N620" s="74"/>
      <c r="O620" s="78"/>
      <c r="P620" s="78"/>
      <c r="Q620" s="78"/>
      <c r="R620" s="78"/>
      <c r="S620" s="79"/>
      <c r="T620" s="79"/>
      <c r="U620" s="79"/>
      <c r="V620" s="79"/>
      <c r="W620" s="79"/>
      <c r="X620" s="79"/>
      <c r="Y620" s="79"/>
      <c r="Z620" s="79"/>
      <c r="AA620" s="79"/>
    </row>
    <row r="621" spans="1:27" x14ac:dyDescent="0.2">
      <c r="A621" s="73"/>
      <c r="B621" s="74"/>
      <c r="C621" s="74"/>
      <c r="D621" s="74"/>
      <c r="E621" s="74"/>
      <c r="F621" s="74"/>
      <c r="G621" s="75"/>
      <c r="H621" s="75"/>
      <c r="I621" s="76"/>
      <c r="J621" s="77"/>
      <c r="K621" s="76"/>
      <c r="L621" s="76"/>
      <c r="M621" s="74"/>
      <c r="N621" s="74"/>
      <c r="O621" s="78"/>
      <c r="P621" s="78"/>
      <c r="Q621" s="78"/>
      <c r="R621" s="78"/>
      <c r="S621" s="79"/>
      <c r="T621" s="79"/>
      <c r="U621" s="79"/>
      <c r="V621" s="79"/>
      <c r="W621" s="79"/>
      <c r="X621" s="79"/>
      <c r="Y621" s="79"/>
      <c r="Z621" s="79"/>
      <c r="AA621" s="79"/>
    </row>
    <row r="622" spans="1:27" x14ac:dyDescent="0.2">
      <c r="A622" s="73"/>
      <c r="B622" s="74"/>
      <c r="C622" s="74"/>
      <c r="D622" s="74"/>
      <c r="E622" s="74"/>
      <c r="F622" s="74"/>
      <c r="G622" s="75"/>
      <c r="H622" s="75"/>
      <c r="I622" s="76"/>
      <c r="J622" s="77"/>
      <c r="K622" s="76"/>
      <c r="L622" s="76"/>
      <c r="M622" s="74"/>
      <c r="N622" s="74"/>
      <c r="O622" s="78"/>
      <c r="P622" s="78"/>
      <c r="Q622" s="78"/>
      <c r="R622" s="78"/>
      <c r="S622" s="79"/>
      <c r="T622" s="79"/>
      <c r="U622" s="79"/>
      <c r="V622" s="79"/>
      <c r="W622" s="79"/>
      <c r="X622" s="79"/>
      <c r="Y622" s="79"/>
      <c r="Z622" s="79"/>
      <c r="AA622" s="79"/>
    </row>
    <row r="623" spans="1:27" x14ac:dyDescent="0.2">
      <c r="A623" s="73"/>
      <c r="B623" s="74"/>
      <c r="C623" s="74"/>
      <c r="D623" s="74"/>
      <c r="E623" s="74"/>
      <c r="F623" s="74"/>
      <c r="G623" s="75"/>
      <c r="H623" s="75"/>
      <c r="I623" s="76"/>
      <c r="J623" s="77"/>
      <c r="K623" s="76"/>
      <c r="L623" s="76"/>
      <c r="M623" s="74"/>
      <c r="N623" s="74"/>
      <c r="O623" s="78"/>
      <c r="P623" s="78"/>
      <c r="Q623" s="78"/>
      <c r="R623" s="78"/>
      <c r="S623" s="79"/>
      <c r="T623" s="79"/>
      <c r="U623" s="79"/>
      <c r="V623" s="79"/>
      <c r="W623" s="79"/>
      <c r="X623" s="79"/>
      <c r="Y623" s="79"/>
      <c r="Z623" s="79"/>
      <c r="AA623" s="79"/>
    </row>
    <row r="624" spans="1:27" x14ac:dyDescent="0.2">
      <c r="A624" s="73"/>
      <c r="B624" s="74"/>
      <c r="C624" s="74"/>
      <c r="D624" s="74"/>
      <c r="E624" s="74"/>
      <c r="F624" s="74"/>
      <c r="G624" s="75"/>
      <c r="H624" s="75"/>
      <c r="I624" s="76"/>
      <c r="J624" s="77"/>
      <c r="K624" s="76"/>
      <c r="L624" s="76"/>
      <c r="M624" s="74"/>
      <c r="N624" s="74"/>
      <c r="O624" s="78"/>
      <c r="P624" s="78"/>
      <c r="Q624" s="78"/>
      <c r="R624" s="78"/>
      <c r="S624" s="79"/>
      <c r="T624" s="79"/>
      <c r="U624" s="79"/>
      <c r="V624" s="79"/>
      <c r="W624" s="79"/>
      <c r="X624" s="79"/>
      <c r="Y624" s="79"/>
      <c r="Z624" s="79"/>
      <c r="AA624" s="79"/>
    </row>
    <row r="625" spans="1:27" x14ac:dyDescent="0.2">
      <c r="A625" s="73"/>
      <c r="B625" s="74"/>
      <c r="C625" s="74"/>
      <c r="D625" s="74"/>
      <c r="E625" s="74"/>
      <c r="F625" s="74"/>
      <c r="G625" s="75"/>
      <c r="H625" s="75"/>
      <c r="I625" s="76"/>
      <c r="J625" s="77"/>
      <c r="K625" s="76"/>
      <c r="L625" s="76"/>
      <c r="M625" s="74"/>
      <c r="N625" s="74"/>
      <c r="O625" s="78"/>
      <c r="P625" s="78"/>
      <c r="Q625" s="78"/>
      <c r="R625" s="78"/>
      <c r="S625" s="79"/>
      <c r="T625" s="79"/>
      <c r="U625" s="79"/>
      <c r="V625" s="79"/>
      <c r="W625" s="79"/>
      <c r="X625" s="79"/>
      <c r="Y625" s="79"/>
      <c r="Z625" s="79"/>
      <c r="AA625" s="79"/>
    </row>
    <row r="626" spans="1:27" x14ac:dyDescent="0.2">
      <c r="A626" s="73"/>
      <c r="B626" s="74"/>
      <c r="C626" s="74"/>
      <c r="D626" s="74"/>
      <c r="E626" s="74"/>
      <c r="F626" s="74"/>
      <c r="G626" s="75"/>
      <c r="H626" s="75"/>
      <c r="I626" s="76"/>
      <c r="J626" s="77"/>
      <c r="K626" s="76"/>
      <c r="L626" s="76"/>
      <c r="M626" s="74"/>
      <c r="N626" s="74"/>
      <c r="O626" s="78"/>
      <c r="P626" s="78"/>
      <c r="Q626" s="78"/>
      <c r="R626" s="78"/>
      <c r="S626" s="79"/>
      <c r="T626" s="79"/>
      <c r="U626" s="79"/>
      <c r="V626" s="79"/>
      <c r="W626" s="79"/>
      <c r="X626" s="79"/>
      <c r="Y626" s="79"/>
      <c r="Z626" s="79"/>
      <c r="AA626" s="79"/>
    </row>
    <row r="627" spans="1:27" x14ac:dyDescent="0.2">
      <c r="A627" s="73"/>
      <c r="B627" s="74"/>
      <c r="C627" s="74"/>
      <c r="D627" s="74"/>
      <c r="E627" s="74"/>
      <c r="F627" s="74"/>
      <c r="G627" s="75"/>
      <c r="H627" s="75"/>
      <c r="I627" s="76"/>
      <c r="J627" s="77"/>
      <c r="K627" s="76"/>
      <c r="L627" s="76"/>
      <c r="M627" s="74"/>
      <c r="N627" s="74"/>
      <c r="O627" s="78"/>
      <c r="P627" s="78"/>
      <c r="Q627" s="78"/>
      <c r="R627" s="78"/>
      <c r="S627" s="79"/>
      <c r="T627" s="79"/>
      <c r="U627" s="79"/>
      <c r="V627" s="79"/>
      <c r="W627" s="79"/>
      <c r="X627" s="79"/>
      <c r="Y627" s="79"/>
      <c r="Z627" s="79"/>
      <c r="AA627" s="79"/>
    </row>
    <row r="628" spans="1:27" x14ac:dyDescent="0.2">
      <c r="A628" s="73"/>
      <c r="B628" s="74"/>
      <c r="C628" s="74"/>
      <c r="D628" s="74"/>
      <c r="E628" s="74"/>
      <c r="F628" s="74"/>
      <c r="G628" s="75"/>
      <c r="H628" s="75"/>
      <c r="I628" s="76"/>
      <c r="J628" s="77"/>
      <c r="K628" s="76"/>
      <c r="L628" s="76"/>
      <c r="M628" s="74"/>
      <c r="N628" s="74"/>
      <c r="O628" s="78"/>
      <c r="P628" s="78"/>
      <c r="Q628" s="78"/>
      <c r="R628" s="78"/>
      <c r="S628" s="79"/>
      <c r="T628" s="79"/>
      <c r="U628" s="79"/>
      <c r="V628" s="79"/>
      <c r="W628" s="79"/>
      <c r="X628" s="79"/>
      <c r="Y628" s="79"/>
      <c r="Z628" s="79"/>
      <c r="AA628" s="79"/>
    </row>
    <row r="629" spans="1:27" x14ac:dyDescent="0.2">
      <c r="A629" s="73"/>
      <c r="B629" s="74"/>
      <c r="C629" s="74"/>
      <c r="D629" s="74"/>
      <c r="E629" s="74"/>
      <c r="F629" s="74"/>
      <c r="G629" s="75"/>
      <c r="H629" s="75"/>
      <c r="I629" s="76"/>
      <c r="J629" s="77"/>
      <c r="K629" s="76"/>
      <c r="L629" s="76"/>
      <c r="M629" s="74"/>
      <c r="N629" s="74"/>
      <c r="O629" s="78"/>
      <c r="P629" s="78"/>
      <c r="Q629" s="78"/>
      <c r="R629" s="78"/>
      <c r="S629" s="79"/>
      <c r="T629" s="79"/>
      <c r="U629" s="79"/>
      <c r="V629" s="79"/>
      <c r="W629" s="79"/>
      <c r="X629" s="79"/>
      <c r="Y629" s="79"/>
      <c r="Z629" s="79"/>
      <c r="AA629" s="79"/>
    </row>
    <row r="630" spans="1:27" x14ac:dyDescent="0.2">
      <c r="A630" s="73"/>
      <c r="B630" s="74"/>
      <c r="C630" s="74"/>
      <c r="D630" s="74"/>
      <c r="E630" s="74"/>
      <c r="F630" s="74"/>
      <c r="G630" s="75"/>
      <c r="H630" s="75"/>
      <c r="I630" s="76"/>
      <c r="J630" s="77"/>
      <c r="K630" s="76"/>
      <c r="L630" s="76"/>
      <c r="M630" s="74"/>
      <c r="N630" s="74"/>
      <c r="O630" s="78"/>
      <c r="P630" s="78"/>
      <c r="Q630" s="78"/>
      <c r="R630" s="78"/>
      <c r="S630" s="79"/>
      <c r="T630" s="79"/>
      <c r="U630" s="79"/>
      <c r="V630" s="79"/>
      <c r="W630" s="79"/>
      <c r="X630" s="79"/>
      <c r="Y630" s="79"/>
      <c r="Z630" s="79"/>
      <c r="AA630" s="79"/>
    </row>
    <row r="631" spans="1:27" x14ac:dyDescent="0.2">
      <c r="A631" s="73"/>
      <c r="B631" s="74"/>
      <c r="C631" s="74"/>
      <c r="D631" s="74"/>
      <c r="E631" s="74"/>
      <c r="F631" s="74"/>
      <c r="G631" s="75"/>
      <c r="H631" s="75"/>
      <c r="I631" s="76"/>
      <c r="J631" s="77"/>
      <c r="K631" s="76"/>
      <c r="L631" s="76"/>
      <c r="M631" s="74"/>
      <c r="N631" s="74"/>
      <c r="O631" s="78"/>
      <c r="P631" s="78"/>
      <c r="Q631" s="78"/>
      <c r="R631" s="78"/>
      <c r="S631" s="79"/>
      <c r="T631" s="79"/>
      <c r="U631" s="79"/>
      <c r="V631" s="79"/>
      <c r="W631" s="79"/>
      <c r="X631" s="79"/>
      <c r="Y631" s="79"/>
      <c r="Z631" s="79"/>
      <c r="AA631" s="79"/>
    </row>
    <row r="632" spans="1:27" x14ac:dyDescent="0.2">
      <c r="A632" s="73"/>
      <c r="B632" s="74"/>
      <c r="C632" s="74"/>
      <c r="D632" s="74"/>
      <c r="E632" s="74"/>
      <c r="F632" s="74"/>
      <c r="G632" s="75"/>
      <c r="H632" s="75"/>
      <c r="I632" s="76"/>
      <c r="J632" s="77"/>
      <c r="K632" s="76"/>
      <c r="L632" s="76"/>
      <c r="M632" s="74"/>
      <c r="N632" s="74"/>
      <c r="O632" s="78"/>
      <c r="P632" s="78"/>
      <c r="Q632" s="78"/>
      <c r="R632" s="78"/>
      <c r="S632" s="79"/>
      <c r="T632" s="79"/>
      <c r="U632" s="79"/>
      <c r="V632" s="79"/>
      <c r="W632" s="79"/>
      <c r="X632" s="79"/>
      <c r="Y632" s="79"/>
      <c r="Z632" s="79"/>
      <c r="AA632" s="79"/>
    </row>
    <row r="633" spans="1:27" x14ac:dyDescent="0.2">
      <c r="A633" s="73"/>
      <c r="B633" s="74"/>
      <c r="C633" s="74"/>
      <c r="D633" s="74"/>
      <c r="E633" s="74"/>
      <c r="F633" s="74"/>
      <c r="G633" s="75"/>
      <c r="H633" s="75"/>
      <c r="I633" s="76"/>
      <c r="J633" s="77"/>
      <c r="K633" s="76"/>
      <c r="L633" s="76"/>
      <c r="M633" s="74"/>
      <c r="N633" s="74"/>
      <c r="O633" s="78"/>
      <c r="P633" s="78"/>
      <c r="Q633" s="78"/>
      <c r="R633" s="78"/>
      <c r="S633" s="79"/>
      <c r="T633" s="79"/>
      <c r="U633" s="79"/>
      <c r="V633" s="79"/>
      <c r="W633" s="79"/>
      <c r="X633" s="79"/>
      <c r="Y633" s="79"/>
      <c r="Z633" s="79"/>
      <c r="AA633" s="79"/>
    </row>
    <row r="634" spans="1:27" x14ac:dyDescent="0.2">
      <c r="A634" s="73"/>
      <c r="B634" s="74"/>
      <c r="C634" s="74"/>
      <c r="D634" s="74"/>
      <c r="E634" s="74"/>
      <c r="F634" s="74"/>
      <c r="G634" s="75"/>
      <c r="H634" s="75"/>
      <c r="I634" s="76"/>
      <c r="J634" s="77"/>
      <c r="K634" s="76"/>
      <c r="L634" s="76"/>
      <c r="M634" s="74"/>
      <c r="N634" s="74"/>
      <c r="O634" s="78"/>
      <c r="P634" s="78"/>
      <c r="Q634" s="78"/>
      <c r="R634" s="78"/>
      <c r="S634" s="79"/>
      <c r="T634" s="79"/>
      <c r="U634" s="79"/>
      <c r="V634" s="79"/>
      <c r="W634" s="79"/>
      <c r="X634" s="79"/>
      <c r="Y634" s="79"/>
      <c r="Z634" s="79"/>
      <c r="AA634" s="79"/>
    </row>
    <row r="635" spans="1:27" x14ac:dyDescent="0.2">
      <c r="A635" s="73"/>
      <c r="B635" s="74"/>
      <c r="C635" s="74"/>
      <c r="D635" s="74"/>
      <c r="E635" s="74"/>
      <c r="F635" s="74"/>
      <c r="G635" s="75"/>
      <c r="H635" s="75"/>
      <c r="I635" s="76"/>
      <c r="J635" s="77"/>
      <c r="K635" s="76"/>
      <c r="L635" s="76"/>
      <c r="M635" s="74"/>
      <c r="N635" s="74"/>
      <c r="O635" s="78"/>
      <c r="P635" s="78"/>
      <c r="Q635" s="78"/>
      <c r="R635" s="78"/>
      <c r="S635" s="79"/>
      <c r="T635" s="79"/>
      <c r="U635" s="79"/>
      <c r="V635" s="79"/>
      <c r="W635" s="79"/>
      <c r="X635" s="79"/>
      <c r="Y635" s="79"/>
      <c r="Z635" s="79"/>
      <c r="AA635" s="79"/>
    </row>
    <row r="636" spans="1:27" x14ac:dyDescent="0.2">
      <c r="A636" s="73"/>
      <c r="B636" s="74"/>
      <c r="C636" s="74"/>
      <c r="D636" s="74"/>
      <c r="E636" s="74"/>
      <c r="F636" s="74"/>
      <c r="G636" s="75"/>
      <c r="H636" s="75"/>
      <c r="I636" s="76"/>
      <c r="J636" s="77"/>
      <c r="K636" s="76"/>
      <c r="L636" s="76"/>
      <c r="M636" s="74"/>
      <c r="N636" s="74"/>
      <c r="O636" s="78"/>
      <c r="P636" s="78"/>
      <c r="Q636" s="78"/>
      <c r="R636" s="78"/>
      <c r="S636" s="79"/>
      <c r="T636" s="79"/>
      <c r="U636" s="79"/>
      <c r="V636" s="79"/>
      <c r="W636" s="79"/>
      <c r="X636" s="79"/>
      <c r="Y636" s="79"/>
      <c r="Z636" s="79"/>
      <c r="AA636" s="79"/>
    </row>
    <row r="637" spans="1:27" x14ac:dyDescent="0.2">
      <c r="A637" s="73"/>
      <c r="B637" s="74"/>
      <c r="C637" s="74"/>
      <c r="D637" s="74"/>
      <c r="E637" s="74"/>
      <c r="F637" s="74"/>
      <c r="G637" s="75"/>
      <c r="H637" s="75"/>
      <c r="I637" s="76"/>
      <c r="J637" s="77"/>
      <c r="K637" s="76"/>
      <c r="L637" s="76"/>
      <c r="M637" s="74"/>
      <c r="N637" s="74"/>
      <c r="O637" s="78"/>
      <c r="P637" s="78"/>
      <c r="Q637" s="78"/>
      <c r="R637" s="78"/>
      <c r="S637" s="79"/>
      <c r="T637" s="79"/>
      <c r="U637" s="79"/>
      <c r="V637" s="79"/>
      <c r="W637" s="79"/>
      <c r="X637" s="79"/>
      <c r="Y637" s="79"/>
      <c r="Z637" s="79"/>
      <c r="AA637" s="79"/>
    </row>
    <row r="638" spans="1:27" x14ac:dyDescent="0.2">
      <c r="A638" s="73"/>
      <c r="B638" s="74"/>
      <c r="C638" s="74"/>
      <c r="D638" s="74"/>
      <c r="E638" s="74"/>
      <c r="F638" s="74"/>
      <c r="G638" s="75"/>
      <c r="H638" s="75"/>
      <c r="I638" s="76"/>
      <c r="J638" s="77"/>
      <c r="K638" s="76"/>
      <c r="L638" s="76"/>
      <c r="M638" s="74"/>
      <c r="N638" s="74"/>
      <c r="O638" s="78"/>
      <c r="P638" s="78"/>
      <c r="Q638" s="78"/>
      <c r="R638" s="78"/>
      <c r="S638" s="79"/>
      <c r="T638" s="79"/>
      <c r="U638" s="79"/>
      <c r="V638" s="79"/>
      <c r="W638" s="79"/>
      <c r="X638" s="79"/>
      <c r="Y638" s="79"/>
      <c r="Z638" s="79"/>
      <c r="AA638" s="79"/>
    </row>
    <row r="639" spans="1:27" x14ac:dyDescent="0.2">
      <c r="A639" s="73"/>
      <c r="B639" s="74"/>
      <c r="C639" s="74"/>
      <c r="D639" s="74"/>
      <c r="E639" s="74"/>
      <c r="F639" s="74"/>
      <c r="G639" s="75"/>
      <c r="H639" s="75"/>
      <c r="I639" s="76"/>
      <c r="J639" s="77"/>
      <c r="K639" s="76"/>
      <c r="L639" s="76"/>
      <c r="M639" s="74"/>
      <c r="N639" s="74"/>
      <c r="O639" s="78"/>
      <c r="P639" s="78"/>
      <c r="Q639" s="78"/>
      <c r="R639" s="78"/>
      <c r="S639" s="79"/>
      <c r="T639" s="79"/>
      <c r="U639" s="79"/>
      <c r="V639" s="79"/>
      <c r="W639" s="79"/>
      <c r="X639" s="79"/>
      <c r="Y639" s="79"/>
      <c r="Z639" s="79"/>
      <c r="AA639" s="79"/>
    </row>
    <row r="640" spans="1:27" x14ac:dyDescent="0.2">
      <c r="A640" s="73"/>
      <c r="B640" s="74"/>
      <c r="C640" s="74"/>
      <c r="D640" s="74"/>
      <c r="E640" s="74"/>
      <c r="F640" s="74"/>
      <c r="G640" s="75"/>
      <c r="H640" s="75"/>
      <c r="I640" s="76"/>
      <c r="J640" s="77"/>
      <c r="K640" s="76"/>
      <c r="L640" s="76"/>
      <c r="M640" s="74"/>
      <c r="N640" s="74"/>
      <c r="O640" s="78"/>
      <c r="P640" s="78"/>
      <c r="Q640" s="78"/>
      <c r="R640" s="78"/>
      <c r="S640" s="79"/>
      <c r="T640" s="79"/>
      <c r="U640" s="79"/>
      <c r="V640" s="79"/>
      <c r="W640" s="79"/>
      <c r="X640" s="79"/>
      <c r="Y640" s="79"/>
      <c r="Z640" s="79"/>
      <c r="AA640" s="79"/>
    </row>
    <row r="641" spans="1:27" x14ac:dyDescent="0.2">
      <c r="A641" s="73"/>
      <c r="B641" s="74"/>
      <c r="C641" s="74"/>
      <c r="D641" s="74"/>
      <c r="E641" s="74"/>
      <c r="F641" s="74"/>
      <c r="G641" s="75"/>
      <c r="H641" s="75"/>
      <c r="I641" s="76"/>
      <c r="J641" s="77"/>
      <c r="K641" s="76"/>
      <c r="L641" s="76"/>
      <c r="M641" s="74"/>
      <c r="N641" s="74"/>
      <c r="O641" s="78"/>
      <c r="P641" s="78"/>
      <c r="Q641" s="78"/>
      <c r="R641" s="78"/>
      <c r="S641" s="79"/>
      <c r="T641" s="79"/>
      <c r="U641" s="79"/>
      <c r="V641" s="79"/>
      <c r="W641" s="79"/>
      <c r="X641" s="79"/>
      <c r="Y641" s="79"/>
      <c r="Z641" s="79"/>
      <c r="AA641" s="79"/>
    </row>
    <row r="642" spans="1:27" x14ac:dyDescent="0.2">
      <c r="A642" s="73"/>
      <c r="B642" s="74"/>
      <c r="C642" s="74"/>
      <c r="D642" s="74"/>
      <c r="E642" s="74"/>
      <c r="F642" s="74"/>
      <c r="G642" s="75"/>
      <c r="H642" s="75"/>
      <c r="I642" s="76"/>
      <c r="J642" s="77"/>
      <c r="K642" s="76"/>
      <c r="L642" s="76"/>
      <c r="M642" s="74"/>
      <c r="N642" s="74"/>
      <c r="O642" s="78"/>
      <c r="P642" s="78"/>
      <c r="Q642" s="78"/>
      <c r="R642" s="78"/>
      <c r="S642" s="79"/>
      <c r="T642" s="79"/>
      <c r="U642" s="79"/>
      <c r="V642" s="79"/>
      <c r="W642" s="79"/>
      <c r="X642" s="79"/>
      <c r="Y642" s="79"/>
      <c r="Z642" s="79"/>
      <c r="AA642" s="79"/>
    </row>
    <row r="643" spans="1:27" x14ac:dyDescent="0.2">
      <c r="A643" s="73"/>
      <c r="B643" s="74"/>
      <c r="C643" s="74"/>
      <c r="D643" s="74"/>
      <c r="E643" s="74"/>
      <c r="F643" s="74"/>
      <c r="G643" s="75"/>
      <c r="H643" s="75"/>
      <c r="I643" s="76"/>
      <c r="J643" s="77"/>
      <c r="K643" s="76"/>
      <c r="L643" s="76"/>
      <c r="M643" s="74"/>
      <c r="N643" s="74"/>
      <c r="O643" s="78"/>
      <c r="P643" s="78"/>
      <c r="Q643" s="78"/>
      <c r="R643" s="78"/>
      <c r="S643" s="79"/>
      <c r="T643" s="79"/>
      <c r="U643" s="79"/>
      <c r="V643" s="79"/>
      <c r="W643" s="79"/>
      <c r="X643" s="79"/>
      <c r="Y643" s="79"/>
      <c r="Z643" s="79"/>
      <c r="AA643" s="79"/>
    </row>
    <row r="644" spans="1:27" x14ac:dyDescent="0.2">
      <c r="A644" s="73"/>
      <c r="B644" s="74"/>
      <c r="C644" s="74"/>
      <c r="D644" s="74"/>
      <c r="E644" s="74"/>
      <c r="F644" s="74"/>
      <c r="G644" s="75"/>
      <c r="H644" s="75"/>
      <c r="I644" s="76"/>
      <c r="J644" s="77"/>
      <c r="K644" s="76"/>
      <c r="L644" s="76"/>
      <c r="M644" s="74"/>
      <c r="N644" s="74"/>
      <c r="O644" s="78"/>
      <c r="P644" s="78"/>
      <c r="Q644" s="78"/>
      <c r="R644" s="78"/>
      <c r="S644" s="79"/>
      <c r="T644" s="79"/>
      <c r="U644" s="79"/>
      <c r="V644" s="79"/>
      <c r="W644" s="79"/>
      <c r="X644" s="79"/>
      <c r="Y644" s="79"/>
      <c r="Z644" s="79"/>
      <c r="AA644" s="79"/>
    </row>
    <row r="645" spans="1:27" x14ac:dyDescent="0.2">
      <c r="A645" s="73"/>
      <c r="B645" s="74"/>
      <c r="C645" s="74"/>
      <c r="D645" s="74"/>
      <c r="E645" s="74"/>
      <c r="F645" s="74"/>
      <c r="G645" s="75"/>
      <c r="H645" s="75"/>
      <c r="I645" s="76"/>
      <c r="J645" s="77"/>
      <c r="K645" s="76"/>
      <c r="L645" s="76"/>
      <c r="M645" s="74"/>
      <c r="N645" s="74"/>
      <c r="O645" s="78"/>
      <c r="P645" s="78"/>
      <c r="Q645" s="78"/>
      <c r="R645" s="78"/>
      <c r="S645" s="79"/>
      <c r="T645" s="79"/>
      <c r="U645" s="79"/>
      <c r="V645" s="79"/>
      <c r="W645" s="79"/>
      <c r="X645" s="79"/>
      <c r="Y645" s="79"/>
      <c r="Z645" s="79"/>
      <c r="AA645" s="79"/>
    </row>
    <row r="646" spans="1:27" x14ac:dyDescent="0.2">
      <c r="A646" s="73"/>
      <c r="B646" s="74"/>
      <c r="C646" s="74"/>
      <c r="D646" s="74"/>
      <c r="E646" s="74"/>
      <c r="F646" s="74"/>
      <c r="G646" s="75"/>
      <c r="H646" s="75"/>
      <c r="I646" s="76"/>
      <c r="J646" s="77"/>
      <c r="K646" s="76"/>
      <c r="L646" s="76"/>
      <c r="M646" s="74"/>
      <c r="N646" s="74"/>
      <c r="O646" s="78"/>
      <c r="P646" s="78"/>
      <c r="Q646" s="78"/>
      <c r="R646" s="78"/>
      <c r="S646" s="79"/>
      <c r="T646" s="79"/>
      <c r="U646" s="79"/>
      <c r="V646" s="79"/>
      <c r="W646" s="79"/>
      <c r="X646" s="79"/>
      <c r="Y646" s="79"/>
      <c r="Z646" s="79"/>
      <c r="AA646" s="79"/>
    </row>
    <row r="647" spans="1:27" x14ac:dyDescent="0.2">
      <c r="A647" s="73"/>
      <c r="B647" s="74"/>
      <c r="C647" s="74"/>
      <c r="D647" s="74"/>
      <c r="E647" s="74"/>
      <c r="F647" s="74"/>
      <c r="G647" s="75"/>
      <c r="H647" s="75"/>
      <c r="I647" s="76"/>
      <c r="J647" s="77"/>
      <c r="K647" s="76"/>
      <c r="L647" s="76"/>
      <c r="M647" s="74"/>
      <c r="N647" s="74"/>
      <c r="O647" s="78"/>
      <c r="P647" s="78"/>
      <c r="Q647" s="78"/>
      <c r="R647" s="78"/>
      <c r="S647" s="79"/>
      <c r="T647" s="79"/>
      <c r="U647" s="79"/>
      <c r="V647" s="79"/>
      <c r="W647" s="79"/>
      <c r="X647" s="79"/>
      <c r="Y647" s="79"/>
      <c r="Z647" s="79"/>
      <c r="AA647" s="79"/>
    </row>
    <row r="648" spans="1:27" x14ac:dyDescent="0.2">
      <c r="A648" s="73"/>
      <c r="B648" s="74"/>
      <c r="C648" s="74"/>
      <c r="D648" s="74"/>
      <c r="E648" s="74"/>
      <c r="F648" s="74"/>
      <c r="G648" s="75"/>
      <c r="H648" s="75"/>
      <c r="I648" s="76"/>
      <c r="J648" s="77"/>
      <c r="K648" s="76"/>
      <c r="L648" s="76"/>
      <c r="M648" s="74"/>
      <c r="N648" s="74"/>
      <c r="O648" s="78"/>
      <c r="P648" s="78"/>
      <c r="Q648" s="78"/>
      <c r="R648" s="78"/>
      <c r="S648" s="79"/>
      <c r="T648" s="79"/>
      <c r="U648" s="79"/>
      <c r="V648" s="79"/>
      <c r="W648" s="79"/>
      <c r="X648" s="79"/>
      <c r="Y648" s="79"/>
      <c r="Z648" s="79"/>
      <c r="AA648" s="79"/>
    </row>
    <row r="649" spans="1:27" x14ac:dyDescent="0.2">
      <c r="A649" s="73"/>
      <c r="B649" s="74"/>
      <c r="C649" s="74"/>
      <c r="D649" s="74"/>
      <c r="E649" s="74"/>
      <c r="F649" s="74"/>
      <c r="G649" s="75"/>
      <c r="H649" s="75"/>
      <c r="I649" s="76"/>
      <c r="J649" s="77"/>
      <c r="K649" s="76"/>
      <c r="L649" s="76"/>
      <c r="M649" s="74"/>
      <c r="N649" s="74"/>
      <c r="O649" s="78"/>
      <c r="P649" s="78"/>
      <c r="Q649" s="78"/>
      <c r="R649" s="78"/>
      <c r="S649" s="79"/>
      <c r="T649" s="79"/>
      <c r="U649" s="79"/>
      <c r="V649" s="79"/>
      <c r="W649" s="79"/>
      <c r="X649" s="79"/>
      <c r="Y649" s="79"/>
      <c r="Z649" s="79"/>
      <c r="AA649" s="79"/>
    </row>
    <row r="650" spans="1:27" x14ac:dyDescent="0.2">
      <c r="A650" s="73"/>
      <c r="B650" s="74"/>
      <c r="C650" s="74"/>
      <c r="D650" s="74"/>
      <c r="E650" s="74"/>
      <c r="F650" s="74"/>
      <c r="G650" s="75"/>
      <c r="H650" s="75"/>
      <c r="I650" s="76"/>
      <c r="J650" s="77"/>
      <c r="K650" s="76"/>
      <c r="L650" s="76"/>
      <c r="M650" s="74"/>
      <c r="N650" s="74"/>
      <c r="O650" s="78"/>
      <c r="P650" s="78"/>
      <c r="Q650" s="78"/>
      <c r="R650" s="78"/>
      <c r="S650" s="79"/>
      <c r="T650" s="79"/>
      <c r="U650" s="79"/>
      <c r="V650" s="79"/>
      <c r="W650" s="79"/>
      <c r="X650" s="79"/>
      <c r="Y650" s="79"/>
      <c r="Z650" s="79"/>
      <c r="AA650" s="79"/>
    </row>
    <row r="651" spans="1:27" x14ac:dyDescent="0.2">
      <c r="A651" s="73"/>
      <c r="B651" s="74"/>
      <c r="C651" s="74"/>
      <c r="D651" s="74"/>
      <c r="E651" s="74"/>
      <c r="F651" s="74"/>
      <c r="G651" s="75"/>
      <c r="H651" s="75"/>
      <c r="I651" s="76"/>
      <c r="J651" s="77"/>
      <c r="K651" s="76"/>
      <c r="L651" s="76"/>
      <c r="M651" s="74"/>
      <c r="N651" s="74"/>
      <c r="O651" s="78"/>
      <c r="P651" s="78"/>
      <c r="Q651" s="78"/>
      <c r="R651" s="78"/>
      <c r="S651" s="79"/>
      <c r="T651" s="79"/>
      <c r="U651" s="79"/>
      <c r="V651" s="79"/>
      <c r="W651" s="79"/>
      <c r="X651" s="79"/>
      <c r="Y651" s="79"/>
      <c r="Z651" s="79"/>
      <c r="AA651" s="79"/>
    </row>
    <row r="652" spans="1:27" x14ac:dyDescent="0.2">
      <c r="A652" s="73"/>
      <c r="B652" s="74"/>
      <c r="C652" s="74"/>
      <c r="D652" s="74"/>
      <c r="E652" s="74"/>
      <c r="F652" s="74"/>
      <c r="G652" s="75"/>
      <c r="H652" s="75"/>
      <c r="I652" s="76"/>
      <c r="J652" s="77"/>
      <c r="K652" s="76"/>
      <c r="L652" s="76"/>
      <c r="M652" s="74"/>
      <c r="N652" s="74"/>
      <c r="O652" s="78"/>
      <c r="P652" s="78"/>
      <c r="Q652" s="78"/>
      <c r="R652" s="78"/>
      <c r="S652" s="79"/>
      <c r="T652" s="79"/>
      <c r="U652" s="79"/>
      <c r="V652" s="79"/>
      <c r="W652" s="79"/>
      <c r="X652" s="79"/>
      <c r="Y652" s="79"/>
      <c r="Z652" s="79"/>
      <c r="AA652" s="79"/>
    </row>
    <row r="653" spans="1:27" x14ac:dyDescent="0.2">
      <c r="A653" s="73"/>
      <c r="B653" s="74"/>
      <c r="C653" s="74"/>
      <c r="D653" s="74"/>
      <c r="E653" s="74"/>
      <c r="F653" s="74"/>
      <c r="G653" s="75"/>
      <c r="H653" s="75"/>
      <c r="I653" s="76"/>
      <c r="J653" s="77"/>
      <c r="K653" s="76"/>
      <c r="L653" s="76"/>
      <c r="M653" s="74"/>
      <c r="N653" s="74"/>
      <c r="O653" s="78"/>
      <c r="P653" s="78"/>
      <c r="Q653" s="78"/>
      <c r="R653" s="78"/>
      <c r="S653" s="79"/>
      <c r="T653" s="79"/>
      <c r="U653" s="79"/>
      <c r="V653" s="79"/>
      <c r="W653" s="79"/>
      <c r="X653" s="79"/>
      <c r="Y653" s="79"/>
      <c r="Z653" s="79"/>
      <c r="AA653" s="79"/>
    </row>
    <row r="654" spans="1:27" x14ac:dyDescent="0.2">
      <c r="A654" s="73"/>
      <c r="B654" s="74"/>
      <c r="C654" s="74"/>
      <c r="D654" s="74"/>
      <c r="E654" s="74"/>
      <c r="F654" s="74"/>
      <c r="G654" s="75"/>
      <c r="H654" s="75"/>
      <c r="I654" s="76"/>
      <c r="J654" s="77"/>
      <c r="K654" s="76"/>
      <c r="L654" s="76"/>
      <c r="M654" s="74"/>
      <c r="N654" s="74"/>
      <c r="O654" s="78"/>
      <c r="P654" s="78"/>
      <c r="Q654" s="78"/>
      <c r="R654" s="78"/>
      <c r="S654" s="79"/>
      <c r="T654" s="79"/>
      <c r="U654" s="79"/>
      <c r="V654" s="79"/>
      <c r="W654" s="79"/>
      <c r="X654" s="79"/>
      <c r="Y654" s="79"/>
      <c r="Z654" s="79"/>
      <c r="AA654" s="79"/>
    </row>
    <row r="655" spans="1:27" x14ac:dyDescent="0.2">
      <c r="A655" s="73"/>
      <c r="B655" s="74"/>
      <c r="C655" s="74"/>
      <c r="D655" s="74"/>
      <c r="E655" s="74"/>
      <c r="F655" s="74"/>
      <c r="G655" s="75"/>
      <c r="H655" s="75"/>
      <c r="I655" s="76"/>
      <c r="J655" s="77"/>
      <c r="K655" s="76"/>
      <c r="L655" s="76"/>
      <c r="M655" s="74"/>
      <c r="N655" s="74"/>
      <c r="O655" s="78"/>
      <c r="P655" s="78"/>
      <c r="Q655" s="78"/>
      <c r="R655" s="78"/>
      <c r="S655" s="79"/>
      <c r="T655" s="79"/>
      <c r="U655" s="79"/>
      <c r="V655" s="79"/>
      <c r="W655" s="79"/>
      <c r="X655" s="79"/>
      <c r="Y655" s="79"/>
      <c r="Z655" s="79"/>
      <c r="AA655" s="79"/>
    </row>
    <row r="656" spans="1:27" x14ac:dyDescent="0.2">
      <c r="A656" s="73"/>
      <c r="B656" s="74"/>
      <c r="C656" s="74"/>
      <c r="D656" s="74"/>
      <c r="E656" s="74"/>
      <c r="F656" s="74"/>
      <c r="G656" s="75"/>
      <c r="H656" s="75"/>
      <c r="I656" s="76"/>
      <c r="J656" s="77"/>
      <c r="K656" s="76"/>
      <c r="L656" s="76"/>
      <c r="M656" s="74"/>
      <c r="N656" s="74"/>
      <c r="O656" s="78"/>
      <c r="P656" s="78"/>
      <c r="Q656" s="78"/>
      <c r="R656" s="78"/>
      <c r="S656" s="79"/>
      <c r="T656" s="79"/>
      <c r="U656" s="79"/>
      <c r="V656" s="79"/>
      <c r="W656" s="79"/>
      <c r="X656" s="79"/>
      <c r="Y656" s="79"/>
      <c r="Z656" s="79"/>
      <c r="AA656" s="79"/>
    </row>
    <row r="657" spans="1:27" x14ac:dyDescent="0.2">
      <c r="A657" s="73"/>
      <c r="B657" s="74"/>
      <c r="C657" s="74"/>
      <c r="D657" s="74"/>
      <c r="E657" s="74"/>
      <c r="F657" s="74"/>
      <c r="G657" s="75"/>
      <c r="H657" s="75"/>
      <c r="I657" s="76"/>
      <c r="J657" s="77"/>
      <c r="K657" s="76"/>
      <c r="L657" s="76"/>
      <c r="M657" s="74"/>
      <c r="N657" s="74"/>
      <c r="O657" s="78"/>
      <c r="P657" s="78"/>
      <c r="Q657" s="78"/>
      <c r="R657" s="78"/>
      <c r="S657" s="79"/>
      <c r="T657" s="79"/>
      <c r="U657" s="79"/>
      <c r="V657" s="79"/>
      <c r="W657" s="79"/>
      <c r="X657" s="79"/>
      <c r="Y657" s="79"/>
      <c r="Z657" s="79"/>
      <c r="AA657" s="79"/>
    </row>
    <row r="658" spans="1:27" x14ac:dyDescent="0.2">
      <c r="A658" s="73"/>
      <c r="B658" s="74"/>
      <c r="C658" s="74"/>
      <c r="D658" s="74"/>
      <c r="E658" s="74"/>
      <c r="F658" s="74"/>
      <c r="G658" s="75"/>
      <c r="H658" s="75"/>
      <c r="I658" s="76"/>
      <c r="J658" s="77"/>
      <c r="K658" s="76"/>
      <c r="L658" s="76"/>
      <c r="M658" s="74"/>
      <c r="N658" s="74"/>
      <c r="O658" s="78"/>
      <c r="P658" s="78"/>
      <c r="Q658" s="78"/>
      <c r="R658" s="78"/>
      <c r="S658" s="79"/>
      <c r="T658" s="79"/>
      <c r="U658" s="79"/>
      <c r="V658" s="79"/>
      <c r="W658" s="79"/>
      <c r="X658" s="79"/>
      <c r="Y658" s="79"/>
      <c r="Z658" s="79"/>
      <c r="AA658" s="79"/>
    </row>
    <row r="659" spans="1:27" x14ac:dyDescent="0.2">
      <c r="A659" s="73"/>
      <c r="B659" s="74"/>
      <c r="C659" s="74"/>
      <c r="D659" s="74"/>
      <c r="E659" s="74"/>
      <c r="F659" s="74"/>
      <c r="G659" s="75"/>
      <c r="H659" s="75"/>
      <c r="I659" s="76"/>
      <c r="J659" s="77"/>
      <c r="K659" s="76"/>
      <c r="L659" s="76"/>
      <c r="M659" s="74"/>
      <c r="N659" s="74"/>
      <c r="O659" s="78"/>
      <c r="P659" s="78"/>
      <c r="Q659" s="78"/>
      <c r="R659" s="78"/>
      <c r="S659" s="79"/>
      <c r="T659" s="79"/>
      <c r="U659" s="79"/>
      <c r="V659" s="79"/>
      <c r="W659" s="79"/>
      <c r="X659" s="79"/>
      <c r="Y659" s="79"/>
      <c r="Z659" s="79"/>
      <c r="AA659" s="79"/>
    </row>
    <row r="660" spans="1:27" x14ac:dyDescent="0.2">
      <c r="A660" s="73"/>
      <c r="B660" s="74"/>
      <c r="C660" s="74"/>
      <c r="D660" s="74"/>
      <c r="E660" s="74"/>
      <c r="F660" s="74"/>
      <c r="G660" s="75"/>
      <c r="H660" s="75"/>
      <c r="I660" s="76"/>
      <c r="J660" s="77"/>
      <c r="K660" s="76"/>
      <c r="L660" s="76"/>
      <c r="M660" s="74"/>
      <c r="N660" s="74"/>
      <c r="O660" s="78"/>
      <c r="P660" s="78"/>
      <c r="Q660" s="78"/>
      <c r="R660" s="78"/>
      <c r="S660" s="79"/>
      <c r="T660" s="79"/>
      <c r="U660" s="79"/>
      <c r="V660" s="79"/>
      <c r="W660" s="79"/>
      <c r="X660" s="79"/>
      <c r="Y660" s="79"/>
      <c r="Z660" s="79"/>
      <c r="AA660" s="79"/>
    </row>
    <row r="661" spans="1:27" x14ac:dyDescent="0.2">
      <c r="A661" s="73"/>
      <c r="B661" s="74"/>
      <c r="C661" s="74"/>
      <c r="D661" s="74"/>
      <c r="E661" s="74"/>
      <c r="F661" s="74"/>
      <c r="G661" s="75"/>
      <c r="H661" s="75"/>
      <c r="I661" s="76"/>
      <c r="J661" s="77"/>
      <c r="K661" s="76"/>
      <c r="L661" s="76"/>
      <c r="M661" s="74"/>
      <c r="N661" s="74"/>
      <c r="O661" s="78"/>
      <c r="P661" s="78"/>
      <c r="Q661" s="78"/>
      <c r="R661" s="78"/>
      <c r="S661" s="79"/>
      <c r="T661" s="79"/>
      <c r="U661" s="79"/>
      <c r="V661" s="79"/>
      <c r="W661" s="79"/>
      <c r="X661" s="79"/>
      <c r="Y661" s="79"/>
      <c r="Z661" s="79"/>
      <c r="AA661" s="79"/>
    </row>
    <row r="662" spans="1:27" x14ac:dyDescent="0.2">
      <c r="A662" s="73"/>
      <c r="B662" s="74"/>
      <c r="C662" s="74"/>
      <c r="D662" s="74"/>
      <c r="E662" s="74"/>
      <c r="F662" s="74"/>
      <c r="G662" s="75"/>
      <c r="H662" s="75"/>
      <c r="I662" s="76"/>
      <c r="J662" s="77"/>
      <c r="K662" s="76"/>
      <c r="L662" s="76"/>
      <c r="M662" s="74"/>
      <c r="N662" s="74"/>
      <c r="O662" s="78"/>
      <c r="P662" s="78"/>
      <c r="Q662" s="78"/>
      <c r="R662" s="78"/>
      <c r="S662" s="79"/>
      <c r="T662" s="79"/>
      <c r="U662" s="79"/>
      <c r="V662" s="79"/>
      <c r="W662" s="79"/>
      <c r="X662" s="79"/>
      <c r="Y662" s="79"/>
      <c r="Z662" s="79"/>
      <c r="AA662" s="79"/>
    </row>
    <row r="663" spans="1:27" x14ac:dyDescent="0.2">
      <c r="A663" s="73"/>
      <c r="B663" s="74"/>
      <c r="C663" s="74"/>
      <c r="D663" s="74"/>
      <c r="E663" s="74"/>
      <c r="F663" s="74"/>
      <c r="G663" s="75"/>
      <c r="H663" s="75"/>
      <c r="I663" s="76"/>
      <c r="J663" s="77"/>
      <c r="K663" s="76"/>
      <c r="L663" s="76"/>
      <c r="M663" s="74"/>
      <c r="N663" s="74"/>
      <c r="O663" s="78"/>
      <c r="P663" s="78"/>
      <c r="Q663" s="78"/>
      <c r="R663" s="78"/>
      <c r="S663" s="79"/>
      <c r="T663" s="79"/>
      <c r="U663" s="79"/>
      <c r="V663" s="79"/>
      <c r="W663" s="79"/>
      <c r="X663" s="79"/>
      <c r="Y663" s="79"/>
      <c r="Z663" s="79"/>
      <c r="AA663" s="79"/>
    </row>
    <row r="664" spans="1:27" x14ac:dyDescent="0.2">
      <c r="A664" s="73"/>
      <c r="B664" s="74"/>
      <c r="C664" s="74"/>
      <c r="D664" s="74"/>
      <c r="E664" s="74"/>
      <c r="F664" s="74"/>
      <c r="G664" s="75"/>
      <c r="H664" s="75"/>
      <c r="I664" s="76"/>
      <c r="J664" s="77"/>
      <c r="K664" s="76"/>
      <c r="L664" s="76"/>
      <c r="M664" s="74"/>
      <c r="N664" s="74"/>
      <c r="O664" s="78"/>
      <c r="P664" s="78"/>
      <c r="Q664" s="78"/>
      <c r="R664" s="78"/>
      <c r="S664" s="79"/>
      <c r="T664" s="79"/>
      <c r="U664" s="79"/>
      <c r="V664" s="79"/>
      <c r="W664" s="79"/>
      <c r="X664" s="79"/>
      <c r="Y664" s="79"/>
      <c r="Z664" s="79"/>
      <c r="AA664" s="79"/>
    </row>
    <row r="665" spans="1:27" x14ac:dyDescent="0.2">
      <c r="A665" s="73"/>
      <c r="B665" s="74"/>
      <c r="C665" s="74"/>
      <c r="D665" s="74"/>
      <c r="E665" s="74"/>
      <c r="F665" s="74"/>
      <c r="G665" s="75"/>
      <c r="H665" s="75"/>
      <c r="I665" s="76"/>
      <c r="J665" s="77"/>
      <c r="K665" s="76"/>
      <c r="L665" s="76"/>
      <c r="M665" s="74"/>
      <c r="N665" s="74"/>
      <c r="O665" s="78"/>
      <c r="P665" s="78"/>
      <c r="Q665" s="78"/>
      <c r="R665" s="78"/>
      <c r="S665" s="79"/>
      <c r="T665" s="79"/>
      <c r="U665" s="79"/>
      <c r="V665" s="79"/>
      <c r="W665" s="79"/>
      <c r="X665" s="79"/>
      <c r="Y665" s="79"/>
      <c r="Z665" s="79"/>
      <c r="AA665" s="79"/>
    </row>
    <row r="666" spans="1:27" x14ac:dyDescent="0.2">
      <c r="A666" s="73"/>
      <c r="B666" s="74"/>
      <c r="C666" s="74"/>
      <c r="D666" s="74"/>
      <c r="E666" s="74"/>
      <c r="F666" s="74"/>
      <c r="G666" s="75"/>
      <c r="H666" s="75"/>
      <c r="I666" s="76"/>
      <c r="J666" s="77"/>
      <c r="K666" s="76"/>
      <c r="L666" s="76"/>
      <c r="M666" s="74"/>
      <c r="N666" s="74"/>
      <c r="O666" s="78"/>
      <c r="P666" s="78"/>
      <c r="Q666" s="78"/>
      <c r="R666" s="78"/>
      <c r="S666" s="79"/>
      <c r="T666" s="79"/>
      <c r="U666" s="79"/>
      <c r="V666" s="79"/>
      <c r="W666" s="79"/>
      <c r="X666" s="79"/>
      <c r="Y666" s="79"/>
      <c r="Z666" s="79"/>
      <c r="AA666" s="79"/>
    </row>
    <row r="667" spans="1:27" x14ac:dyDescent="0.2">
      <c r="A667" s="73"/>
      <c r="B667" s="74"/>
      <c r="C667" s="74"/>
      <c r="D667" s="74"/>
      <c r="E667" s="74"/>
      <c r="F667" s="74"/>
      <c r="G667" s="75"/>
      <c r="H667" s="75"/>
      <c r="I667" s="76"/>
      <c r="J667" s="77"/>
      <c r="K667" s="76"/>
      <c r="L667" s="76"/>
      <c r="M667" s="74"/>
      <c r="N667" s="74"/>
      <c r="O667" s="78"/>
      <c r="P667" s="78"/>
      <c r="Q667" s="78"/>
      <c r="R667" s="78"/>
      <c r="S667" s="79"/>
      <c r="T667" s="79"/>
      <c r="U667" s="79"/>
      <c r="V667" s="79"/>
      <c r="W667" s="79"/>
      <c r="X667" s="79"/>
      <c r="Y667" s="79"/>
      <c r="Z667" s="79"/>
      <c r="AA667" s="79"/>
    </row>
    <row r="668" spans="1:27" x14ac:dyDescent="0.2">
      <c r="A668" s="73"/>
      <c r="B668" s="74"/>
      <c r="C668" s="74"/>
      <c r="D668" s="74"/>
      <c r="E668" s="74"/>
      <c r="F668" s="74"/>
      <c r="G668" s="75"/>
      <c r="H668" s="75"/>
      <c r="I668" s="76"/>
      <c r="J668" s="77"/>
      <c r="K668" s="76"/>
      <c r="L668" s="76"/>
      <c r="M668" s="74"/>
      <c r="N668" s="74"/>
      <c r="O668" s="78"/>
      <c r="P668" s="78"/>
      <c r="Q668" s="78"/>
      <c r="R668" s="78"/>
      <c r="S668" s="79"/>
      <c r="T668" s="79"/>
      <c r="U668" s="79"/>
      <c r="V668" s="79"/>
      <c r="W668" s="79"/>
      <c r="X668" s="79"/>
      <c r="Y668" s="79"/>
      <c r="Z668" s="79"/>
      <c r="AA668" s="79"/>
    </row>
    <row r="669" spans="1:27" x14ac:dyDescent="0.2">
      <c r="A669" s="73"/>
      <c r="B669" s="74"/>
      <c r="C669" s="74"/>
      <c r="D669" s="74"/>
      <c r="E669" s="74"/>
      <c r="F669" s="74"/>
      <c r="G669" s="75"/>
      <c r="H669" s="75"/>
      <c r="I669" s="76"/>
      <c r="J669" s="77"/>
      <c r="K669" s="76"/>
      <c r="L669" s="76"/>
      <c r="M669" s="74"/>
      <c r="N669" s="74"/>
      <c r="O669" s="78"/>
      <c r="P669" s="78"/>
      <c r="Q669" s="78"/>
      <c r="R669" s="78"/>
      <c r="S669" s="79"/>
      <c r="T669" s="79"/>
      <c r="U669" s="79"/>
      <c r="V669" s="79"/>
      <c r="W669" s="79"/>
      <c r="X669" s="79"/>
      <c r="Y669" s="79"/>
      <c r="Z669" s="79"/>
      <c r="AA669" s="79"/>
    </row>
    <row r="670" spans="1:27" x14ac:dyDescent="0.2">
      <c r="A670" s="73"/>
      <c r="B670" s="74"/>
      <c r="C670" s="74"/>
      <c r="D670" s="74"/>
      <c r="E670" s="74"/>
      <c r="F670" s="74"/>
      <c r="G670" s="75"/>
      <c r="H670" s="75"/>
      <c r="I670" s="76"/>
      <c r="J670" s="77"/>
      <c r="K670" s="76"/>
      <c r="L670" s="76"/>
      <c r="M670" s="74"/>
      <c r="N670" s="74"/>
      <c r="O670" s="78"/>
      <c r="P670" s="78"/>
      <c r="Q670" s="78"/>
      <c r="R670" s="78"/>
      <c r="S670" s="79"/>
      <c r="T670" s="79"/>
      <c r="U670" s="79"/>
      <c r="V670" s="79"/>
      <c r="W670" s="79"/>
      <c r="X670" s="79"/>
      <c r="Y670" s="79"/>
      <c r="Z670" s="79"/>
      <c r="AA670" s="79"/>
    </row>
    <row r="671" spans="1:27" x14ac:dyDescent="0.2">
      <c r="A671" s="73"/>
      <c r="B671" s="74"/>
      <c r="C671" s="74"/>
      <c r="D671" s="74"/>
      <c r="E671" s="74"/>
      <c r="F671" s="74"/>
      <c r="G671" s="75"/>
      <c r="H671" s="75"/>
      <c r="I671" s="76"/>
      <c r="J671" s="77"/>
      <c r="K671" s="76"/>
      <c r="L671" s="76"/>
      <c r="M671" s="74"/>
      <c r="N671" s="74"/>
      <c r="O671" s="78"/>
      <c r="P671" s="78"/>
      <c r="Q671" s="78"/>
      <c r="R671" s="78"/>
      <c r="S671" s="79"/>
      <c r="T671" s="79"/>
      <c r="U671" s="79"/>
      <c r="V671" s="79"/>
      <c r="W671" s="79"/>
      <c r="X671" s="79"/>
      <c r="Y671" s="79"/>
      <c r="Z671" s="79"/>
      <c r="AA671" s="79"/>
    </row>
    <row r="672" spans="1:27" x14ac:dyDescent="0.2">
      <c r="A672" s="73"/>
      <c r="B672" s="74"/>
      <c r="C672" s="74"/>
      <c r="D672" s="74"/>
      <c r="E672" s="74"/>
      <c r="F672" s="74"/>
      <c r="G672" s="75"/>
      <c r="H672" s="75"/>
      <c r="I672" s="76"/>
      <c r="J672" s="77"/>
      <c r="K672" s="76"/>
      <c r="L672" s="76"/>
      <c r="M672" s="74"/>
      <c r="N672" s="74"/>
      <c r="O672" s="78"/>
      <c r="P672" s="78"/>
      <c r="Q672" s="78"/>
      <c r="R672" s="78"/>
      <c r="S672" s="79"/>
      <c r="T672" s="79"/>
      <c r="U672" s="79"/>
      <c r="V672" s="79"/>
      <c r="W672" s="79"/>
      <c r="X672" s="79"/>
      <c r="Y672" s="79"/>
      <c r="Z672" s="79"/>
      <c r="AA672" s="79"/>
    </row>
    <row r="673" spans="1:27" x14ac:dyDescent="0.2">
      <c r="A673" s="73"/>
      <c r="B673" s="74"/>
      <c r="C673" s="74"/>
      <c r="D673" s="74"/>
      <c r="E673" s="74"/>
      <c r="F673" s="74"/>
      <c r="G673" s="75"/>
      <c r="H673" s="75"/>
      <c r="I673" s="76"/>
      <c r="J673" s="77"/>
      <c r="K673" s="76"/>
      <c r="L673" s="76"/>
      <c r="M673" s="74"/>
      <c r="N673" s="74"/>
      <c r="O673" s="78"/>
      <c r="P673" s="78"/>
      <c r="Q673" s="78"/>
      <c r="R673" s="78"/>
      <c r="S673" s="79"/>
      <c r="T673" s="79"/>
      <c r="U673" s="79"/>
      <c r="V673" s="79"/>
      <c r="W673" s="79"/>
      <c r="X673" s="79"/>
      <c r="Y673" s="79"/>
      <c r="Z673" s="79"/>
      <c r="AA673" s="79"/>
    </row>
    <row r="674" spans="1:27" x14ac:dyDescent="0.2">
      <c r="A674" s="73"/>
      <c r="B674" s="74"/>
      <c r="C674" s="74"/>
      <c r="D674" s="74"/>
      <c r="E674" s="74"/>
      <c r="F674" s="74"/>
      <c r="G674" s="75"/>
      <c r="H674" s="75"/>
      <c r="I674" s="76"/>
      <c r="J674" s="77"/>
      <c r="K674" s="76"/>
      <c r="L674" s="76"/>
      <c r="M674" s="74"/>
      <c r="N674" s="74"/>
      <c r="O674" s="78"/>
      <c r="P674" s="78"/>
      <c r="Q674" s="78"/>
      <c r="R674" s="78"/>
      <c r="S674" s="79"/>
      <c r="T674" s="79"/>
      <c r="U674" s="79"/>
      <c r="V674" s="79"/>
      <c r="W674" s="79"/>
      <c r="X674" s="79"/>
      <c r="Y674" s="79"/>
      <c r="Z674" s="79"/>
      <c r="AA674" s="79"/>
    </row>
    <row r="675" spans="1:27" x14ac:dyDescent="0.2">
      <c r="A675" s="73"/>
      <c r="B675" s="74"/>
      <c r="C675" s="74"/>
      <c r="D675" s="74"/>
      <c r="E675" s="74"/>
      <c r="F675" s="74"/>
      <c r="G675" s="75"/>
      <c r="H675" s="75"/>
      <c r="I675" s="76"/>
      <c r="J675" s="77"/>
      <c r="K675" s="76"/>
      <c r="L675" s="76"/>
      <c r="M675" s="74"/>
      <c r="N675" s="74"/>
      <c r="O675" s="78"/>
      <c r="P675" s="78"/>
      <c r="Q675" s="78"/>
      <c r="R675" s="78"/>
      <c r="S675" s="79"/>
      <c r="T675" s="79"/>
      <c r="U675" s="79"/>
      <c r="V675" s="79"/>
      <c r="W675" s="79"/>
      <c r="X675" s="79"/>
      <c r="Y675" s="79"/>
      <c r="Z675" s="79"/>
      <c r="AA675" s="79"/>
    </row>
    <row r="676" spans="1:27" x14ac:dyDescent="0.2">
      <c r="A676" s="73"/>
      <c r="B676" s="74"/>
      <c r="C676" s="74"/>
      <c r="D676" s="74"/>
      <c r="E676" s="74"/>
      <c r="F676" s="74"/>
      <c r="G676" s="75"/>
      <c r="H676" s="75"/>
      <c r="I676" s="76"/>
      <c r="J676" s="77"/>
      <c r="K676" s="76"/>
      <c r="L676" s="76"/>
      <c r="M676" s="74"/>
      <c r="N676" s="74"/>
      <c r="O676" s="78"/>
      <c r="P676" s="78"/>
      <c r="Q676" s="78"/>
      <c r="R676" s="78"/>
      <c r="S676" s="79"/>
      <c r="T676" s="79"/>
      <c r="U676" s="79"/>
      <c r="V676" s="79"/>
      <c r="W676" s="79"/>
      <c r="X676" s="79"/>
      <c r="Y676" s="79"/>
      <c r="Z676" s="79"/>
      <c r="AA676" s="79"/>
    </row>
    <row r="677" spans="1:27" x14ac:dyDescent="0.2">
      <c r="A677" s="73"/>
      <c r="B677" s="74"/>
      <c r="C677" s="74"/>
      <c r="D677" s="74"/>
      <c r="E677" s="74"/>
      <c r="F677" s="74"/>
      <c r="G677" s="75"/>
      <c r="H677" s="75"/>
      <c r="I677" s="76"/>
      <c r="J677" s="77"/>
      <c r="K677" s="76"/>
      <c r="L677" s="76"/>
      <c r="M677" s="74"/>
      <c r="N677" s="74"/>
      <c r="O677" s="78"/>
      <c r="P677" s="78"/>
      <c r="Q677" s="78"/>
      <c r="R677" s="78"/>
      <c r="S677" s="79"/>
      <c r="T677" s="79"/>
      <c r="U677" s="79"/>
      <c r="V677" s="79"/>
      <c r="W677" s="79"/>
      <c r="X677" s="79"/>
      <c r="Y677" s="79"/>
      <c r="Z677" s="79"/>
      <c r="AA677" s="79"/>
    </row>
    <row r="678" spans="1:27" x14ac:dyDescent="0.2">
      <c r="A678" s="73"/>
      <c r="B678" s="74"/>
      <c r="C678" s="74"/>
      <c r="D678" s="74"/>
      <c r="E678" s="74"/>
      <c r="F678" s="74"/>
      <c r="G678" s="75"/>
      <c r="H678" s="75"/>
      <c r="I678" s="76"/>
      <c r="J678" s="77"/>
      <c r="K678" s="76"/>
      <c r="L678" s="76"/>
      <c r="M678" s="74"/>
      <c r="N678" s="74"/>
      <c r="O678" s="78"/>
      <c r="P678" s="78"/>
      <c r="Q678" s="78"/>
      <c r="R678" s="78"/>
      <c r="S678" s="79"/>
      <c r="T678" s="79"/>
      <c r="U678" s="79"/>
      <c r="V678" s="79"/>
      <c r="W678" s="79"/>
      <c r="X678" s="79"/>
      <c r="Y678" s="79"/>
      <c r="Z678" s="79"/>
      <c r="AA678" s="79"/>
    </row>
    <row r="679" spans="1:27" x14ac:dyDescent="0.2">
      <c r="A679" s="73"/>
      <c r="B679" s="74"/>
      <c r="C679" s="74"/>
      <c r="D679" s="74"/>
      <c r="E679" s="74"/>
      <c r="F679" s="74"/>
      <c r="G679" s="75"/>
      <c r="H679" s="75"/>
      <c r="I679" s="76"/>
      <c r="J679" s="77"/>
      <c r="K679" s="76"/>
      <c r="L679" s="76"/>
      <c r="M679" s="74"/>
      <c r="N679" s="74"/>
      <c r="O679" s="78"/>
      <c r="P679" s="78"/>
      <c r="Q679" s="78"/>
      <c r="R679" s="78"/>
      <c r="S679" s="79"/>
      <c r="T679" s="79"/>
      <c r="U679" s="79"/>
      <c r="V679" s="79"/>
      <c r="W679" s="79"/>
      <c r="X679" s="79"/>
      <c r="Y679" s="79"/>
      <c r="Z679" s="79"/>
      <c r="AA679" s="79"/>
    </row>
    <row r="680" spans="1:27" x14ac:dyDescent="0.2">
      <c r="A680" s="73"/>
      <c r="B680" s="74"/>
      <c r="C680" s="74"/>
      <c r="D680" s="74"/>
      <c r="E680" s="74"/>
      <c r="F680" s="74"/>
      <c r="G680" s="75"/>
      <c r="H680" s="75"/>
      <c r="I680" s="76"/>
      <c r="J680" s="77"/>
      <c r="K680" s="76"/>
      <c r="L680" s="76"/>
      <c r="M680" s="74"/>
      <c r="N680" s="74"/>
      <c r="O680" s="78"/>
      <c r="P680" s="78"/>
      <c r="Q680" s="78"/>
      <c r="R680" s="78"/>
      <c r="S680" s="79"/>
      <c r="T680" s="79"/>
      <c r="U680" s="79"/>
      <c r="V680" s="79"/>
      <c r="W680" s="79"/>
      <c r="X680" s="79"/>
      <c r="Y680" s="79"/>
      <c r="Z680" s="79"/>
      <c r="AA680" s="79"/>
    </row>
    <row r="681" spans="1:27" x14ac:dyDescent="0.2">
      <c r="A681" s="73"/>
      <c r="B681" s="74"/>
      <c r="C681" s="74"/>
      <c r="D681" s="74"/>
      <c r="E681" s="74"/>
      <c r="F681" s="74"/>
      <c r="G681" s="75"/>
      <c r="H681" s="75"/>
      <c r="I681" s="76"/>
      <c r="J681" s="77"/>
      <c r="K681" s="76"/>
      <c r="L681" s="76"/>
      <c r="M681" s="74"/>
      <c r="N681" s="74"/>
      <c r="O681" s="78"/>
      <c r="P681" s="78"/>
      <c r="Q681" s="78"/>
      <c r="R681" s="78"/>
      <c r="S681" s="79"/>
      <c r="T681" s="79"/>
      <c r="U681" s="79"/>
      <c r="V681" s="79"/>
      <c r="W681" s="79"/>
      <c r="X681" s="79"/>
      <c r="Y681" s="79"/>
      <c r="Z681" s="79"/>
      <c r="AA681" s="79"/>
    </row>
    <row r="682" spans="1:27" x14ac:dyDescent="0.2">
      <c r="A682" s="73"/>
      <c r="B682" s="74"/>
      <c r="C682" s="74"/>
      <c r="D682" s="74"/>
      <c r="E682" s="74"/>
      <c r="F682" s="74"/>
      <c r="G682" s="75"/>
      <c r="H682" s="75"/>
      <c r="I682" s="76"/>
      <c r="J682" s="77"/>
      <c r="K682" s="76"/>
      <c r="L682" s="76"/>
      <c r="M682" s="74"/>
      <c r="N682" s="74"/>
      <c r="O682" s="78"/>
      <c r="P682" s="78"/>
      <c r="Q682" s="78"/>
      <c r="R682" s="78"/>
      <c r="S682" s="79"/>
      <c r="T682" s="79"/>
      <c r="U682" s="79"/>
      <c r="V682" s="79"/>
      <c r="W682" s="79"/>
      <c r="X682" s="79"/>
      <c r="Y682" s="79"/>
      <c r="Z682" s="79"/>
      <c r="AA682" s="79"/>
    </row>
    <row r="683" spans="1:27" x14ac:dyDescent="0.2">
      <c r="A683" s="73"/>
      <c r="B683" s="74"/>
      <c r="C683" s="74"/>
      <c r="D683" s="74"/>
      <c r="E683" s="74"/>
      <c r="F683" s="74"/>
      <c r="G683" s="75"/>
      <c r="H683" s="75"/>
      <c r="I683" s="76"/>
      <c r="J683" s="77"/>
      <c r="K683" s="76"/>
      <c r="L683" s="76"/>
      <c r="M683" s="74"/>
      <c r="N683" s="74"/>
      <c r="O683" s="78"/>
      <c r="P683" s="78"/>
      <c r="Q683" s="78"/>
      <c r="R683" s="78"/>
      <c r="S683" s="79"/>
      <c r="T683" s="79"/>
      <c r="U683" s="79"/>
      <c r="V683" s="79"/>
      <c r="W683" s="79"/>
      <c r="X683" s="79"/>
      <c r="Y683" s="79"/>
      <c r="Z683" s="79"/>
      <c r="AA683" s="79"/>
    </row>
    <row r="684" spans="1:27" x14ac:dyDescent="0.2">
      <c r="A684" s="73"/>
      <c r="B684" s="74"/>
      <c r="C684" s="74"/>
      <c r="D684" s="74"/>
      <c r="E684" s="74"/>
      <c r="F684" s="74"/>
      <c r="G684" s="75"/>
      <c r="H684" s="75"/>
      <c r="I684" s="76"/>
      <c r="J684" s="77"/>
      <c r="K684" s="76"/>
      <c r="L684" s="76"/>
      <c r="M684" s="74"/>
      <c r="N684" s="74"/>
      <c r="O684" s="78"/>
      <c r="P684" s="78"/>
      <c r="Q684" s="78"/>
      <c r="R684" s="78"/>
      <c r="S684" s="79"/>
      <c r="T684" s="79"/>
      <c r="U684" s="79"/>
      <c r="V684" s="79"/>
      <c r="W684" s="79"/>
      <c r="X684" s="79"/>
      <c r="Y684" s="79"/>
      <c r="Z684" s="79"/>
      <c r="AA684" s="79"/>
    </row>
    <row r="685" spans="1:27" x14ac:dyDescent="0.2">
      <c r="A685" s="73"/>
      <c r="B685" s="74"/>
      <c r="C685" s="74"/>
      <c r="D685" s="74"/>
      <c r="E685" s="74"/>
      <c r="F685" s="74"/>
      <c r="G685" s="75"/>
      <c r="H685" s="75"/>
      <c r="I685" s="76"/>
      <c r="J685" s="77"/>
      <c r="K685" s="76"/>
      <c r="L685" s="76"/>
      <c r="M685" s="74"/>
      <c r="N685" s="74"/>
      <c r="O685" s="78"/>
      <c r="P685" s="78"/>
      <c r="Q685" s="78"/>
      <c r="R685" s="78"/>
      <c r="S685" s="79"/>
      <c r="T685" s="79"/>
      <c r="U685" s="79"/>
      <c r="V685" s="79"/>
      <c r="W685" s="79"/>
      <c r="X685" s="79"/>
      <c r="Y685" s="79"/>
      <c r="Z685" s="79"/>
      <c r="AA685" s="79"/>
    </row>
    <row r="686" spans="1:27" x14ac:dyDescent="0.2">
      <c r="A686" s="73"/>
      <c r="B686" s="74"/>
      <c r="C686" s="74"/>
      <c r="D686" s="74"/>
      <c r="E686" s="74"/>
      <c r="F686" s="74"/>
      <c r="G686" s="75"/>
      <c r="H686" s="75"/>
      <c r="I686" s="76"/>
      <c r="J686" s="77"/>
      <c r="K686" s="76"/>
      <c r="L686" s="76"/>
      <c r="M686" s="74"/>
      <c r="N686" s="74"/>
      <c r="O686" s="78"/>
      <c r="P686" s="78"/>
      <c r="Q686" s="78"/>
      <c r="R686" s="78"/>
      <c r="S686" s="79"/>
      <c r="T686" s="79"/>
      <c r="U686" s="79"/>
      <c r="V686" s="79"/>
      <c r="W686" s="79"/>
      <c r="X686" s="79"/>
      <c r="Y686" s="79"/>
      <c r="Z686" s="79"/>
      <c r="AA686" s="79"/>
    </row>
    <row r="687" spans="1:27" x14ac:dyDescent="0.2">
      <c r="A687" s="73"/>
      <c r="B687" s="74"/>
      <c r="C687" s="74"/>
      <c r="D687" s="74"/>
      <c r="E687" s="74"/>
      <c r="F687" s="74"/>
      <c r="G687" s="75"/>
      <c r="H687" s="75"/>
      <c r="I687" s="76"/>
      <c r="J687" s="77"/>
      <c r="K687" s="76"/>
      <c r="L687" s="76"/>
      <c r="M687" s="74"/>
      <c r="N687" s="74"/>
      <c r="O687" s="78"/>
      <c r="P687" s="78"/>
      <c r="Q687" s="78"/>
      <c r="R687" s="78"/>
      <c r="S687" s="79"/>
      <c r="T687" s="79"/>
      <c r="U687" s="79"/>
      <c r="V687" s="79"/>
      <c r="W687" s="79"/>
      <c r="X687" s="79"/>
      <c r="Y687" s="79"/>
      <c r="Z687" s="79"/>
      <c r="AA687" s="79"/>
    </row>
    <row r="688" spans="1:27" x14ac:dyDescent="0.2">
      <c r="A688" s="73"/>
      <c r="B688" s="74"/>
      <c r="C688" s="74"/>
      <c r="D688" s="74"/>
      <c r="E688" s="74"/>
      <c r="F688" s="74"/>
      <c r="G688" s="75"/>
      <c r="H688" s="75"/>
      <c r="I688" s="76"/>
      <c r="J688" s="77"/>
      <c r="K688" s="76"/>
      <c r="L688" s="76"/>
      <c r="M688" s="74"/>
      <c r="N688" s="74"/>
      <c r="O688" s="78"/>
      <c r="P688" s="78"/>
      <c r="Q688" s="78"/>
      <c r="R688" s="78"/>
      <c r="S688" s="79"/>
      <c r="T688" s="79"/>
      <c r="U688" s="79"/>
      <c r="V688" s="79"/>
      <c r="W688" s="79"/>
      <c r="X688" s="79"/>
      <c r="Y688" s="79"/>
      <c r="Z688" s="79"/>
      <c r="AA688" s="79"/>
    </row>
    <row r="689" spans="1:27" x14ac:dyDescent="0.2">
      <c r="A689" s="73"/>
      <c r="B689" s="74"/>
      <c r="C689" s="74"/>
      <c r="D689" s="74"/>
      <c r="E689" s="74"/>
      <c r="F689" s="74"/>
      <c r="G689" s="75"/>
      <c r="H689" s="75"/>
      <c r="I689" s="76"/>
      <c r="J689" s="77"/>
      <c r="K689" s="76"/>
      <c r="L689" s="76"/>
      <c r="M689" s="74"/>
      <c r="N689" s="74"/>
      <c r="O689" s="78"/>
      <c r="P689" s="78"/>
      <c r="Q689" s="78"/>
      <c r="R689" s="78"/>
      <c r="S689" s="79"/>
      <c r="T689" s="79"/>
      <c r="U689" s="79"/>
      <c r="V689" s="79"/>
      <c r="W689" s="79"/>
      <c r="X689" s="79"/>
      <c r="Y689" s="79"/>
      <c r="Z689" s="79"/>
      <c r="AA689" s="79"/>
    </row>
    <row r="690" spans="1:27" x14ac:dyDescent="0.2">
      <c r="A690" s="73"/>
      <c r="B690" s="74"/>
      <c r="C690" s="74"/>
      <c r="D690" s="74"/>
      <c r="E690" s="74"/>
      <c r="F690" s="74"/>
      <c r="G690" s="75"/>
      <c r="H690" s="75"/>
      <c r="I690" s="76"/>
      <c r="J690" s="77"/>
      <c r="K690" s="76"/>
      <c r="L690" s="76"/>
      <c r="M690" s="74"/>
      <c r="N690" s="74"/>
      <c r="O690" s="78"/>
      <c r="P690" s="78"/>
      <c r="Q690" s="78"/>
      <c r="R690" s="78"/>
      <c r="S690" s="79"/>
      <c r="T690" s="79"/>
      <c r="U690" s="79"/>
      <c r="V690" s="79"/>
      <c r="W690" s="79"/>
      <c r="X690" s="79"/>
      <c r="Y690" s="79"/>
      <c r="Z690" s="79"/>
      <c r="AA690" s="79"/>
    </row>
    <row r="691" spans="1:27" x14ac:dyDescent="0.2">
      <c r="A691" s="73"/>
      <c r="B691" s="74"/>
      <c r="C691" s="74"/>
      <c r="D691" s="74"/>
      <c r="E691" s="74"/>
      <c r="F691" s="74"/>
      <c r="G691" s="75"/>
      <c r="H691" s="75"/>
      <c r="I691" s="76"/>
      <c r="J691" s="77"/>
      <c r="K691" s="76"/>
      <c r="L691" s="76"/>
      <c r="M691" s="74"/>
      <c r="N691" s="74"/>
      <c r="O691" s="78"/>
      <c r="P691" s="78"/>
      <c r="Q691" s="78"/>
      <c r="R691" s="78"/>
      <c r="S691" s="79"/>
      <c r="T691" s="79"/>
      <c r="U691" s="79"/>
      <c r="V691" s="79"/>
      <c r="W691" s="79"/>
      <c r="X691" s="79"/>
      <c r="Y691" s="79"/>
      <c r="Z691" s="79"/>
      <c r="AA691" s="79"/>
    </row>
    <row r="692" spans="1:27" x14ac:dyDescent="0.2">
      <c r="A692" s="73"/>
      <c r="B692" s="74"/>
      <c r="C692" s="74"/>
      <c r="D692" s="74"/>
      <c r="E692" s="74"/>
      <c r="F692" s="74"/>
      <c r="G692" s="75"/>
      <c r="H692" s="75"/>
      <c r="I692" s="76"/>
      <c r="J692" s="77"/>
      <c r="K692" s="76"/>
      <c r="L692" s="76"/>
      <c r="M692" s="74"/>
      <c r="N692" s="74"/>
      <c r="O692" s="78"/>
      <c r="P692" s="78"/>
      <c r="Q692" s="78"/>
      <c r="R692" s="78"/>
      <c r="S692" s="79"/>
      <c r="T692" s="79"/>
      <c r="U692" s="79"/>
      <c r="V692" s="79"/>
      <c r="W692" s="79"/>
      <c r="X692" s="79"/>
      <c r="Y692" s="79"/>
      <c r="Z692" s="79"/>
      <c r="AA692" s="79"/>
    </row>
    <row r="693" spans="1:27" x14ac:dyDescent="0.2">
      <c r="A693" s="73"/>
      <c r="B693" s="74"/>
      <c r="C693" s="74"/>
      <c r="D693" s="74"/>
      <c r="E693" s="74"/>
      <c r="F693" s="74"/>
      <c r="G693" s="75"/>
      <c r="H693" s="75"/>
      <c r="I693" s="76"/>
      <c r="J693" s="77"/>
      <c r="K693" s="76"/>
      <c r="L693" s="76"/>
      <c r="M693" s="74"/>
      <c r="N693" s="74"/>
      <c r="O693" s="78"/>
      <c r="P693" s="78"/>
      <c r="Q693" s="78"/>
      <c r="R693" s="78"/>
      <c r="S693" s="79"/>
      <c r="T693" s="79"/>
      <c r="U693" s="79"/>
      <c r="V693" s="79"/>
      <c r="W693" s="79"/>
      <c r="X693" s="79"/>
      <c r="Y693" s="79"/>
      <c r="Z693" s="79"/>
      <c r="AA693" s="79"/>
    </row>
    <row r="694" spans="1:27" x14ac:dyDescent="0.2">
      <c r="A694" s="73"/>
      <c r="B694" s="74"/>
      <c r="C694" s="74"/>
      <c r="D694" s="74"/>
      <c r="E694" s="74"/>
      <c r="F694" s="74"/>
      <c r="G694" s="75"/>
      <c r="H694" s="75"/>
      <c r="I694" s="76"/>
      <c r="J694" s="77"/>
      <c r="K694" s="76"/>
      <c r="L694" s="76"/>
      <c r="M694" s="74"/>
      <c r="N694" s="74"/>
      <c r="O694" s="78"/>
      <c r="P694" s="78"/>
      <c r="Q694" s="78"/>
      <c r="R694" s="78"/>
      <c r="S694" s="79"/>
      <c r="T694" s="79"/>
      <c r="U694" s="79"/>
      <c r="V694" s="79"/>
      <c r="W694" s="79"/>
      <c r="X694" s="79"/>
      <c r="Y694" s="79"/>
      <c r="Z694" s="79"/>
      <c r="AA694" s="79"/>
    </row>
    <row r="695" spans="1:27" x14ac:dyDescent="0.2">
      <c r="A695" s="73"/>
      <c r="B695" s="74"/>
      <c r="C695" s="74"/>
      <c r="D695" s="74"/>
      <c r="E695" s="74"/>
      <c r="F695" s="74"/>
      <c r="G695" s="75"/>
      <c r="H695" s="75"/>
      <c r="I695" s="76"/>
      <c r="J695" s="77"/>
      <c r="K695" s="76"/>
      <c r="L695" s="76"/>
      <c r="M695" s="74"/>
      <c r="N695" s="74"/>
      <c r="O695" s="78"/>
      <c r="P695" s="78"/>
      <c r="Q695" s="78"/>
      <c r="R695" s="78"/>
      <c r="S695" s="79"/>
      <c r="T695" s="79"/>
      <c r="U695" s="79"/>
      <c r="V695" s="79"/>
      <c r="W695" s="79"/>
      <c r="X695" s="79"/>
      <c r="Y695" s="79"/>
      <c r="Z695" s="79"/>
      <c r="AA695" s="79"/>
    </row>
    <row r="696" spans="1:27" x14ac:dyDescent="0.2">
      <c r="A696" s="73"/>
      <c r="B696" s="74"/>
      <c r="C696" s="74"/>
      <c r="D696" s="74"/>
      <c r="E696" s="74"/>
      <c r="F696" s="74"/>
      <c r="G696" s="75"/>
      <c r="H696" s="75"/>
      <c r="I696" s="76"/>
      <c r="J696" s="77"/>
      <c r="K696" s="76"/>
      <c r="L696" s="76"/>
      <c r="M696" s="74"/>
      <c r="N696" s="74"/>
      <c r="O696" s="78"/>
      <c r="P696" s="78"/>
      <c r="Q696" s="78"/>
      <c r="R696" s="78"/>
      <c r="S696" s="79"/>
      <c r="T696" s="79"/>
      <c r="U696" s="79"/>
      <c r="V696" s="79"/>
      <c r="W696" s="79"/>
      <c r="X696" s="79"/>
      <c r="Y696" s="79"/>
      <c r="Z696" s="79"/>
      <c r="AA696" s="79"/>
    </row>
    <row r="697" spans="1:27" x14ac:dyDescent="0.2">
      <c r="A697" s="73"/>
      <c r="B697" s="74"/>
      <c r="C697" s="74"/>
      <c r="D697" s="74"/>
      <c r="E697" s="74"/>
      <c r="F697" s="74"/>
      <c r="G697" s="75"/>
      <c r="H697" s="75"/>
      <c r="I697" s="76"/>
      <c r="J697" s="77"/>
      <c r="K697" s="76"/>
      <c r="L697" s="76"/>
      <c r="M697" s="74"/>
      <c r="N697" s="74"/>
      <c r="O697" s="78"/>
      <c r="P697" s="78"/>
      <c r="Q697" s="78"/>
      <c r="R697" s="78"/>
      <c r="S697" s="79"/>
      <c r="T697" s="79"/>
      <c r="U697" s="79"/>
      <c r="V697" s="79"/>
      <c r="W697" s="79"/>
      <c r="X697" s="79"/>
      <c r="Y697" s="79"/>
      <c r="Z697" s="79"/>
      <c r="AA697" s="79"/>
    </row>
    <row r="698" spans="1:27" x14ac:dyDescent="0.2">
      <c r="A698" s="73"/>
      <c r="B698" s="74"/>
      <c r="C698" s="74"/>
      <c r="D698" s="74"/>
      <c r="E698" s="74"/>
      <c r="F698" s="74"/>
      <c r="G698" s="75"/>
      <c r="H698" s="75"/>
      <c r="I698" s="76"/>
      <c r="J698" s="77"/>
      <c r="K698" s="76"/>
      <c r="L698" s="76"/>
      <c r="M698" s="74"/>
      <c r="N698" s="74"/>
      <c r="O698" s="78"/>
      <c r="P698" s="78"/>
      <c r="Q698" s="78"/>
      <c r="R698" s="78"/>
      <c r="S698" s="79"/>
      <c r="T698" s="79"/>
      <c r="U698" s="79"/>
      <c r="V698" s="79"/>
      <c r="W698" s="79"/>
      <c r="X698" s="79"/>
      <c r="Y698" s="79"/>
      <c r="Z698" s="79"/>
      <c r="AA698" s="79"/>
    </row>
    <row r="699" spans="1:27" x14ac:dyDescent="0.2">
      <c r="A699" s="73"/>
      <c r="B699" s="74"/>
      <c r="C699" s="74"/>
      <c r="D699" s="74"/>
      <c r="E699" s="74"/>
      <c r="F699" s="74"/>
      <c r="G699" s="75"/>
      <c r="H699" s="75"/>
      <c r="I699" s="76"/>
      <c r="J699" s="77"/>
      <c r="K699" s="76"/>
      <c r="L699" s="76"/>
      <c r="M699" s="74"/>
      <c r="N699" s="74"/>
      <c r="O699" s="78"/>
      <c r="P699" s="78"/>
      <c r="Q699" s="78"/>
      <c r="R699" s="78"/>
      <c r="S699" s="79"/>
      <c r="T699" s="79"/>
      <c r="U699" s="79"/>
      <c r="V699" s="79"/>
      <c r="W699" s="79"/>
      <c r="X699" s="79"/>
      <c r="Y699" s="79"/>
      <c r="Z699" s="79"/>
      <c r="AA699" s="79"/>
    </row>
    <row r="700" spans="1:27" x14ac:dyDescent="0.2">
      <c r="A700" s="73"/>
      <c r="B700" s="74"/>
      <c r="C700" s="74"/>
      <c r="D700" s="74"/>
      <c r="E700" s="74"/>
      <c r="F700" s="74"/>
      <c r="G700" s="75"/>
      <c r="H700" s="75"/>
      <c r="I700" s="76"/>
      <c r="J700" s="77"/>
      <c r="K700" s="76"/>
      <c r="L700" s="76"/>
      <c r="M700" s="74"/>
      <c r="N700" s="74"/>
      <c r="O700" s="78"/>
      <c r="P700" s="78"/>
      <c r="Q700" s="78"/>
      <c r="R700" s="78"/>
      <c r="S700" s="79"/>
      <c r="T700" s="79"/>
      <c r="U700" s="79"/>
      <c r="V700" s="79"/>
      <c r="W700" s="79"/>
      <c r="X700" s="79"/>
      <c r="Y700" s="79"/>
      <c r="Z700" s="79"/>
      <c r="AA700" s="79"/>
    </row>
    <row r="701" spans="1:27" x14ac:dyDescent="0.2">
      <c r="A701" s="73"/>
      <c r="B701" s="74"/>
      <c r="C701" s="74"/>
      <c r="D701" s="74"/>
      <c r="E701" s="74"/>
      <c r="F701" s="74"/>
      <c r="G701" s="75"/>
      <c r="H701" s="75"/>
      <c r="I701" s="76"/>
      <c r="J701" s="77"/>
      <c r="K701" s="76"/>
      <c r="L701" s="76"/>
      <c r="M701" s="74"/>
      <c r="N701" s="74"/>
      <c r="O701" s="78"/>
      <c r="P701" s="78"/>
      <c r="Q701" s="78"/>
      <c r="R701" s="78"/>
      <c r="S701" s="79"/>
      <c r="T701" s="79"/>
      <c r="U701" s="79"/>
      <c r="V701" s="79"/>
      <c r="W701" s="79"/>
      <c r="X701" s="79"/>
      <c r="Y701" s="79"/>
      <c r="Z701" s="79"/>
      <c r="AA701" s="79"/>
    </row>
    <row r="702" spans="1:27" x14ac:dyDescent="0.2">
      <c r="A702" s="73"/>
      <c r="B702" s="74"/>
      <c r="C702" s="74"/>
      <c r="D702" s="74"/>
      <c r="E702" s="74"/>
      <c r="F702" s="74"/>
      <c r="G702" s="75"/>
      <c r="H702" s="75"/>
      <c r="I702" s="76"/>
      <c r="J702" s="77"/>
      <c r="K702" s="76"/>
      <c r="L702" s="76"/>
      <c r="M702" s="74"/>
      <c r="N702" s="74"/>
      <c r="O702" s="78"/>
      <c r="P702" s="78"/>
      <c r="Q702" s="78"/>
      <c r="R702" s="78"/>
      <c r="S702" s="79"/>
      <c r="T702" s="79"/>
      <c r="U702" s="79"/>
      <c r="V702" s="79"/>
      <c r="W702" s="79"/>
      <c r="X702" s="79"/>
      <c r="Y702" s="79"/>
      <c r="Z702" s="79"/>
      <c r="AA702" s="79"/>
    </row>
    <row r="703" spans="1:27" x14ac:dyDescent="0.2">
      <c r="A703" s="73"/>
      <c r="B703" s="74"/>
      <c r="C703" s="74"/>
      <c r="D703" s="74"/>
      <c r="E703" s="74"/>
      <c r="F703" s="74"/>
      <c r="G703" s="75"/>
      <c r="H703" s="75"/>
      <c r="I703" s="76"/>
      <c r="J703" s="77"/>
      <c r="K703" s="76"/>
      <c r="L703" s="76"/>
      <c r="M703" s="74"/>
      <c r="N703" s="74"/>
      <c r="O703" s="78"/>
      <c r="P703" s="78"/>
      <c r="Q703" s="78"/>
      <c r="R703" s="78"/>
      <c r="S703" s="79"/>
      <c r="T703" s="79"/>
      <c r="U703" s="79"/>
      <c r="V703" s="79"/>
      <c r="W703" s="79"/>
      <c r="X703" s="79"/>
      <c r="Y703" s="79"/>
      <c r="Z703" s="79"/>
      <c r="AA703" s="79"/>
    </row>
    <row r="704" spans="1:27" x14ac:dyDescent="0.2">
      <c r="A704" s="73"/>
      <c r="B704" s="74"/>
      <c r="C704" s="74"/>
      <c r="D704" s="74"/>
      <c r="E704" s="74"/>
      <c r="F704" s="74"/>
      <c r="G704" s="75"/>
      <c r="H704" s="75"/>
      <c r="I704" s="76"/>
      <c r="J704" s="77"/>
      <c r="K704" s="76"/>
      <c r="L704" s="76"/>
      <c r="M704" s="74"/>
      <c r="N704" s="74"/>
      <c r="O704" s="78"/>
      <c r="P704" s="78"/>
      <c r="Q704" s="78"/>
      <c r="R704" s="78"/>
      <c r="S704" s="79"/>
      <c r="T704" s="79"/>
      <c r="U704" s="79"/>
      <c r="V704" s="79"/>
      <c r="W704" s="79"/>
      <c r="X704" s="79"/>
      <c r="Y704" s="79"/>
      <c r="Z704" s="79"/>
      <c r="AA704" s="79"/>
    </row>
    <row r="705" spans="1:27" x14ac:dyDescent="0.2">
      <c r="A705" s="73"/>
      <c r="B705" s="74"/>
      <c r="C705" s="74"/>
      <c r="D705" s="74"/>
      <c r="E705" s="74"/>
      <c r="F705" s="74"/>
      <c r="G705" s="75"/>
      <c r="H705" s="75"/>
      <c r="I705" s="76"/>
      <c r="J705" s="77"/>
      <c r="K705" s="76"/>
      <c r="L705" s="76"/>
      <c r="M705" s="74"/>
      <c r="N705" s="74"/>
      <c r="O705" s="78"/>
      <c r="P705" s="78"/>
      <c r="Q705" s="78"/>
      <c r="R705" s="78"/>
      <c r="S705" s="79"/>
      <c r="T705" s="79"/>
      <c r="U705" s="79"/>
      <c r="V705" s="79"/>
      <c r="W705" s="79"/>
      <c r="X705" s="79"/>
      <c r="Y705" s="79"/>
      <c r="Z705" s="79"/>
      <c r="AA705" s="79"/>
    </row>
    <row r="706" spans="1:27" x14ac:dyDescent="0.2">
      <c r="A706" s="73"/>
      <c r="B706" s="74"/>
      <c r="C706" s="74"/>
      <c r="D706" s="74"/>
      <c r="E706" s="74"/>
      <c r="F706" s="74"/>
      <c r="G706" s="75"/>
      <c r="H706" s="75"/>
      <c r="I706" s="76"/>
      <c r="J706" s="77"/>
      <c r="K706" s="76"/>
      <c r="L706" s="76"/>
      <c r="M706" s="74"/>
      <c r="N706" s="74"/>
      <c r="O706" s="78"/>
      <c r="P706" s="78"/>
      <c r="Q706" s="78"/>
      <c r="R706" s="78"/>
      <c r="S706" s="79"/>
      <c r="T706" s="79"/>
      <c r="U706" s="79"/>
      <c r="V706" s="79"/>
      <c r="W706" s="79"/>
      <c r="X706" s="79"/>
      <c r="Y706" s="79"/>
      <c r="Z706" s="79"/>
      <c r="AA706" s="79"/>
    </row>
    <row r="707" spans="1:27" x14ac:dyDescent="0.2">
      <c r="A707" s="73"/>
      <c r="B707" s="74"/>
      <c r="C707" s="74"/>
      <c r="D707" s="74"/>
      <c r="E707" s="74"/>
      <c r="F707" s="74"/>
      <c r="G707" s="75"/>
      <c r="H707" s="75"/>
      <c r="I707" s="76"/>
      <c r="J707" s="77"/>
      <c r="K707" s="76"/>
      <c r="L707" s="76"/>
      <c r="M707" s="74"/>
      <c r="N707" s="74"/>
      <c r="O707" s="78"/>
      <c r="P707" s="78"/>
      <c r="Q707" s="78"/>
      <c r="R707" s="78"/>
      <c r="S707" s="79"/>
      <c r="T707" s="79"/>
      <c r="U707" s="79"/>
      <c r="V707" s="79"/>
      <c r="W707" s="79"/>
      <c r="X707" s="79"/>
      <c r="Y707" s="79"/>
      <c r="Z707" s="79"/>
      <c r="AA707" s="79"/>
    </row>
    <row r="708" spans="1:27" x14ac:dyDescent="0.2">
      <c r="A708" s="73"/>
      <c r="B708" s="74"/>
      <c r="C708" s="74"/>
      <c r="D708" s="74"/>
      <c r="E708" s="74"/>
      <c r="F708" s="74"/>
      <c r="G708" s="75"/>
      <c r="H708" s="75"/>
      <c r="I708" s="76"/>
      <c r="J708" s="77"/>
      <c r="K708" s="76"/>
      <c r="L708" s="76"/>
      <c r="M708" s="74"/>
      <c r="N708" s="74"/>
      <c r="O708" s="78"/>
      <c r="P708" s="78"/>
      <c r="Q708" s="78"/>
      <c r="R708" s="78"/>
      <c r="S708" s="79"/>
      <c r="T708" s="79"/>
      <c r="U708" s="79"/>
      <c r="V708" s="79"/>
      <c r="W708" s="79"/>
      <c r="X708" s="79"/>
      <c r="Y708" s="79"/>
      <c r="Z708" s="79"/>
      <c r="AA708" s="79"/>
    </row>
    <row r="709" spans="1:27" x14ac:dyDescent="0.2">
      <c r="A709" s="73"/>
      <c r="B709" s="74"/>
      <c r="C709" s="74"/>
      <c r="D709" s="74"/>
      <c r="E709" s="74"/>
      <c r="F709" s="74"/>
      <c r="G709" s="75"/>
      <c r="H709" s="75"/>
      <c r="I709" s="76"/>
      <c r="J709" s="77"/>
      <c r="K709" s="76"/>
      <c r="L709" s="76"/>
      <c r="M709" s="74"/>
      <c r="N709" s="74"/>
      <c r="O709" s="78"/>
      <c r="P709" s="78"/>
      <c r="Q709" s="78"/>
      <c r="R709" s="78"/>
      <c r="S709" s="79"/>
      <c r="T709" s="79"/>
      <c r="U709" s="79"/>
      <c r="V709" s="79"/>
      <c r="W709" s="79"/>
      <c r="X709" s="79"/>
      <c r="Y709" s="79"/>
      <c r="Z709" s="79"/>
      <c r="AA709" s="79"/>
    </row>
    <row r="710" spans="1:27" x14ac:dyDescent="0.2">
      <c r="A710" s="73"/>
      <c r="B710" s="74"/>
      <c r="C710" s="74"/>
      <c r="D710" s="74"/>
      <c r="E710" s="74"/>
      <c r="F710" s="74"/>
      <c r="G710" s="75"/>
      <c r="H710" s="75"/>
      <c r="I710" s="76"/>
      <c r="J710" s="77"/>
      <c r="K710" s="76"/>
      <c r="L710" s="76"/>
      <c r="M710" s="74"/>
      <c r="N710" s="74"/>
      <c r="O710" s="78"/>
      <c r="P710" s="78"/>
      <c r="Q710" s="78"/>
      <c r="R710" s="78"/>
      <c r="S710" s="79"/>
      <c r="T710" s="79"/>
      <c r="U710" s="79"/>
      <c r="V710" s="79"/>
      <c r="W710" s="79"/>
      <c r="X710" s="79"/>
      <c r="Y710" s="79"/>
      <c r="Z710" s="79"/>
      <c r="AA710" s="79"/>
    </row>
    <row r="711" spans="1:27" x14ac:dyDescent="0.2">
      <c r="A711" s="73"/>
      <c r="B711" s="74"/>
      <c r="C711" s="74"/>
      <c r="D711" s="74"/>
      <c r="E711" s="74"/>
      <c r="F711" s="74"/>
      <c r="G711" s="75"/>
      <c r="H711" s="75"/>
      <c r="I711" s="76"/>
      <c r="J711" s="77"/>
      <c r="K711" s="76"/>
      <c r="L711" s="76"/>
      <c r="M711" s="74"/>
      <c r="N711" s="74"/>
      <c r="O711" s="78"/>
      <c r="P711" s="78"/>
      <c r="Q711" s="78"/>
      <c r="R711" s="78"/>
      <c r="S711" s="79"/>
      <c r="T711" s="79"/>
      <c r="U711" s="79"/>
      <c r="V711" s="79"/>
      <c r="W711" s="79"/>
      <c r="X711" s="79"/>
      <c r="Y711" s="79"/>
      <c r="Z711" s="79"/>
      <c r="AA711" s="79"/>
    </row>
    <row r="712" spans="1:27" x14ac:dyDescent="0.2">
      <c r="A712" s="73"/>
      <c r="B712" s="74"/>
      <c r="C712" s="74"/>
      <c r="D712" s="74"/>
      <c r="E712" s="74"/>
      <c r="F712" s="74"/>
      <c r="G712" s="75"/>
      <c r="H712" s="75"/>
      <c r="I712" s="76"/>
      <c r="J712" s="77"/>
      <c r="K712" s="76"/>
      <c r="L712" s="76"/>
      <c r="M712" s="74"/>
      <c r="N712" s="74"/>
      <c r="O712" s="78"/>
      <c r="P712" s="78"/>
      <c r="Q712" s="78"/>
      <c r="R712" s="78"/>
      <c r="S712" s="79"/>
      <c r="T712" s="79"/>
      <c r="U712" s="79"/>
      <c r="V712" s="79"/>
      <c r="W712" s="79"/>
      <c r="X712" s="79"/>
      <c r="Y712" s="79"/>
      <c r="Z712" s="79"/>
      <c r="AA712" s="79"/>
    </row>
    <row r="713" spans="1:27" x14ac:dyDescent="0.2">
      <c r="A713" s="73"/>
      <c r="B713" s="74"/>
      <c r="C713" s="74"/>
      <c r="D713" s="74"/>
      <c r="E713" s="74"/>
      <c r="F713" s="74"/>
      <c r="G713" s="75"/>
      <c r="H713" s="75"/>
      <c r="I713" s="76"/>
      <c r="J713" s="77"/>
      <c r="K713" s="76"/>
      <c r="L713" s="76"/>
      <c r="M713" s="74"/>
      <c r="N713" s="74"/>
      <c r="O713" s="78"/>
      <c r="P713" s="78"/>
      <c r="Q713" s="78"/>
      <c r="R713" s="78"/>
      <c r="S713" s="79"/>
      <c r="T713" s="79"/>
      <c r="U713" s="79"/>
      <c r="V713" s="79"/>
      <c r="W713" s="79"/>
      <c r="X713" s="79"/>
      <c r="Y713" s="79"/>
      <c r="Z713" s="79"/>
      <c r="AA713" s="79"/>
    </row>
    <row r="714" spans="1:27" x14ac:dyDescent="0.2">
      <c r="A714" s="73"/>
      <c r="B714" s="74"/>
      <c r="C714" s="74"/>
      <c r="D714" s="74"/>
      <c r="E714" s="74"/>
      <c r="F714" s="74"/>
      <c r="G714" s="75"/>
      <c r="H714" s="75"/>
      <c r="I714" s="76"/>
      <c r="J714" s="77"/>
      <c r="K714" s="76"/>
      <c r="L714" s="76"/>
      <c r="M714" s="74"/>
      <c r="N714" s="74"/>
      <c r="O714" s="78"/>
      <c r="P714" s="78"/>
      <c r="Q714" s="78"/>
      <c r="R714" s="78"/>
      <c r="S714" s="79"/>
      <c r="T714" s="79"/>
      <c r="U714" s="79"/>
      <c r="V714" s="79"/>
      <c r="W714" s="79"/>
      <c r="X714" s="79"/>
      <c r="Y714" s="79"/>
      <c r="Z714" s="79"/>
      <c r="AA714" s="79"/>
    </row>
    <row r="715" spans="1:27" x14ac:dyDescent="0.2">
      <c r="A715" s="73"/>
      <c r="B715" s="74"/>
      <c r="C715" s="74"/>
      <c r="D715" s="74"/>
      <c r="E715" s="74"/>
      <c r="F715" s="74"/>
      <c r="G715" s="75"/>
      <c r="H715" s="75"/>
      <c r="I715" s="76"/>
      <c r="J715" s="77"/>
      <c r="K715" s="76"/>
      <c r="L715" s="76"/>
      <c r="M715" s="74"/>
      <c r="N715" s="74"/>
      <c r="O715" s="78"/>
      <c r="P715" s="78"/>
      <c r="Q715" s="78"/>
      <c r="R715" s="78"/>
      <c r="S715" s="79"/>
      <c r="T715" s="79"/>
      <c r="U715" s="79"/>
      <c r="V715" s="79"/>
      <c r="W715" s="79"/>
      <c r="X715" s="79"/>
      <c r="Y715" s="79"/>
      <c r="Z715" s="79"/>
      <c r="AA715" s="79"/>
    </row>
    <row r="716" spans="1:27" x14ac:dyDescent="0.2">
      <c r="A716" s="73"/>
      <c r="B716" s="74"/>
      <c r="C716" s="74"/>
      <c r="D716" s="74"/>
      <c r="E716" s="74"/>
      <c r="F716" s="74"/>
      <c r="G716" s="75"/>
      <c r="H716" s="75"/>
      <c r="I716" s="76"/>
      <c r="J716" s="77"/>
      <c r="K716" s="76"/>
      <c r="L716" s="76"/>
      <c r="M716" s="74"/>
      <c r="N716" s="74"/>
      <c r="O716" s="78"/>
      <c r="P716" s="78"/>
      <c r="Q716" s="78"/>
      <c r="R716" s="78"/>
      <c r="S716" s="79"/>
      <c r="T716" s="79"/>
      <c r="U716" s="79"/>
      <c r="V716" s="79"/>
      <c r="W716" s="79"/>
      <c r="X716" s="79"/>
      <c r="Y716" s="79"/>
      <c r="Z716" s="79"/>
      <c r="AA716" s="79"/>
    </row>
    <row r="717" spans="1:27" x14ac:dyDescent="0.2">
      <c r="A717" s="73"/>
      <c r="B717" s="74"/>
      <c r="C717" s="74"/>
      <c r="D717" s="74"/>
      <c r="E717" s="74"/>
      <c r="F717" s="74"/>
      <c r="G717" s="75"/>
      <c r="H717" s="75"/>
      <c r="I717" s="76"/>
      <c r="J717" s="77"/>
      <c r="K717" s="76"/>
      <c r="L717" s="76"/>
      <c r="M717" s="74"/>
      <c r="N717" s="74"/>
      <c r="O717" s="78"/>
      <c r="P717" s="78"/>
      <c r="Q717" s="78"/>
      <c r="R717" s="78"/>
      <c r="S717" s="79"/>
      <c r="T717" s="79"/>
      <c r="U717" s="79"/>
      <c r="V717" s="79"/>
      <c r="W717" s="79"/>
      <c r="X717" s="79"/>
      <c r="Y717" s="79"/>
      <c r="Z717" s="79"/>
      <c r="AA717" s="79"/>
    </row>
    <row r="718" spans="1:27" x14ac:dyDescent="0.2">
      <c r="A718" s="73"/>
      <c r="B718" s="74"/>
      <c r="C718" s="74"/>
      <c r="D718" s="74"/>
      <c r="E718" s="74"/>
      <c r="F718" s="74"/>
      <c r="G718" s="75"/>
      <c r="H718" s="75"/>
      <c r="I718" s="76"/>
      <c r="J718" s="77"/>
      <c r="K718" s="76"/>
      <c r="L718" s="76"/>
      <c r="M718" s="74"/>
      <c r="N718" s="74"/>
      <c r="O718" s="78"/>
      <c r="P718" s="78"/>
      <c r="Q718" s="78"/>
      <c r="R718" s="78"/>
      <c r="S718" s="79"/>
      <c r="T718" s="79"/>
      <c r="U718" s="79"/>
      <c r="V718" s="79"/>
      <c r="W718" s="79"/>
      <c r="X718" s="79"/>
      <c r="Y718" s="79"/>
      <c r="Z718" s="79"/>
      <c r="AA718" s="79"/>
    </row>
    <row r="719" spans="1:27" x14ac:dyDescent="0.2">
      <c r="A719" s="73"/>
      <c r="B719" s="74"/>
      <c r="C719" s="74"/>
      <c r="D719" s="74"/>
      <c r="E719" s="74"/>
      <c r="F719" s="74"/>
      <c r="G719" s="75"/>
      <c r="H719" s="75"/>
      <c r="I719" s="76"/>
      <c r="J719" s="77"/>
      <c r="K719" s="76"/>
      <c r="L719" s="76"/>
      <c r="M719" s="74"/>
      <c r="N719" s="74"/>
      <c r="O719" s="78"/>
      <c r="P719" s="78"/>
      <c r="Q719" s="78"/>
      <c r="R719" s="78"/>
      <c r="S719" s="79"/>
      <c r="T719" s="79"/>
      <c r="U719" s="79"/>
      <c r="V719" s="79"/>
      <c r="W719" s="79"/>
      <c r="X719" s="79"/>
      <c r="Y719" s="79"/>
      <c r="Z719" s="79"/>
      <c r="AA719" s="79"/>
    </row>
    <row r="720" spans="1:27" x14ac:dyDescent="0.2">
      <c r="A720" s="73"/>
      <c r="B720" s="74"/>
      <c r="C720" s="74"/>
      <c r="D720" s="74"/>
      <c r="E720" s="74"/>
      <c r="F720" s="74"/>
      <c r="G720" s="75"/>
      <c r="H720" s="75"/>
      <c r="I720" s="76"/>
      <c r="J720" s="77"/>
      <c r="K720" s="76"/>
      <c r="L720" s="76"/>
      <c r="M720" s="74"/>
      <c r="N720" s="74"/>
      <c r="O720" s="78"/>
      <c r="P720" s="78"/>
      <c r="Q720" s="78"/>
      <c r="R720" s="78"/>
      <c r="S720" s="79"/>
      <c r="T720" s="79"/>
      <c r="U720" s="79"/>
      <c r="V720" s="79"/>
      <c r="W720" s="79"/>
      <c r="X720" s="79"/>
      <c r="Y720" s="79"/>
      <c r="Z720" s="79"/>
      <c r="AA720" s="79"/>
    </row>
    <row r="721" spans="1:27" x14ac:dyDescent="0.2">
      <c r="A721" s="73"/>
      <c r="B721" s="74"/>
      <c r="C721" s="74"/>
      <c r="D721" s="74"/>
      <c r="E721" s="74"/>
      <c r="F721" s="74"/>
      <c r="G721" s="75"/>
      <c r="H721" s="75"/>
      <c r="I721" s="76"/>
      <c r="J721" s="77"/>
      <c r="K721" s="76"/>
      <c r="L721" s="76"/>
      <c r="M721" s="74"/>
      <c r="N721" s="74"/>
      <c r="O721" s="78"/>
      <c r="P721" s="78"/>
      <c r="Q721" s="78"/>
      <c r="R721" s="78"/>
      <c r="S721" s="79"/>
      <c r="T721" s="79"/>
      <c r="U721" s="79"/>
      <c r="V721" s="79"/>
      <c r="W721" s="79"/>
      <c r="X721" s="79"/>
      <c r="Y721" s="79"/>
      <c r="Z721" s="79"/>
      <c r="AA721" s="79"/>
    </row>
    <row r="722" spans="1:27" x14ac:dyDescent="0.2">
      <c r="A722" s="73"/>
      <c r="B722" s="74"/>
      <c r="C722" s="74"/>
      <c r="D722" s="74"/>
      <c r="E722" s="74"/>
      <c r="F722" s="74"/>
      <c r="G722" s="75"/>
      <c r="H722" s="75"/>
      <c r="I722" s="76"/>
      <c r="J722" s="77"/>
      <c r="K722" s="76"/>
      <c r="L722" s="76"/>
      <c r="M722" s="74"/>
      <c r="N722" s="74"/>
      <c r="O722" s="78"/>
      <c r="P722" s="78"/>
      <c r="Q722" s="78"/>
      <c r="R722" s="78"/>
      <c r="S722" s="79"/>
      <c r="T722" s="79"/>
      <c r="U722" s="79"/>
      <c r="V722" s="79"/>
      <c r="W722" s="79"/>
      <c r="X722" s="79"/>
      <c r="Y722" s="79"/>
      <c r="Z722" s="79"/>
      <c r="AA722" s="79"/>
    </row>
    <row r="723" spans="1:27" x14ac:dyDescent="0.2">
      <c r="A723" s="73"/>
      <c r="B723" s="74"/>
      <c r="C723" s="74"/>
      <c r="D723" s="74"/>
      <c r="E723" s="74"/>
      <c r="F723" s="74"/>
      <c r="G723" s="75"/>
      <c r="H723" s="75"/>
      <c r="I723" s="76"/>
      <c r="J723" s="77"/>
      <c r="K723" s="76"/>
      <c r="L723" s="76"/>
      <c r="M723" s="74"/>
      <c r="N723" s="74"/>
      <c r="O723" s="78"/>
      <c r="P723" s="78"/>
      <c r="Q723" s="78"/>
      <c r="R723" s="78"/>
      <c r="S723" s="79"/>
      <c r="T723" s="79"/>
      <c r="U723" s="79"/>
      <c r="V723" s="79"/>
      <c r="W723" s="79"/>
      <c r="X723" s="79"/>
      <c r="Y723" s="79"/>
      <c r="Z723" s="79"/>
      <c r="AA723" s="79"/>
    </row>
    <row r="724" spans="1:27" x14ac:dyDescent="0.2">
      <c r="A724" s="73"/>
      <c r="B724" s="74"/>
      <c r="C724" s="74"/>
      <c r="D724" s="74"/>
      <c r="E724" s="74"/>
      <c r="F724" s="74"/>
      <c r="G724" s="75"/>
      <c r="H724" s="75"/>
      <c r="I724" s="76"/>
      <c r="J724" s="77"/>
      <c r="K724" s="76"/>
      <c r="L724" s="76"/>
      <c r="M724" s="74"/>
      <c r="N724" s="74"/>
      <c r="O724" s="78"/>
      <c r="P724" s="78"/>
      <c r="Q724" s="78"/>
      <c r="R724" s="78"/>
      <c r="S724" s="79"/>
      <c r="T724" s="79"/>
      <c r="U724" s="79"/>
      <c r="V724" s="79"/>
      <c r="W724" s="79"/>
      <c r="X724" s="79"/>
      <c r="Y724" s="79"/>
      <c r="Z724" s="79"/>
      <c r="AA724" s="79"/>
    </row>
    <row r="725" spans="1:27" x14ac:dyDescent="0.2">
      <c r="A725" s="73"/>
      <c r="B725" s="74"/>
      <c r="C725" s="74"/>
      <c r="D725" s="74"/>
      <c r="E725" s="74"/>
      <c r="F725" s="74"/>
      <c r="G725" s="75"/>
      <c r="H725" s="75"/>
      <c r="I725" s="76"/>
      <c r="J725" s="77"/>
      <c r="K725" s="76"/>
      <c r="L725" s="76"/>
      <c r="M725" s="74"/>
      <c r="N725" s="74"/>
      <c r="O725" s="78"/>
      <c r="P725" s="78"/>
      <c r="Q725" s="78"/>
      <c r="R725" s="78"/>
      <c r="S725" s="79"/>
      <c r="T725" s="79"/>
      <c r="U725" s="79"/>
      <c r="V725" s="79"/>
      <c r="W725" s="79"/>
      <c r="X725" s="79"/>
      <c r="Y725" s="79"/>
      <c r="Z725" s="79"/>
      <c r="AA725" s="79"/>
    </row>
    <row r="726" spans="1:27" x14ac:dyDescent="0.2">
      <c r="A726" s="73"/>
      <c r="B726" s="74"/>
      <c r="C726" s="74"/>
      <c r="D726" s="74"/>
      <c r="E726" s="74"/>
      <c r="F726" s="74"/>
      <c r="G726" s="75"/>
      <c r="H726" s="75"/>
      <c r="I726" s="76"/>
      <c r="J726" s="77"/>
      <c r="K726" s="76"/>
      <c r="L726" s="76"/>
      <c r="M726" s="74"/>
      <c r="N726" s="74"/>
      <c r="O726" s="78"/>
      <c r="P726" s="78"/>
      <c r="Q726" s="78"/>
      <c r="R726" s="78"/>
      <c r="S726" s="79"/>
      <c r="T726" s="79"/>
      <c r="U726" s="79"/>
      <c r="V726" s="79"/>
      <c r="W726" s="79"/>
      <c r="X726" s="79"/>
      <c r="Y726" s="79"/>
      <c r="Z726" s="79"/>
      <c r="AA726" s="79"/>
    </row>
    <row r="727" spans="1:27" x14ac:dyDescent="0.2">
      <c r="A727" s="73"/>
      <c r="B727" s="74"/>
      <c r="C727" s="74"/>
      <c r="D727" s="74"/>
      <c r="E727" s="74"/>
      <c r="F727" s="74"/>
      <c r="G727" s="75"/>
      <c r="H727" s="75"/>
      <c r="I727" s="76"/>
      <c r="J727" s="77"/>
      <c r="K727" s="76"/>
      <c r="L727" s="76"/>
      <c r="M727" s="74"/>
      <c r="N727" s="74"/>
      <c r="O727" s="78"/>
      <c r="P727" s="78"/>
      <c r="Q727" s="78"/>
      <c r="R727" s="78"/>
      <c r="S727" s="79"/>
      <c r="T727" s="79"/>
      <c r="U727" s="79"/>
      <c r="V727" s="79"/>
      <c r="W727" s="79"/>
      <c r="X727" s="79"/>
      <c r="Y727" s="79"/>
      <c r="Z727" s="79"/>
      <c r="AA727" s="79"/>
    </row>
    <row r="728" spans="1:27" x14ac:dyDescent="0.2">
      <c r="A728" s="73"/>
      <c r="B728" s="74"/>
      <c r="C728" s="74"/>
      <c r="D728" s="74"/>
      <c r="E728" s="74"/>
      <c r="F728" s="74"/>
      <c r="G728" s="75"/>
      <c r="H728" s="75"/>
      <c r="I728" s="76"/>
      <c r="J728" s="77"/>
      <c r="K728" s="76"/>
      <c r="L728" s="76"/>
      <c r="M728" s="74"/>
      <c r="N728" s="74"/>
      <c r="O728" s="78"/>
      <c r="P728" s="78"/>
      <c r="Q728" s="78"/>
      <c r="R728" s="78"/>
      <c r="S728" s="79"/>
      <c r="T728" s="79"/>
      <c r="U728" s="79"/>
      <c r="V728" s="79"/>
      <c r="W728" s="79"/>
      <c r="X728" s="79"/>
      <c r="Y728" s="79"/>
      <c r="Z728" s="79"/>
      <c r="AA728" s="79"/>
    </row>
    <row r="729" spans="1:27" x14ac:dyDescent="0.2">
      <c r="A729" s="73"/>
      <c r="B729" s="74"/>
      <c r="C729" s="74"/>
      <c r="D729" s="74"/>
      <c r="E729" s="74"/>
      <c r="F729" s="74"/>
      <c r="G729" s="75"/>
      <c r="H729" s="75"/>
      <c r="I729" s="76"/>
      <c r="J729" s="77"/>
      <c r="K729" s="76"/>
      <c r="L729" s="76"/>
      <c r="M729" s="74"/>
      <c r="N729" s="74"/>
      <c r="O729" s="78"/>
      <c r="P729" s="78"/>
      <c r="Q729" s="78"/>
      <c r="R729" s="78"/>
      <c r="S729" s="79"/>
      <c r="T729" s="79"/>
      <c r="U729" s="79"/>
      <c r="V729" s="79"/>
      <c r="W729" s="79"/>
      <c r="X729" s="79"/>
      <c r="Y729" s="79"/>
      <c r="Z729" s="79"/>
      <c r="AA729" s="79"/>
    </row>
    <row r="730" spans="1:27" x14ac:dyDescent="0.2">
      <c r="A730" s="73"/>
      <c r="B730" s="74"/>
      <c r="C730" s="74"/>
      <c r="D730" s="74"/>
      <c r="E730" s="74"/>
      <c r="F730" s="74"/>
      <c r="G730" s="75"/>
      <c r="H730" s="75"/>
      <c r="I730" s="76"/>
      <c r="J730" s="77"/>
      <c r="K730" s="76"/>
      <c r="L730" s="76"/>
      <c r="M730" s="74"/>
      <c r="N730" s="74"/>
      <c r="O730" s="78"/>
      <c r="P730" s="78"/>
      <c r="Q730" s="78"/>
      <c r="R730" s="78"/>
      <c r="S730" s="79"/>
      <c r="T730" s="79"/>
      <c r="U730" s="79"/>
      <c r="V730" s="79"/>
      <c r="W730" s="79"/>
      <c r="X730" s="79"/>
      <c r="Y730" s="79"/>
      <c r="Z730" s="79"/>
      <c r="AA730" s="79"/>
    </row>
    <row r="731" spans="1:27" x14ac:dyDescent="0.2">
      <c r="A731" s="73"/>
      <c r="B731" s="74"/>
      <c r="C731" s="74"/>
      <c r="D731" s="74"/>
      <c r="E731" s="74"/>
      <c r="F731" s="74"/>
      <c r="G731" s="75"/>
      <c r="H731" s="75"/>
      <c r="I731" s="76"/>
      <c r="J731" s="77"/>
      <c r="K731" s="76"/>
      <c r="L731" s="76"/>
      <c r="M731" s="74"/>
      <c r="N731" s="74"/>
      <c r="O731" s="78"/>
      <c r="P731" s="78"/>
      <c r="Q731" s="78"/>
      <c r="R731" s="78"/>
      <c r="S731" s="79"/>
      <c r="T731" s="79"/>
      <c r="U731" s="79"/>
      <c r="V731" s="79"/>
      <c r="W731" s="79"/>
      <c r="X731" s="79"/>
      <c r="Y731" s="79"/>
      <c r="Z731" s="79"/>
      <c r="AA731" s="79"/>
    </row>
    <row r="732" spans="1:27" x14ac:dyDescent="0.2">
      <c r="A732" s="73"/>
      <c r="B732" s="74"/>
      <c r="C732" s="74"/>
      <c r="D732" s="74"/>
      <c r="E732" s="74"/>
      <c r="F732" s="74"/>
      <c r="G732" s="75"/>
      <c r="H732" s="75"/>
      <c r="I732" s="76"/>
      <c r="J732" s="77"/>
      <c r="K732" s="76"/>
      <c r="L732" s="76"/>
      <c r="M732" s="74"/>
      <c r="N732" s="74"/>
      <c r="O732" s="78"/>
      <c r="P732" s="78"/>
      <c r="Q732" s="78"/>
      <c r="R732" s="78"/>
      <c r="S732" s="79"/>
      <c r="T732" s="79"/>
      <c r="U732" s="79"/>
      <c r="V732" s="79"/>
      <c r="W732" s="79"/>
      <c r="X732" s="79"/>
      <c r="Y732" s="79"/>
      <c r="Z732" s="79"/>
      <c r="AA732" s="79"/>
    </row>
    <row r="733" spans="1:27" x14ac:dyDescent="0.2">
      <c r="A733" s="73"/>
      <c r="B733" s="74"/>
      <c r="C733" s="74"/>
      <c r="D733" s="74"/>
      <c r="E733" s="74"/>
      <c r="F733" s="74"/>
      <c r="G733" s="75"/>
      <c r="H733" s="75"/>
      <c r="I733" s="76"/>
      <c r="J733" s="77"/>
      <c r="K733" s="76"/>
      <c r="L733" s="76"/>
      <c r="M733" s="74"/>
      <c r="N733" s="74"/>
      <c r="O733" s="78"/>
      <c r="P733" s="78"/>
      <c r="Q733" s="78"/>
      <c r="R733" s="78"/>
      <c r="S733" s="79"/>
      <c r="T733" s="79"/>
      <c r="U733" s="79"/>
      <c r="V733" s="79"/>
      <c r="W733" s="79"/>
      <c r="X733" s="79"/>
      <c r="Y733" s="79"/>
      <c r="Z733" s="79"/>
      <c r="AA733" s="79"/>
    </row>
    <row r="734" spans="1:27" x14ac:dyDescent="0.2">
      <c r="A734" s="73"/>
      <c r="B734" s="74"/>
      <c r="C734" s="74"/>
      <c r="D734" s="74"/>
      <c r="E734" s="74"/>
      <c r="F734" s="74"/>
      <c r="G734" s="75"/>
      <c r="H734" s="75"/>
      <c r="I734" s="76"/>
      <c r="J734" s="77"/>
      <c r="K734" s="76"/>
      <c r="L734" s="76"/>
      <c r="M734" s="74"/>
      <c r="N734" s="74"/>
      <c r="O734" s="78"/>
      <c r="P734" s="78"/>
      <c r="Q734" s="78"/>
      <c r="R734" s="78"/>
      <c r="S734" s="79"/>
      <c r="T734" s="79"/>
      <c r="U734" s="79"/>
      <c r="V734" s="79"/>
      <c r="W734" s="79"/>
      <c r="X734" s="79"/>
      <c r="Y734" s="79"/>
      <c r="Z734" s="79"/>
      <c r="AA734" s="79"/>
    </row>
    <row r="735" spans="1:27" x14ac:dyDescent="0.2">
      <c r="A735" s="73"/>
      <c r="B735" s="74"/>
      <c r="C735" s="74"/>
      <c r="D735" s="74"/>
      <c r="E735" s="74"/>
      <c r="F735" s="74"/>
      <c r="G735" s="75"/>
      <c r="H735" s="75"/>
      <c r="I735" s="76"/>
      <c r="J735" s="77"/>
      <c r="K735" s="76"/>
      <c r="L735" s="76"/>
      <c r="M735" s="74"/>
      <c r="N735" s="74"/>
      <c r="O735" s="78"/>
      <c r="P735" s="78"/>
      <c r="Q735" s="78"/>
      <c r="R735" s="78"/>
      <c r="S735" s="79"/>
      <c r="T735" s="79"/>
      <c r="U735" s="79"/>
      <c r="V735" s="79"/>
      <c r="W735" s="79"/>
      <c r="X735" s="79"/>
      <c r="Y735" s="79"/>
      <c r="Z735" s="79"/>
      <c r="AA735" s="79"/>
    </row>
    <row r="736" spans="1:27" x14ac:dyDescent="0.2">
      <c r="A736" s="73"/>
      <c r="B736" s="74"/>
      <c r="C736" s="74"/>
      <c r="D736" s="74"/>
      <c r="E736" s="74"/>
      <c r="F736" s="74"/>
      <c r="G736" s="75"/>
      <c r="H736" s="75"/>
      <c r="I736" s="76"/>
      <c r="J736" s="77"/>
      <c r="K736" s="76"/>
      <c r="L736" s="76"/>
      <c r="M736" s="74"/>
      <c r="N736" s="74"/>
      <c r="O736" s="78"/>
      <c r="P736" s="78"/>
      <c r="Q736" s="78"/>
      <c r="R736" s="78"/>
      <c r="S736" s="79"/>
      <c r="T736" s="79"/>
      <c r="U736" s="79"/>
      <c r="V736" s="79"/>
      <c r="W736" s="79"/>
      <c r="X736" s="79"/>
      <c r="Y736" s="79"/>
      <c r="Z736" s="79"/>
      <c r="AA736" s="79"/>
    </row>
    <row r="737" spans="1:27" x14ac:dyDescent="0.2">
      <c r="A737" s="73"/>
      <c r="B737" s="74"/>
      <c r="C737" s="74"/>
      <c r="D737" s="74"/>
      <c r="E737" s="74"/>
      <c r="F737" s="74"/>
      <c r="G737" s="75"/>
      <c r="H737" s="75"/>
      <c r="I737" s="76"/>
      <c r="J737" s="77"/>
      <c r="K737" s="76"/>
      <c r="L737" s="76"/>
      <c r="M737" s="74"/>
      <c r="N737" s="74"/>
      <c r="O737" s="78"/>
      <c r="P737" s="78"/>
      <c r="Q737" s="78"/>
      <c r="R737" s="78"/>
      <c r="S737" s="79"/>
      <c r="T737" s="79"/>
      <c r="U737" s="79"/>
      <c r="V737" s="79"/>
      <c r="W737" s="79"/>
      <c r="X737" s="79"/>
      <c r="Y737" s="79"/>
      <c r="Z737" s="79"/>
      <c r="AA737" s="79"/>
    </row>
    <row r="738" spans="1:27" x14ac:dyDescent="0.2">
      <c r="A738" s="73"/>
      <c r="B738" s="74"/>
      <c r="C738" s="74"/>
      <c r="D738" s="74"/>
      <c r="E738" s="74"/>
      <c r="F738" s="74"/>
      <c r="G738" s="75"/>
      <c r="H738" s="75"/>
      <c r="I738" s="76"/>
      <c r="J738" s="77"/>
      <c r="K738" s="76"/>
      <c r="L738" s="76"/>
      <c r="M738" s="74"/>
      <c r="N738" s="74"/>
      <c r="O738" s="78"/>
      <c r="P738" s="78"/>
      <c r="Q738" s="78"/>
      <c r="R738" s="78"/>
      <c r="S738" s="79"/>
      <c r="T738" s="79"/>
      <c r="U738" s="79"/>
      <c r="V738" s="79"/>
      <c r="W738" s="79"/>
      <c r="X738" s="79"/>
      <c r="Y738" s="79"/>
      <c r="Z738" s="79"/>
      <c r="AA738" s="79"/>
    </row>
    <row r="739" spans="1:27" x14ac:dyDescent="0.2">
      <c r="A739" s="73"/>
      <c r="B739" s="74"/>
      <c r="C739" s="74"/>
      <c r="D739" s="74"/>
      <c r="E739" s="74"/>
      <c r="F739" s="74"/>
      <c r="G739" s="75"/>
      <c r="H739" s="75"/>
      <c r="I739" s="76"/>
      <c r="J739" s="77"/>
      <c r="K739" s="76"/>
      <c r="L739" s="76"/>
      <c r="M739" s="74"/>
      <c r="N739" s="74"/>
      <c r="O739" s="78"/>
      <c r="P739" s="78"/>
      <c r="Q739" s="78"/>
      <c r="R739" s="78"/>
      <c r="S739" s="79"/>
      <c r="T739" s="79"/>
      <c r="U739" s="79"/>
      <c r="V739" s="79"/>
      <c r="W739" s="79"/>
      <c r="X739" s="79"/>
      <c r="Y739" s="79"/>
      <c r="Z739" s="79"/>
      <c r="AA739" s="79"/>
    </row>
    <row r="740" spans="1:27" x14ac:dyDescent="0.2">
      <c r="A740" s="73"/>
      <c r="B740" s="74"/>
      <c r="C740" s="74"/>
      <c r="D740" s="74"/>
      <c r="E740" s="74"/>
      <c r="F740" s="74"/>
      <c r="G740" s="75"/>
      <c r="H740" s="75"/>
      <c r="I740" s="76"/>
      <c r="J740" s="77"/>
      <c r="K740" s="76"/>
      <c r="L740" s="76"/>
      <c r="M740" s="74"/>
      <c r="N740" s="74"/>
      <c r="O740" s="78"/>
      <c r="P740" s="78"/>
      <c r="Q740" s="78"/>
      <c r="R740" s="78"/>
      <c r="S740" s="79"/>
      <c r="T740" s="79"/>
      <c r="U740" s="79"/>
      <c r="V740" s="79"/>
      <c r="W740" s="79"/>
      <c r="X740" s="79"/>
      <c r="Y740" s="79"/>
      <c r="Z740" s="79"/>
      <c r="AA740" s="79"/>
    </row>
    <row r="741" spans="1:27" x14ac:dyDescent="0.2">
      <c r="A741" s="73"/>
      <c r="B741" s="74"/>
      <c r="C741" s="74"/>
      <c r="D741" s="74"/>
      <c r="E741" s="74"/>
      <c r="F741" s="74"/>
      <c r="G741" s="75"/>
      <c r="H741" s="75"/>
      <c r="I741" s="76"/>
      <c r="J741" s="77"/>
      <c r="K741" s="76"/>
      <c r="L741" s="76"/>
      <c r="M741" s="74"/>
      <c r="N741" s="74"/>
      <c r="O741" s="78"/>
      <c r="P741" s="78"/>
      <c r="Q741" s="78"/>
      <c r="R741" s="78"/>
      <c r="S741" s="79"/>
      <c r="T741" s="79"/>
      <c r="U741" s="79"/>
      <c r="V741" s="79"/>
      <c r="W741" s="79"/>
      <c r="X741" s="79"/>
      <c r="Y741" s="79"/>
      <c r="Z741" s="79"/>
      <c r="AA741" s="79"/>
    </row>
    <row r="742" spans="1:27" x14ac:dyDescent="0.2">
      <c r="A742" s="73"/>
      <c r="B742" s="74"/>
      <c r="C742" s="74"/>
      <c r="D742" s="74"/>
      <c r="E742" s="74"/>
      <c r="F742" s="74"/>
      <c r="G742" s="75"/>
      <c r="H742" s="75"/>
      <c r="I742" s="76"/>
      <c r="J742" s="77"/>
      <c r="K742" s="76"/>
      <c r="L742" s="76"/>
      <c r="M742" s="74"/>
      <c r="N742" s="74"/>
      <c r="O742" s="78"/>
      <c r="P742" s="78"/>
      <c r="Q742" s="78"/>
      <c r="R742" s="78"/>
      <c r="S742" s="79"/>
      <c r="T742" s="79"/>
      <c r="U742" s="79"/>
      <c r="V742" s="79"/>
      <c r="W742" s="79"/>
      <c r="X742" s="79"/>
      <c r="Y742" s="79"/>
      <c r="Z742" s="79"/>
      <c r="AA742" s="79"/>
    </row>
    <row r="743" spans="1:27" x14ac:dyDescent="0.2">
      <c r="A743" s="73"/>
      <c r="B743" s="74"/>
      <c r="C743" s="74"/>
      <c r="D743" s="74"/>
      <c r="E743" s="74"/>
      <c r="F743" s="74"/>
      <c r="G743" s="75"/>
      <c r="H743" s="75"/>
      <c r="I743" s="76"/>
      <c r="J743" s="77"/>
      <c r="K743" s="76"/>
      <c r="L743" s="76"/>
      <c r="M743" s="74"/>
      <c r="N743" s="74"/>
      <c r="O743" s="78"/>
      <c r="P743" s="78"/>
      <c r="Q743" s="78"/>
      <c r="R743" s="78"/>
      <c r="S743" s="79"/>
      <c r="T743" s="79"/>
      <c r="U743" s="79"/>
      <c r="V743" s="79"/>
      <c r="W743" s="79"/>
      <c r="X743" s="79"/>
      <c r="Y743" s="79"/>
      <c r="Z743" s="79"/>
      <c r="AA743" s="79"/>
    </row>
    <row r="744" spans="1:27" x14ac:dyDescent="0.2">
      <c r="A744" s="73"/>
      <c r="B744" s="74"/>
      <c r="C744" s="74"/>
      <c r="D744" s="74"/>
      <c r="E744" s="74"/>
      <c r="F744" s="74"/>
      <c r="G744" s="75"/>
      <c r="H744" s="75"/>
      <c r="I744" s="76"/>
      <c r="J744" s="77"/>
      <c r="K744" s="76"/>
      <c r="L744" s="76"/>
      <c r="M744" s="74"/>
      <c r="N744" s="74"/>
      <c r="O744" s="78"/>
      <c r="P744" s="78"/>
      <c r="Q744" s="78"/>
      <c r="R744" s="78"/>
      <c r="S744" s="79"/>
      <c r="T744" s="79"/>
      <c r="U744" s="79"/>
      <c r="V744" s="79"/>
      <c r="W744" s="79"/>
      <c r="X744" s="79"/>
      <c r="Y744" s="79"/>
      <c r="Z744" s="79"/>
      <c r="AA744" s="79"/>
    </row>
    <row r="745" spans="1:27" x14ac:dyDescent="0.2">
      <c r="A745" s="73"/>
      <c r="B745" s="74"/>
      <c r="C745" s="74"/>
      <c r="D745" s="74"/>
      <c r="E745" s="74"/>
      <c r="F745" s="74"/>
      <c r="G745" s="75"/>
      <c r="H745" s="75"/>
      <c r="I745" s="76"/>
      <c r="J745" s="77"/>
      <c r="K745" s="76"/>
      <c r="L745" s="76"/>
      <c r="M745" s="74"/>
      <c r="N745" s="74"/>
      <c r="O745" s="78"/>
      <c r="P745" s="78"/>
      <c r="Q745" s="78"/>
      <c r="R745" s="78"/>
      <c r="S745" s="79"/>
      <c r="T745" s="79"/>
      <c r="U745" s="79"/>
      <c r="V745" s="79"/>
      <c r="W745" s="79"/>
      <c r="X745" s="79"/>
      <c r="Y745" s="79"/>
      <c r="Z745" s="79"/>
      <c r="AA745" s="79"/>
    </row>
    <row r="746" spans="1:27" x14ac:dyDescent="0.2">
      <c r="A746" s="73"/>
      <c r="B746" s="74"/>
      <c r="C746" s="74"/>
      <c r="D746" s="74"/>
      <c r="E746" s="74"/>
      <c r="F746" s="74"/>
      <c r="G746" s="75"/>
      <c r="H746" s="75"/>
      <c r="I746" s="76"/>
      <c r="J746" s="77"/>
      <c r="K746" s="76"/>
      <c r="L746" s="76"/>
      <c r="M746" s="74"/>
      <c r="N746" s="74"/>
      <c r="O746" s="78"/>
      <c r="P746" s="78"/>
      <c r="Q746" s="78"/>
      <c r="R746" s="78"/>
      <c r="S746" s="79"/>
      <c r="T746" s="79"/>
      <c r="U746" s="79"/>
      <c r="V746" s="79"/>
      <c r="W746" s="79"/>
      <c r="X746" s="79"/>
      <c r="Y746" s="79"/>
      <c r="Z746" s="79"/>
      <c r="AA746" s="79"/>
    </row>
    <row r="747" spans="1:27" x14ac:dyDescent="0.2">
      <c r="A747" s="73"/>
      <c r="B747" s="74"/>
      <c r="C747" s="74"/>
      <c r="D747" s="74"/>
      <c r="E747" s="74"/>
      <c r="F747" s="74"/>
      <c r="G747" s="75"/>
      <c r="H747" s="75"/>
      <c r="I747" s="76"/>
      <c r="J747" s="77"/>
      <c r="K747" s="76"/>
      <c r="L747" s="76"/>
      <c r="M747" s="74"/>
      <c r="N747" s="74"/>
      <c r="O747" s="78"/>
      <c r="P747" s="78"/>
      <c r="Q747" s="78"/>
      <c r="R747" s="78"/>
      <c r="S747" s="79"/>
      <c r="T747" s="79"/>
      <c r="U747" s="79"/>
      <c r="V747" s="79"/>
      <c r="W747" s="79"/>
      <c r="X747" s="79"/>
      <c r="Y747" s="79"/>
      <c r="Z747" s="79"/>
      <c r="AA747" s="79"/>
    </row>
    <row r="748" spans="1:27" x14ac:dyDescent="0.2">
      <c r="A748" s="73"/>
      <c r="B748" s="74"/>
      <c r="C748" s="74"/>
      <c r="D748" s="74"/>
      <c r="E748" s="74"/>
      <c r="F748" s="74"/>
      <c r="G748" s="75"/>
      <c r="H748" s="75"/>
      <c r="I748" s="76"/>
      <c r="J748" s="77"/>
      <c r="K748" s="76"/>
      <c r="L748" s="76"/>
      <c r="M748" s="74"/>
      <c r="N748" s="74"/>
      <c r="O748" s="78"/>
      <c r="P748" s="78"/>
      <c r="Q748" s="78"/>
      <c r="R748" s="78"/>
      <c r="S748" s="79"/>
      <c r="T748" s="79"/>
      <c r="U748" s="79"/>
      <c r="V748" s="79"/>
      <c r="W748" s="79"/>
      <c r="X748" s="79"/>
      <c r="Y748" s="79"/>
      <c r="Z748" s="79"/>
      <c r="AA748" s="79"/>
    </row>
    <row r="749" spans="1:27" x14ac:dyDescent="0.2">
      <c r="A749" s="73"/>
      <c r="B749" s="74"/>
      <c r="C749" s="74"/>
      <c r="D749" s="74"/>
      <c r="E749" s="74"/>
      <c r="F749" s="74"/>
      <c r="G749" s="75"/>
      <c r="H749" s="75"/>
      <c r="I749" s="76"/>
      <c r="J749" s="77"/>
      <c r="K749" s="76"/>
      <c r="L749" s="76"/>
      <c r="M749" s="74"/>
      <c r="N749" s="74"/>
      <c r="O749" s="78"/>
      <c r="P749" s="78"/>
      <c r="Q749" s="78"/>
      <c r="R749" s="78"/>
      <c r="S749" s="79"/>
      <c r="T749" s="79"/>
      <c r="U749" s="79"/>
      <c r="V749" s="79"/>
      <c r="W749" s="79"/>
      <c r="X749" s="79"/>
      <c r="Y749" s="79"/>
      <c r="Z749" s="79"/>
      <c r="AA749" s="79"/>
    </row>
    <row r="750" spans="1:27" x14ac:dyDescent="0.2">
      <c r="A750" s="73"/>
      <c r="B750" s="74"/>
      <c r="C750" s="74"/>
      <c r="D750" s="74"/>
      <c r="E750" s="74"/>
      <c r="F750" s="74"/>
      <c r="G750" s="75"/>
      <c r="H750" s="75"/>
      <c r="I750" s="76"/>
      <c r="J750" s="77"/>
      <c r="K750" s="76"/>
      <c r="L750" s="76"/>
      <c r="M750" s="74"/>
      <c r="N750" s="74"/>
      <c r="O750" s="78"/>
      <c r="P750" s="78"/>
      <c r="Q750" s="78"/>
      <c r="R750" s="78"/>
      <c r="S750" s="79"/>
      <c r="T750" s="79"/>
      <c r="U750" s="79"/>
      <c r="V750" s="79"/>
      <c r="W750" s="79"/>
      <c r="X750" s="79"/>
      <c r="Y750" s="79"/>
      <c r="Z750" s="79"/>
      <c r="AA750" s="79"/>
    </row>
    <row r="751" spans="1:27" x14ac:dyDescent="0.2">
      <c r="A751" s="73"/>
      <c r="B751" s="74"/>
      <c r="C751" s="74"/>
      <c r="D751" s="74"/>
      <c r="E751" s="74"/>
      <c r="F751" s="74"/>
      <c r="G751" s="75"/>
      <c r="H751" s="75"/>
      <c r="I751" s="76"/>
      <c r="J751" s="77"/>
      <c r="K751" s="76"/>
      <c r="L751" s="76"/>
      <c r="M751" s="74"/>
      <c r="N751" s="74"/>
      <c r="O751" s="78"/>
      <c r="P751" s="78"/>
      <c r="Q751" s="78"/>
      <c r="R751" s="78"/>
      <c r="S751" s="79"/>
      <c r="T751" s="79"/>
      <c r="U751" s="79"/>
      <c r="V751" s="79"/>
      <c r="W751" s="79"/>
      <c r="X751" s="79"/>
      <c r="Y751" s="79"/>
      <c r="Z751" s="79"/>
      <c r="AA751" s="79"/>
    </row>
    <row r="752" spans="1:27" x14ac:dyDescent="0.2">
      <c r="A752" s="73"/>
      <c r="B752" s="74"/>
      <c r="C752" s="74"/>
      <c r="D752" s="74"/>
      <c r="E752" s="74"/>
      <c r="F752" s="74"/>
      <c r="G752" s="75"/>
      <c r="H752" s="75"/>
      <c r="I752" s="76"/>
      <c r="J752" s="77"/>
      <c r="K752" s="76"/>
      <c r="L752" s="76"/>
      <c r="M752" s="74"/>
      <c r="N752" s="74"/>
      <c r="O752" s="78"/>
      <c r="P752" s="78"/>
      <c r="Q752" s="78"/>
      <c r="R752" s="78"/>
      <c r="S752" s="79"/>
      <c r="T752" s="79"/>
      <c r="U752" s="79"/>
      <c r="V752" s="79"/>
      <c r="W752" s="79"/>
      <c r="X752" s="79"/>
      <c r="Y752" s="79"/>
      <c r="Z752" s="79"/>
      <c r="AA752" s="79"/>
    </row>
    <row r="753" spans="1:27" x14ac:dyDescent="0.2">
      <c r="A753" s="73"/>
      <c r="B753" s="74"/>
      <c r="C753" s="74"/>
      <c r="D753" s="74"/>
      <c r="E753" s="74"/>
      <c r="F753" s="74"/>
      <c r="G753" s="75"/>
      <c r="H753" s="75"/>
      <c r="I753" s="76"/>
      <c r="J753" s="77"/>
      <c r="K753" s="76"/>
      <c r="L753" s="76"/>
      <c r="M753" s="74"/>
      <c r="N753" s="74"/>
      <c r="O753" s="78"/>
      <c r="P753" s="78"/>
      <c r="Q753" s="78"/>
      <c r="R753" s="78"/>
      <c r="S753" s="79"/>
      <c r="T753" s="79"/>
      <c r="U753" s="79"/>
      <c r="V753" s="79"/>
      <c r="W753" s="79"/>
      <c r="X753" s="79"/>
      <c r="Y753" s="79"/>
      <c r="Z753" s="79"/>
      <c r="AA753" s="79"/>
    </row>
    <row r="754" spans="1:27" x14ac:dyDescent="0.2">
      <c r="A754" s="73"/>
      <c r="B754" s="74"/>
      <c r="C754" s="74"/>
      <c r="D754" s="74"/>
      <c r="E754" s="74"/>
      <c r="F754" s="74"/>
      <c r="G754" s="75"/>
      <c r="H754" s="75"/>
      <c r="I754" s="76"/>
      <c r="J754" s="77"/>
      <c r="K754" s="76"/>
      <c r="L754" s="76"/>
      <c r="M754" s="74"/>
      <c r="N754" s="74"/>
      <c r="O754" s="78"/>
      <c r="P754" s="78"/>
      <c r="Q754" s="78"/>
      <c r="R754" s="78"/>
      <c r="S754" s="79"/>
      <c r="T754" s="79"/>
      <c r="U754" s="79"/>
      <c r="V754" s="79"/>
      <c r="W754" s="79"/>
      <c r="X754" s="79"/>
      <c r="Y754" s="79"/>
      <c r="Z754" s="79"/>
      <c r="AA754" s="79"/>
    </row>
    <row r="755" spans="1:27" x14ac:dyDescent="0.2">
      <c r="A755" s="73"/>
      <c r="B755" s="74"/>
      <c r="C755" s="74"/>
      <c r="D755" s="74"/>
      <c r="E755" s="74"/>
      <c r="F755" s="74"/>
      <c r="G755" s="75"/>
      <c r="H755" s="75"/>
      <c r="I755" s="76"/>
      <c r="J755" s="77"/>
      <c r="K755" s="76"/>
      <c r="L755" s="76"/>
      <c r="M755" s="74"/>
      <c r="N755" s="74"/>
      <c r="O755" s="78"/>
      <c r="P755" s="78"/>
      <c r="Q755" s="78"/>
      <c r="R755" s="78"/>
      <c r="S755" s="79"/>
      <c r="T755" s="79"/>
      <c r="U755" s="79"/>
      <c r="V755" s="79"/>
      <c r="W755" s="79"/>
      <c r="X755" s="79"/>
      <c r="Y755" s="79"/>
      <c r="Z755" s="79"/>
      <c r="AA755" s="79"/>
    </row>
    <row r="756" spans="1:27" x14ac:dyDescent="0.2">
      <c r="A756" s="73"/>
      <c r="B756" s="74"/>
      <c r="C756" s="74"/>
      <c r="D756" s="74"/>
      <c r="E756" s="74"/>
      <c r="F756" s="74"/>
      <c r="G756" s="75"/>
      <c r="H756" s="75"/>
      <c r="I756" s="76"/>
      <c r="J756" s="77"/>
      <c r="K756" s="76"/>
      <c r="L756" s="76"/>
      <c r="M756" s="74"/>
      <c r="N756" s="74"/>
      <c r="O756" s="78"/>
      <c r="P756" s="78"/>
      <c r="Q756" s="78"/>
      <c r="R756" s="78"/>
      <c r="S756" s="79"/>
      <c r="T756" s="79"/>
      <c r="U756" s="79"/>
      <c r="V756" s="79"/>
      <c r="W756" s="79"/>
      <c r="X756" s="79"/>
      <c r="Y756" s="79"/>
      <c r="Z756" s="79"/>
      <c r="AA756" s="79"/>
    </row>
    <row r="757" spans="1:27" x14ac:dyDescent="0.2">
      <c r="A757" s="73"/>
      <c r="B757" s="74"/>
      <c r="C757" s="74"/>
      <c r="D757" s="74"/>
      <c r="E757" s="74"/>
      <c r="F757" s="74"/>
      <c r="G757" s="75"/>
      <c r="H757" s="75"/>
      <c r="I757" s="76"/>
      <c r="J757" s="77"/>
      <c r="K757" s="76"/>
      <c r="L757" s="76"/>
      <c r="M757" s="74"/>
      <c r="N757" s="74"/>
      <c r="O757" s="78"/>
      <c r="P757" s="78"/>
      <c r="Q757" s="78"/>
      <c r="R757" s="78"/>
      <c r="S757" s="79"/>
      <c r="T757" s="79"/>
      <c r="U757" s="79"/>
      <c r="V757" s="79"/>
      <c r="W757" s="79"/>
      <c r="X757" s="79"/>
      <c r="Y757" s="79"/>
      <c r="Z757" s="79"/>
      <c r="AA757" s="79"/>
    </row>
    <row r="758" spans="1:27" x14ac:dyDescent="0.2">
      <c r="A758" s="73"/>
      <c r="B758" s="74"/>
      <c r="C758" s="74"/>
      <c r="D758" s="74"/>
      <c r="E758" s="74"/>
      <c r="F758" s="74"/>
      <c r="G758" s="75"/>
      <c r="H758" s="75"/>
      <c r="I758" s="76"/>
      <c r="J758" s="77"/>
      <c r="K758" s="76"/>
      <c r="L758" s="76"/>
      <c r="M758" s="74"/>
      <c r="N758" s="74"/>
      <c r="O758" s="78"/>
      <c r="P758" s="78"/>
      <c r="Q758" s="78"/>
      <c r="R758" s="78"/>
      <c r="S758" s="79"/>
      <c r="T758" s="79"/>
      <c r="U758" s="79"/>
      <c r="V758" s="79"/>
      <c r="W758" s="79"/>
      <c r="X758" s="79"/>
      <c r="Y758" s="79"/>
      <c r="Z758" s="79"/>
      <c r="AA758" s="79"/>
    </row>
    <row r="759" spans="1:27" x14ac:dyDescent="0.2">
      <c r="A759" s="73"/>
      <c r="B759" s="74"/>
      <c r="C759" s="74"/>
      <c r="D759" s="74"/>
      <c r="E759" s="74"/>
      <c r="F759" s="74"/>
      <c r="G759" s="75"/>
      <c r="H759" s="75"/>
      <c r="I759" s="76"/>
      <c r="J759" s="77"/>
      <c r="K759" s="76"/>
      <c r="L759" s="76"/>
      <c r="M759" s="74"/>
      <c r="N759" s="74"/>
      <c r="O759" s="78"/>
      <c r="P759" s="78"/>
      <c r="Q759" s="78"/>
      <c r="R759" s="78"/>
      <c r="S759" s="79"/>
      <c r="T759" s="79"/>
      <c r="U759" s="79"/>
      <c r="V759" s="79"/>
      <c r="W759" s="79"/>
      <c r="X759" s="79"/>
      <c r="Y759" s="79"/>
      <c r="Z759" s="79"/>
      <c r="AA759" s="79"/>
    </row>
    <row r="760" spans="1:27" x14ac:dyDescent="0.2">
      <c r="A760" s="73"/>
      <c r="B760" s="74"/>
      <c r="C760" s="74"/>
      <c r="D760" s="74"/>
      <c r="E760" s="74"/>
      <c r="F760" s="74"/>
      <c r="G760" s="75"/>
      <c r="H760" s="75"/>
      <c r="I760" s="76"/>
      <c r="J760" s="77"/>
      <c r="K760" s="76"/>
      <c r="L760" s="76"/>
      <c r="M760" s="74"/>
      <c r="N760" s="74"/>
      <c r="O760" s="78"/>
      <c r="P760" s="78"/>
      <c r="Q760" s="78"/>
      <c r="R760" s="78"/>
      <c r="S760" s="79"/>
      <c r="T760" s="79"/>
      <c r="U760" s="79"/>
      <c r="V760" s="79"/>
      <c r="W760" s="79"/>
      <c r="X760" s="79"/>
      <c r="Y760" s="79"/>
      <c r="Z760" s="79"/>
      <c r="AA760" s="79"/>
    </row>
    <row r="761" spans="1:27" x14ac:dyDescent="0.2">
      <c r="A761" s="73"/>
      <c r="B761" s="74"/>
      <c r="C761" s="74"/>
      <c r="D761" s="74"/>
      <c r="E761" s="74"/>
      <c r="F761" s="74"/>
      <c r="G761" s="75"/>
      <c r="H761" s="75"/>
      <c r="I761" s="76"/>
      <c r="J761" s="77"/>
      <c r="K761" s="76"/>
      <c r="L761" s="76"/>
      <c r="M761" s="74"/>
      <c r="N761" s="74"/>
      <c r="O761" s="78"/>
      <c r="P761" s="78"/>
      <c r="Q761" s="78"/>
      <c r="R761" s="78"/>
      <c r="S761" s="79"/>
      <c r="T761" s="79"/>
      <c r="U761" s="79"/>
      <c r="V761" s="79"/>
      <c r="W761" s="79"/>
      <c r="X761" s="79"/>
      <c r="Y761" s="79"/>
      <c r="Z761" s="79"/>
      <c r="AA761" s="79"/>
    </row>
    <row r="762" spans="1:27" x14ac:dyDescent="0.2">
      <c r="A762" s="73"/>
      <c r="B762" s="74"/>
      <c r="C762" s="74"/>
      <c r="D762" s="74"/>
      <c r="E762" s="74"/>
      <c r="F762" s="74"/>
      <c r="G762" s="75"/>
      <c r="H762" s="75"/>
      <c r="I762" s="76"/>
      <c r="J762" s="77"/>
      <c r="K762" s="76"/>
      <c r="L762" s="76"/>
      <c r="M762" s="74"/>
      <c r="N762" s="74"/>
      <c r="O762" s="78"/>
      <c r="P762" s="78"/>
      <c r="Q762" s="78"/>
      <c r="R762" s="78"/>
      <c r="S762" s="79"/>
      <c r="T762" s="79"/>
      <c r="U762" s="79"/>
      <c r="V762" s="79"/>
      <c r="W762" s="79"/>
      <c r="X762" s="79"/>
      <c r="Y762" s="79"/>
      <c r="Z762" s="79"/>
      <c r="AA762" s="79"/>
    </row>
    <row r="763" spans="1:27" x14ac:dyDescent="0.2">
      <c r="A763" s="73"/>
      <c r="B763" s="74"/>
      <c r="C763" s="74"/>
      <c r="D763" s="74"/>
      <c r="E763" s="74"/>
      <c r="F763" s="74"/>
      <c r="G763" s="75"/>
      <c r="H763" s="75"/>
      <c r="I763" s="76"/>
      <c r="J763" s="77"/>
      <c r="K763" s="76"/>
      <c r="L763" s="76"/>
      <c r="M763" s="74"/>
      <c r="N763" s="74"/>
      <c r="O763" s="78"/>
      <c r="P763" s="78"/>
      <c r="Q763" s="78"/>
      <c r="R763" s="78"/>
      <c r="S763" s="79"/>
      <c r="T763" s="79"/>
      <c r="U763" s="79"/>
      <c r="V763" s="79"/>
      <c r="W763" s="79"/>
      <c r="X763" s="79"/>
      <c r="Y763" s="79"/>
      <c r="Z763" s="79"/>
      <c r="AA763" s="79"/>
    </row>
    <row r="764" spans="1:27" x14ac:dyDescent="0.2">
      <c r="A764" s="73"/>
      <c r="B764" s="74"/>
      <c r="C764" s="74"/>
      <c r="D764" s="74"/>
      <c r="E764" s="74"/>
      <c r="F764" s="74"/>
      <c r="G764" s="75"/>
      <c r="H764" s="75"/>
      <c r="I764" s="76"/>
      <c r="J764" s="77"/>
      <c r="K764" s="76"/>
      <c r="L764" s="76"/>
      <c r="M764" s="74"/>
      <c r="N764" s="74"/>
      <c r="O764" s="78"/>
      <c r="P764" s="78"/>
      <c r="Q764" s="78"/>
      <c r="R764" s="78"/>
      <c r="S764" s="79"/>
      <c r="T764" s="79"/>
      <c r="U764" s="79"/>
      <c r="V764" s="79"/>
      <c r="W764" s="79"/>
      <c r="X764" s="79"/>
      <c r="Y764" s="79"/>
      <c r="Z764" s="79"/>
      <c r="AA764" s="79"/>
    </row>
    <row r="765" spans="1:27" x14ac:dyDescent="0.2">
      <c r="A765" s="73"/>
      <c r="B765" s="74"/>
      <c r="C765" s="74"/>
      <c r="D765" s="74"/>
      <c r="E765" s="74"/>
      <c r="F765" s="74"/>
      <c r="G765" s="75"/>
      <c r="H765" s="75"/>
      <c r="I765" s="76"/>
      <c r="J765" s="77"/>
      <c r="K765" s="76"/>
      <c r="L765" s="76"/>
      <c r="M765" s="74"/>
      <c r="N765" s="74"/>
      <c r="O765" s="78"/>
      <c r="P765" s="78"/>
      <c r="Q765" s="78"/>
      <c r="R765" s="78"/>
      <c r="S765" s="79"/>
      <c r="T765" s="79"/>
      <c r="U765" s="79"/>
      <c r="V765" s="79"/>
      <c r="W765" s="79"/>
      <c r="X765" s="79"/>
      <c r="Y765" s="79"/>
      <c r="Z765" s="79"/>
      <c r="AA765" s="79"/>
    </row>
    <row r="766" spans="1:27" x14ac:dyDescent="0.2">
      <c r="A766" s="73"/>
      <c r="B766" s="74"/>
      <c r="C766" s="74"/>
      <c r="D766" s="74"/>
      <c r="E766" s="74"/>
      <c r="F766" s="74"/>
      <c r="G766" s="75"/>
      <c r="H766" s="75"/>
      <c r="I766" s="76"/>
      <c r="J766" s="77"/>
      <c r="K766" s="76"/>
      <c r="L766" s="76"/>
      <c r="M766" s="74"/>
      <c r="N766" s="74"/>
      <c r="O766" s="78"/>
      <c r="P766" s="78"/>
      <c r="Q766" s="78"/>
      <c r="R766" s="78"/>
      <c r="S766" s="79"/>
      <c r="T766" s="79"/>
      <c r="U766" s="79"/>
      <c r="V766" s="79"/>
      <c r="W766" s="79"/>
      <c r="X766" s="79"/>
      <c r="Y766" s="79"/>
      <c r="Z766" s="79"/>
      <c r="AA766" s="79"/>
    </row>
    <row r="767" spans="1:27" x14ac:dyDescent="0.2">
      <c r="A767" s="73"/>
      <c r="B767" s="74"/>
      <c r="C767" s="74"/>
      <c r="D767" s="74"/>
      <c r="E767" s="74"/>
      <c r="F767" s="74"/>
      <c r="G767" s="75"/>
      <c r="H767" s="75"/>
      <c r="I767" s="76"/>
      <c r="J767" s="77"/>
      <c r="K767" s="76"/>
      <c r="L767" s="76"/>
      <c r="M767" s="74"/>
      <c r="N767" s="74"/>
      <c r="O767" s="78"/>
      <c r="P767" s="78"/>
      <c r="Q767" s="78"/>
      <c r="R767" s="78"/>
      <c r="S767" s="79"/>
      <c r="T767" s="79"/>
      <c r="U767" s="79"/>
      <c r="V767" s="79"/>
      <c r="W767" s="79"/>
      <c r="X767" s="79"/>
      <c r="Y767" s="79"/>
      <c r="Z767" s="79"/>
      <c r="AA767" s="79"/>
    </row>
    <row r="768" spans="1:27" x14ac:dyDescent="0.2">
      <c r="A768" s="73"/>
      <c r="B768" s="74"/>
      <c r="C768" s="74"/>
      <c r="D768" s="74"/>
      <c r="E768" s="74"/>
      <c r="F768" s="74"/>
      <c r="G768" s="75"/>
      <c r="H768" s="75"/>
      <c r="I768" s="76"/>
      <c r="J768" s="77"/>
      <c r="K768" s="76"/>
      <c r="L768" s="76"/>
      <c r="M768" s="74"/>
      <c r="N768" s="74"/>
      <c r="O768" s="78"/>
      <c r="P768" s="78"/>
      <c r="Q768" s="78"/>
      <c r="R768" s="78"/>
      <c r="S768" s="79"/>
      <c r="T768" s="79"/>
      <c r="U768" s="79"/>
      <c r="V768" s="79"/>
      <c r="W768" s="79"/>
      <c r="X768" s="79"/>
      <c r="Y768" s="79"/>
      <c r="Z768" s="79"/>
      <c r="AA768" s="79"/>
    </row>
    <row r="769" spans="1:27" x14ac:dyDescent="0.2">
      <c r="A769" s="73"/>
      <c r="B769" s="74"/>
      <c r="C769" s="74"/>
      <c r="D769" s="74"/>
      <c r="E769" s="74"/>
      <c r="F769" s="74"/>
      <c r="G769" s="75"/>
      <c r="H769" s="75"/>
      <c r="I769" s="76"/>
      <c r="J769" s="77"/>
      <c r="K769" s="76"/>
      <c r="L769" s="76"/>
      <c r="M769" s="74"/>
      <c r="N769" s="74"/>
      <c r="O769" s="78"/>
      <c r="P769" s="78"/>
      <c r="Q769" s="78"/>
      <c r="R769" s="78"/>
      <c r="S769" s="79"/>
      <c r="T769" s="79"/>
      <c r="U769" s="79"/>
      <c r="V769" s="79"/>
      <c r="W769" s="79"/>
      <c r="X769" s="79"/>
      <c r="Y769" s="79"/>
      <c r="Z769" s="79"/>
      <c r="AA769" s="79"/>
    </row>
    <row r="770" spans="1:27" x14ac:dyDescent="0.2">
      <c r="A770" s="73"/>
      <c r="B770" s="74"/>
      <c r="C770" s="74"/>
      <c r="D770" s="74"/>
      <c r="E770" s="74"/>
      <c r="F770" s="74"/>
      <c r="G770" s="75"/>
      <c r="H770" s="75"/>
      <c r="I770" s="76"/>
      <c r="J770" s="77"/>
      <c r="K770" s="76"/>
      <c r="L770" s="76"/>
      <c r="M770" s="74"/>
      <c r="N770" s="74"/>
      <c r="O770" s="78"/>
      <c r="P770" s="78"/>
      <c r="Q770" s="78"/>
      <c r="R770" s="78"/>
      <c r="S770" s="79"/>
      <c r="T770" s="79"/>
      <c r="U770" s="79"/>
      <c r="V770" s="79"/>
      <c r="W770" s="79"/>
      <c r="X770" s="79"/>
      <c r="Y770" s="79"/>
      <c r="Z770" s="79"/>
      <c r="AA770" s="79"/>
    </row>
    <row r="771" spans="1:27" x14ac:dyDescent="0.2">
      <c r="A771" s="73"/>
      <c r="B771" s="74"/>
      <c r="C771" s="74"/>
      <c r="D771" s="74"/>
      <c r="E771" s="74"/>
      <c r="F771" s="74"/>
      <c r="G771" s="75"/>
      <c r="H771" s="75"/>
      <c r="I771" s="76"/>
      <c r="J771" s="77"/>
      <c r="K771" s="76"/>
      <c r="L771" s="76"/>
      <c r="M771" s="74"/>
      <c r="N771" s="74"/>
      <c r="O771" s="78"/>
      <c r="P771" s="78"/>
      <c r="Q771" s="78"/>
      <c r="R771" s="78"/>
      <c r="S771" s="79"/>
      <c r="T771" s="79"/>
      <c r="U771" s="79"/>
      <c r="V771" s="79"/>
      <c r="W771" s="79"/>
      <c r="X771" s="79"/>
      <c r="Y771" s="79"/>
      <c r="Z771" s="79"/>
      <c r="AA771" s="79"/>
    </row>
    <row r="772" spans="1:27" x14ac:dyDescent="0.2">
      <c r="A772" s="73"/>
      <c r="B772" s="74"/>
      <c r="C772" s="74"/>
      <c r="D772" s="74"/>
      <c r="E772" s="74"/>
      <c r="F772" s="74"/>
      <c r="G772" s="75"/>
      <c r="H772" s="75"/>
      <c r="I772" s="76"/>
      <c r="J772" s="77"/>
      <c r="K772" s="76"/>
      <c r="L772" s="76"/>
      <c r="M772" s="74"/>
      <c r="N772" s="74"/>
      <c r="O772" s="78"/>
      <c r="P772" s="78"/>
      <c r="Q772" s="78"/>
      <c r="R772" s="78"/>
      <c r="S772" s="79"/>
      <c r="T772" s="79"/>
      <c r="U772" s="79"/>
      <c r="V772" s="79"/>
      <c r="W772" s="79"/>
      <c r="X772" s="79"/>
      <c r="Y772" s="79"/>
      <c r="Z772" s="79"/>
      <c r="AA772" s="79"/>
    </row>
    <row r="773" spans="1:27" x14ac:dyDescent="0.2">
      <c r="A773" s="73"/>
      <c r="B773" s="74"/>
      <c r="C773" s="74"/>
      <c r="D773" s="74"/>
      <c r="E773" s="74"/>
      <c r="F773" s="74"/>
      <c r="G773" s="75"/>
      <c r="H773" s="75"/>
      <c r="I773" s="76"/>
      <c r="J773" s="77"/>
      <c r="K773" s="76"/>
      <c r="L773" s="76"/>
      <c r="M773" s="74"/>
      <c r="N773" s="74"/>
      <c r="O773" s="78"/>
      <c r="P773" s="78"/>
      <c r="Q773" s="78"/>
      <c r="R773" s="78"/>
      <c r="S773" s="79"/>
      <c r="T773" s="79"/>
      <c r="U773" s="79"/>
      <c r="V773" s="79"/>
      <c r="W773" s="79"/>
      <c r="X773" s="79"/>
      <c r="Y773" s="79"/>
      <c r="Z773" s="79"/>
      <c r="AA773" s="79"/>
    </row>
    <row r="774" spans="1:27" x14ac:dyDescent="0.2">
      <c r="A774" s="73"/>
      <c r="B774" s="74"/>
      <c r="C774" s="74"/>
      <c r="D774" s="74"/>
      <c r="E774" s="74"/>
      <c r="F774" s="74"/>
      <c r="G774" s="75"/>
      <c r="H774" s="75"/>
      <c r="I774" s="76"/>
      <c r="J774" s="77"/>
      <c r="K774" s="76"/>
      <c r="L774" s="76"/>
      <c r="M774" s="74"/>
      <c r="N774" s="74"/>
      <c r="O774" s="78"/>
      <c r="P774" s="78"/>
      <c r="Q774" s="78"/>
      <c r="R774" s="78"/>
      <c r="S774" s="79"/>
      <c r="T774" s="79"/>
      <c r="U774" s="79"/>
      <c r="V774" s="79"/>
      <c r="W774" s="79"/>
      <c r="X774" s="79"/>
      <c r="Y774" s="79"/>
      <c r="Z774" s="79"/>
      <c r="AA774" s="79"/>
    </row>
    <row r="775" spans="1:27" x14ac:dyDescent="0.2">
      <c r="A775" s="73"/>
      <c r="B775" s="74"/>
      <c r="C775" s="74"/>
      <c r="D775" s="74"/>
      <c r="E775" s="74"/>
      <c r="F775" s="74"/>
      <c r="G775" s="75"/>
      <c r="H775" s="75"/>
      <c r="I775" s="76"/>
      <c r="J775" s="77"/>
      <c r="K775" s="76"/>
      <c r="L775" s="76"/>
      <c r="M775" s="74"/>
      <c r="N775" s="74"/>
      <c r="O775" s="78"/>
      <c r="P775" s="78"/>
      <c r="Q775" s="78"/>
      <c r="R775" s="78"/>
      <c r="S775" s="79"/>
      <c r="T775" s="79"/>
      <c r="U775" s="79"/>
      <c r="V775" s="79"/>
      <c r="W775" s="79"/>
      <c r="X775" s="79"/>
      <c r="Y775" s="79"/>
      <c r="Z775" s="79"/>
      <c r="AA775" s="79"/>
    </row>
    <row r="776" spans="1:27" x14ac:dyDescent="0.2">
      <c r="A776" s="73"/>
      <c r="B776" s="74"/>
      <c r="C776" s="74"/>
      <c r="D776" s="74"/>
      <c r="E776" s="74"/>
      <c r="F776" s="74"/>
      <c r="G776" s="75"/>
      <c r="H776" s="75"/>
      <c r="I776" s="76"/>
      <c r="J776" s="77"/>
      <c r="K776" s="76"/>
      <c r="L776" s="76"/>
      <c r="M776" s="74"/>
      <c r="N776" s="74"/>
      <c r="O776" s="78"/>
      <c r="P776" s="78"/>
      <c r="Q776" s="78"/>
      <c r="R776" s="78"/>
      <c r="S776" s="79"/>
      <c r="T776" s="79"/>
      <c r="U776" s="79"/>
      <c r="V776" s="79"/>
      <c r="W776" s="79"/>
      <c r="X776" s="79"/>
      <c r="Y776" s="79"/>
      <c r="Z776" s="79"/>
      <c r="AA776" s="79"/>
    </row>
    <row r="777" spans="1:27" x14ac:dyDescent="0.2">
      <c r="A777" s="73"/>
      <c r="B777" s="74"/>
      <c r="C777" s="74"/>
      <c r="D777" s="74"/>
      <c r="E777" s="74"/>
      <c r="F777" s="74"/>
      <c r="G777" s="75"/>
      <c r="H777" s="75"/>
      <c r="I777" s="76"/>
      <c r="J777" s="77"/>
      <c r="K777" s="76"/>
      <c r="L777" s="76"/>
      <c r="M777" s="74"/>
      <c r="N777" s="74"/>
      <c r="O777" s="78"/>
      <c r="P777" s="78"/>
      <c r="Q777" s="78"/>
      <c r="R777" s="78"/>
      <c r="S777" s="79"/>
      <c r="T777" s="79"/>
      <c r="U777" s="79"/>
      <c r="V777" s="79"/>
      <c r="W777" s="79"/>
      <c r="X777" s="79"/>
      <c r="Y777" s="79"/>
      <c r="Z777" s="79"/>
      <c r="AA777" s="79"/>
    </row>
    <row r="778" spans="1:27" x14ac:dyDescent="0.2">
      <c r="A778" s="73"/>
      <c r="B778" s="74"/>
      <c r="C778" s="74"/>
      <c r="D778" s="74"/>
      <c r="E778" s="74"/>
      <c r="F778" s="74"/>
      <c r="G778" s="75"/>
      <c r="H778" s="75"/>
      <c r="I778" s="76"/>
      <c r="J778" s="77"/>
      <c r="K778" s="76"/>
      <c r="L778" s="76"/>
      <c r="M778" s="74"/>
      <c r="N778" s="74"/>
      <c r="O778" s="78"/>
      <c r="P778" s="78"/>
      <c r="Q778" s="78"/>
      <c r="R778" s="78"/>
      <c r="S778" s="79"/>
      <c r="T778" s="79"/>
      <c r="U778" s="79"/>
      <c r="V778" s="79"/>
      <c r="W778" s="79"/>
      <c r="X778" s="79"/>
      <c r="Y778" s="79"/>
      <c r="Z778" s="79"/>
      <c r="AA778" s="79"/>
    </row>
    <row r="779" spans="1:27" x14ac:dyDescent="0.2">
      <c r="A779" s="73"/>
      <c r="B779" s="74"/>
      <c r="C779" s="74"/>
      <c r="D779" s="74"/>
      <c r="E779" s="74"/>
      <c r="F779" s="74"/>
      <c r="G779" s="75"/>
      <c r="H779" s="75"/>
      <c r="I779" s="76"/>
      <c r="J779" s="77"/>
      <c r="K779" s="76"/>
      <c r="L779" s="76"/>
      <c r="M779" s="74"/>
      <c r="N779" s="74"/>
      <c r="O779" s="78"/>
      <c r="P779" s="78"/>
      <c r="Q779" s="78"/>
      <c r="R779" s="78"/>
      <c r="S779" s="79"/>
      <c r="T779" s="79"/>
      <c r="U779" s="79"/>
      <c r="V779" s="79"/>
      <c r="W779" s="79"/>
      <c r="X779" s="79"/>
      <c r="Y779" s="79"/>
      <c r="Z779" s="79"/>
      <c r="AA779" s="79"/>
    </row>
    <row r="780" spans="1:27" x14ac:dyDescent="0.2">
      <c r="A780" s="73"/>
      <c r="B780" s="74"/>
      <c r="C780" s="74"/>
      <c r="D780" s="74"/>
      <c r="E780" s="74"/>
      <c r="F780" s="74"/>
      <c r="G780" s="75"/>
      <c r="H780" s="75"/>
      <c r="I780" s="76"/>
      <c r="J780" s="77"/>
      <c r="K780" s="76"/>
      <c r="L780" s="76"/>
      <c r="M780" s="74"/>
      <c r="N780" s="74"/>
      <c r="O780" s="78"/>
      <c r="P780" s="78"/>
      <c r="Q780" s="78"/>
      <c r="R780" s="78"/>
      <c r="S780" s="79"/>
      <c r="T780" s="79"/>
      <c r="U780" s="79"/>
      <c r="V780" s="79"/>
      <c r="W780" s="79"/>
      <c r="X780" s="79"/>
      <c r="Y780" s="79"/>
      <c r="Z780" s="79"/>
      <c r="AA780" s="79"/>
    </row>
    <row r="781" spans="1:27" x14ac:dyDescent="0.2">
      <c r="A781" s="73"/>
      <c r="B781" s="74"/>
      <c r="C781" s="74"/>
      <c r="D781" s="74"/>
      <c r="E781" s="74"/>
      <c r="F781" s="74"/>
      <c r="G781" s="75"/>
      <c r="H781" s="75"/>
      <c r="I781" s="76"/>
      <c r="J781" s="77"/>
      <c r="K781" s="76"/>
      <c r="L781" s="76"/>
      <c r="M781" s="74"/>
      <c r="N781" s="74"/>
      <c r="O781" s="78"/>
      <c r="P781" s="78"/>
      <c r="Q781" s="78"/>
      <c r="R781" s="78"/>
      <c r="S781" s="79"/>
      <c r="T781" s="79"/>
      <c r="U781" s="79"/>
      <c r="V781" s="79"/>
      <c r="W781" s="79"/>
      <c r="X781" s="79"/>
      <c r="Y781" s="79"/>
      <c r="Z781" s="79"/>
      <c r="AA781" s="79"/>
    </row>
    <row r="782" spans="1:27" x14ac:dyDescent="0.2">
      <c r="A782" s="73"/>
      <c r="B782" s="74"/>
      <c r="C782" s="74"/>
      <c r="D782" s="74"/>
      <c r="E782" s="74"/>
      <c r="F782" s="74"/>
      <c r="G782" s="75"/>
      <c r="H782" s="75"/>
      <c r="I782" s="76"/>
      <c r="J782" s="77"/>
      <c r="K782" s="76"/>
      <c r="L782" s="76"/>
      <c r="M782" s="74"/>
      <c r="N782" s="74"/>
      <c r="O782" s="78"/>
      <c r="P782" s="78"/>
      <c r="Q782" s="78"/>
      <c r="R782" s="78"/>
      <c r="S782" s="79"/>
      <c r="T782" s="79"/>
      <c r="U782" s="79"/>
      <c r="V782" s="79"/>
      <c r="W782" s="79"/>
      <c r="X782" s="79"/>
      <c r="Y782" s="79"/>
      <c r="Z782" s="79"/>
      <c r="AA782" s="79"/>
    </row>
    <row r="783" spans="1:27" x14ac:dyDescent="0.2">
      <c r="A783" s="73"/>
      <c r="B783" s="74"/>
      <c r="C783" s="74"/>
      <c r="D783" s="74"/>
      <c r="E783" s="74"/>
      <c r="F783" s="74"/>
      <c r="G783" s="75"/>
      <c r="H783" s="75"/>
      <c r="I783" s="76"/>
      <c r="J783" s="77"/>
      <c r="K783" s="76"/>
      <c r="L783" s="76"/>
      <c r="M783" s="74"/>
      <c r="N783" s="74"/>
      <c r="O783" s="78"/>
      <c r="P783" s="78"/>
      <c r="Q783" s="78"/>
      <c r="R783" s="78"/>
      <c r="S783" s="79"/>
      <c r="T783" s="79"/>
      <c r="U783" s="79"/>
      <c r="V783" s="79"/>
      <c r="W783" s="79"/>
      <c r="X783" s="79"/>
      <c r="Y783" s="79"/>
      <c r="Z783" s="79"/>
      <c r="AA783" s="79"/>
    </row>
    <row r="784" spans="1:27" x14ac:dyDescent="0.2">
      <c r="A784" s="73"/>
      <c r="B784" s="74"/>
      <c r="C784" s="74"/>
      <c r="D784" s="74"/>
      <c r="E784" s="74"/>
      <c r="F784" s="74"/>
      <c r="G784" s="75"/>
      <c r="H784" s="75"/>
      <c r="I784" s="76"/>
      <c r="J784" s="77"/>
      <c r="K784" s="76"/>
      <c r="L784" s="76"/>
      <c r="M784" s="74"/>
      <c r="N784" s="74"/>
      <c r="O784" s="78"/>
      <c r="P784" s="78"/>
      <c r="Q784" s="78"/>
      <c r="R784" s="78"/>
      <c r="S784" s="79"/>
      <c r="T784" s="79"/>
      <c r="U784" s="79"/>
      <c r="V784" s="79"/>
      <c r="W784" s="79"/>
      <c r="X784" s="79"/>
      <c r="Y784" s="79"/>
      <c r="Z784" s="79"/>
      <c r="AA784" s="79"/>
    </row>
    <row r="785" spans="1:27" x14ac:dyDescent="0.2">
      <c r="A785" s="73"/>
      <c r="B785" s="74"/>
      <c r="C785" s="74"/>
      <c r="D785" s="74"/>
      <c r="E785" s="74"/>
      <c r="F785" s="74"/>
      <c r="G785" s="75"/>
      <c r="H785" s="75"/>
      <c r="I785" s="76"/>
      <c r="J785" s="77"/>
      <c r="K785" s="76"/>
      <c r="L785" s="76"/>
      <c r="M785" s="74"/>
      <c r="N785" s="74"/>
      <c r="O785" s="78"/>
      <c r="P785" s="78"/>
      <c r="Q785" s="78"/>
      <c r="R785" s="78"/>
      <c r="S785" s="79"/>
      <c r="T785" s="79"/>
      <c r="U785" s="79"/>
      <c r="V785" s="79"/>
      <c r="W785" s="79"/>
      <c r="X785" s="79"/>
      <c r="Y785" s="79"/>
      <c r="Z785" s="79"/>
      <c r="AA785" s="79"/>
    </row>
    <row r="786" spans="1:27" x14ac:dyDescent="0.2">
      <c r="A786" s="73"/>
      <c r="B786" s="74"/>
      <c r="C786" s="74"/>
      <c r="D786" s="74"/>
      <c r="E786" s="74"/>
      <c r="F786" s="74"/>
      <c r="G786" s="75"/>
      <c r="H786" s="75"/>
      <c r="I786" s="76"/>
      <c r="J786" s="77"/>
      <c r="K786" s="76"/>
      <c r="L786" s="76"/>
      <c r="M786" s="74"/>
      <c r="N786" s="74"/>
      <c r="O786" s="78"/>
      <c r="P786" s="78"/>
      <c r="Q786" s="78"/>
      <c r="R786" s="78"/>
      <c r="S786" s="79"/>
      <c r="T786" s="79"/>
      <c r="U786" s="79"/>
      <c r="V786" s="79"/>
      <c r="W786" s="79"/>
      <c r="X786" s="79"/>
      <c r="Y786" s="79"/>
      <c r="Z786" s="79"/>
      <c r="AA786" s="79"/>
    </row>
    <row r="787" spans="1:27" x14ac:dyDescent="0.2">
      <c r="A787" s="73"/>
      <c r="B787" s="74"/>
      <c r="C787" s="74"/>
      <c r="D787" s="74"/>
      <c r="E787" s="74"/>
      <c r="F787" s="74"/>
      <c r="G787" s="75"/>
      <c r="H787" s="75"/>
      <c r="I787" s="76"/>
      <c r="J787" s="77"/>
      <c r="K787" s="76"/>
      <c r="L787" s="76"/>
      <c r="M787" s="74"/>
      <c r="N787" s="74"/>
      <c r="O787" s="78"/>
      <c r="P787" s="78"/>
      <c r="Q787" s="78"/>
      <c r="R787" s="78"/>
      <c r="S787" s="79"/>
      <c r="T787" s="79"/>
      <c r="U787" s="79"/>
      <c r="V787" s="79"/>
      <c r="W787" s="79"/>
      <c r="X787" s="79"/>
      <c r="Y787" s="79"/>
      <c r="Z787" s="79"/>
      <c r="AA787" s="79"/>
    </row>
    <row r="788" spans="1:27" x14ac:dyDescent="0.2">
      <c r="A788" s="73"/>
      <c r="B788" s="74"/>
      <c r="C788" s="74"/>
      <c r="D788" s="74"/>
      <c r="E788" s="74"/>
      <c r="F788" s="74"/>
      <c r="G788" s="75"/>
      <c r="H788" s="75"/>
      <c r="I788" s="76"/>
      <c r="J788" s="77"/>
      <c r="K788" s="76"/>
      <c r="L788" s="76"/>
      <c r="M788" s="74"/>
      <c r="N788" s="74"/>
      <c r="O788" s="78"/>
      <c r="P788" s="78"/>
      <c r="Q788" s="78"/>
      <c r="R788" s="78"/>
      <c r="S788" s="79"/>
      <c r="T788" s="79"/>
      <c r="U788" s="79"/>
      <c r="V788" s="79"/>
      <c r="W788" s="79"/>
      <c r="X788" s="79"/>
      <c r="Y788" s="79"/>
      <c r="Z788" s="79"/>
      <c r="AA788" s="79"/>
    </row>
    <row r="789" spans="1:27" x14ac:dyDescent="0.2">
      <c r="A789" s="73"/>
      <c r="B789" s="74"/>
      <c r="C789" s="74"/>
      <c r="D789" s="74"/>
      <c r="E789" s="74"/>
      <c r="F789" s="74"/>
      <c r="G789" s="75"/>
      <c r="H789" s="75"/>
      <c r="I789" s="76"/>
      <c r="J789" s="77"/>
      <c r="K789" s="76"/>
      <c r="L789" s="76"/>
      <c r="M789" s="74"/>
      <c r="N789" s="74"/>
      <c r="O789" s="78"/>
      <c r="P789" s="78"/>
      <c r="Q789" s="78"/>
      <c r="R789" s="78"/>
      <c r="S789" s="79"/>
      <c r="T789" s="79"/>
      <c r="U789" s="79"/>
      <c r="V789" s="79"/>
      <c r="W789" s="79"/>
      <c r="X789" s="79"/>
      <c r="Y789" s="79"/>
      <c r="Z789" s="79"/>
      <c r="AA789" s="79"/>
    </row>
    <row r="790" spans="1:27" x14ac:dyDescent="0.2">
      <c r="A790" s="73"/>
      <c r="B790" s="74"/>
      <c r="C790" s="74"/>
      <c r="D790" s="74"/>
      <c r="E790" s="74"/>
      <c r="F790" s="74"/>
      <c r="G790" s="75"/>
      <c r="H790" s="75"/>
      <c r="I790" s="76"/>
      <c r="J790" s="77"/>
      <c r="K790" s="76"/>
      <c r="L790" s="76"/>
      <c r="M790" s="74"/>
      <c r="N790" s="74"/>
      <c r="O790" s="78"/>
      <c r="P790" s="78"/>
      <c r="Q790" s="78"/>
      <c r="R790" s="78"/>
      <c r="S790" s="79"/>
      <c r="T790" s="79"/>
      <c r="U790" s="79"/>
      <c r="V790" s="79"/>
      <c r="W790" s="79"/>
      <c r="X790" s="79"/>
      <c r="Y790" s="79"/>
      <c r="Z790" s="79"/>
      <c r="AA790" s="79"/>
    </row>
    <row r="791" spans="1:27" x14ac:dyDescent="0.2">
      <c r="A791" s="73"/>
      <c r="B791" s="74"/>
      <c r="C791" s="74"/>
      <c r="D791" s="74"/>
      <c r="E791" s="74"/>
      <c r="F791" s="74"/>
      <c r="G791" s="75"/>
      <c r="H791" s="75"/>
      <c r="I791" s="76"/>
      <c r="J791" s="77"/>
      <c r="K791" s="76"/>
      <c r="L791" s="76"/>
      <c r="M791" s="74"/>
      <c r="N791" s="74"/>
      <c r="O791" s="78"/>
      <c r="P791" s="78"/>
      <c r="Q791" s="78"/>
      <c r="R791" s="78"/>
      <c r="S791" s="79"/>
      <c r="T791" s="79"/>
      <c r="U791" s="79"/>
      <c r="V791" s="79"/>
      <c r="W791" s="79"/>
      <c r="X791" s="79"/>
      <c r="Y791" s="79"/>
      <c r="Z791" s="79"/>
      <c r="AA791" s="79"/>
    </row>
    <row r="792" spans="1:27" x14ac:dyDescent="0.2">
      <c r="A792" s="73"/>
      <c r="B792" s="74"/>
      <c r="C792" s="74"/>
      <c r="D792" s="74"/>
      <c r="E792" s="74"/>
      <c r="F792" s="74"/>
      <c r="G792" s="75"/>
      <c r="H792" s="75"/>
      <c r="I792" s="76"/>
      <c r="J792" s="77"/>
      <c r="K792" s="76"/>
      <c r="L792" s="76"/>
      <c r="M792" s="74"/>
      <c r="N792" s="74"/>
      <c r="O792" s="78"/>
      <c r="P792" s="78"/>
      <c r="Q792" s="78"/>
      <c r="R792" s="78"/>
      <c r="S792" s="79"/>
      <c r="T792" s="79"/>
      <c r="U792" s="79"/>
      <c r="V792" s="79"/>
      <c r="W792" s="79"/>
      <c r="X792" s="79"/>
      <c r="Y792" s="79"/>
      <c r="Z792" s="79"/>
      <c r="AA792" s="79"/>
    </row>
    <row r="793" spans="1:27" x14ac:dyDescent="0.2">
      <c r="A793" s="73"/>
      <c r="B793" s="74"/>
      <c r="C793" s="74"/>
      <c r="D793" s="74"/>
      <c r="E793" s="74"/>
      <c r="F793" s="74"/>
      <c r="G793" s="75"/>
      <c r="H793" s="75"/>
      <c r="I793" s="76"/>
      <c r="J793" s="77"/>
      <c r="K793" s="76"/>
      <c r="L793" s="76"/>
      <c r="M793" s="74"/>
      <c r="N793" s="74"/>
      <c r="O793" s="78"/>
      <c r="P793" s="78"/>
      <c r="Q793" s="78"/>
      <c r="R793" s="78"/>
      <c r="S793" s="79"/>
      <c r="T793" s="79"/>
      <c r="U793" s="79"/>
      <c r="V793" s="79"/>
      <c r="W793" s="79"/>
      <c r="X793" s="79"/>
      <c r="Y793" s="79"/>
      <c r="Z793" s="79"/>
      <c r="AA793" s="79"/>
    </row>
    <row r="794" spans="1:27" x14ac:dyDescent="0.2">
      <c r="A794" s="73"/>
      <c r="B794" s="74"/>
      <c r="C794" s="74"/>
      <c r="D794" s="74"/>
      <c r="E794" s="74"/>
      <c r="F794" s="74"/>
      <c r="G794" s="75"/>
      <c r="H794" s="75"/>
      <c r="I794" s="76"/>
      <c r="J794" s="77"/>
      <c r="K794" s="76"/>
      <c r="L794" s="76"/>
      <c r="M794" s="74"/>
      <c r="N794" s="74"/>
      <c r="O794" s="78"/>
      <c r="P794" s="78"/>
      <c r="Q794" s="78"/>
      <c r="R794" s="78"/>
      <c r="S794" s="79"/>
      <c r="T794" s="79"/>
      <c r="U794" s="79"/>
      <c r="V794" s="79"/>
      <c r="W794" s="79"/>
      <c r="X794" s="79"/>
      <c r="Y794" s="79"/>
      <c r="Z794" s="79"/>
      <c r="AA794" s="79"/>
    </row>
    <row r="795" spans="1:27" x14ac:dyDescent="0.2">
      <c r="A795" s="73"/>
      <c r="B795" s="74"/>
      <c r="C795" s="74"/>
      <c r="D795" s="74"/>
      <c r="E795" s="74"/>
      <c r="F795" s="74"/>
      <c r="G795" s="75"/>
      <c r="H795" s="75"/>
      <c r="I795" s="76"/>
      <c r="J795" s="77"/>
      <c r="K795" s="76"/>
      <c r="L795" s="76"/>
      <c r="M795" s="74"/>
      <c r="N795" s="74"/>
      <c r="O795" s="78"/>
      <c r="P795" s="78"/>
      <c r="Q795" s="78"/>
      <c r="R795" s="78"/>
      <c r="S795" s="79"/>
      <c r="T795" s="79"/>
      <c r="U795" s="79"/>
      <c r="V795" s="79"/>
      <c r="W795" s="79"/>
      <c r="X795" s="79"/>
      <c r="Y795" s="79"/>
      <c r="Z795" s="79"/>
      <c r="AA795" s="79"/>
    </row>
    <row r="796" spans="1:27" x14ac:dyDescent="0.2">
      <c r="A796" s="73"/>
      <c r="B796" s="74"/>
      <c r="C796" s="74"/>
      <c r="D796" s="74"/>
      <c r="E796" s="74"/>
      <c r="F796" s="74"/>
      <c r="G796" s="75"/>
      <c r="H796" s="75"/>
      <c r="I796" s="76"/>
      <c r="J796" s="77"/>
      <c r="K796" s="76"/>
      <c r="L796" s="76"/>
      <c r="M796" s="74"/>
      <c r="N796" s="74"/>
      <c r="O796" s="78"/>
      <c r="P796" s="78"/>
      <c r="Q796" s="78"/>
      <c r="R796" s="78"/>
      <c r="S796" s="79"/>
      <c r="T796" s="79"/>
      <c r="U796" s="79"/>
      <c r="V796" s="79"/>
      <c r="W796" s="79"/>
      <c r="X796" s="79"/>
      <c r="Y796" s="79"/>
      <c r="Z796" s="79"/>
      <c r="AA796" s="79"/>
    </row>
    <row r="797" spans="1:27" x14ac:dyDescent="0.2">
      <c r="A797" s="73"/>
      <c r="B797" s="74"/>
      <c r="C797" s="74"/>
      <c r="D797" s="74"/>
      <c r="E797" s="74"/>
      <c r="F797" s="74"/>
      <c r="G797" s="75"/>
      <c r="H797" s="75"/>
      <c r="I797" s="76"/>
      <c r="J797" s="77"/>
      <c r="K797" s="76"/>
      <c r="L797" s="76"/>
      <c r="M797" s="74"/>
      <c r="N797" s="74"/>
      <c r="O797" s="78"/>
      <c r="P797" s="78"/>
      <c r="Q797" s="78"/>
      <c r="R797" s="78"/>
      <c r="S797" s="79"/>
      <c r="T797" s="79"/>
      <c r="U797" s="79"/>
      <c r="V797" s="79"/>
      <c r="W797" s="79"/>
      <c r="X797" s="79"/>
      <c r="Y797" s="79"/>
      <c r="Z797" s="79"/>
      <c r="AA797" s="79"/>
    </row>
    <row r="798" spans="1:27" x14ac:dyDescent="0.2">
      <c r="A798" s="73"/>
      <c r="B798" s="74"/>
      <c r="C798" s="74"/>
      <c r="D798" s="74"/>
      <c r="E798" s="74"/>
      <c r="F798" s="74"/>
      <c r="G798" s="75"/>
      <c r="H798" s="75"/>
      <c r="I798" s="76"/>
      <c r="J798" s="77"/>
      <c r="K798" s="76"/>
      <c r="L798" s="76"/>
      <c r="M798" s="74"/>
      <c r="N798" s="74"/>
      <c r="O798" s="78"/>
      <c r="P798" s="78"/>
      <c r="Q798" s="78"/>
      <c r="R798" s="78"/>
      <c r="S798" s="79"/>
      <c r="T798" s="79"/>
      <c r="U798" s="79"/>
      <c r="V798" s="79"/>
      <c r="W798" s="79"/>
      <c r="X798" s="79"/>
      <c r="Y798" s="79"/>
      <c r="Z798" s="79"/>
      <c r="AA798" s="79"/>
    </row>
    <row r="799" spans="1:27" x14ac:dyDescent="0.2">
      <c r="A799" s="73"/>
      <c r="B799" s="74"/>
      <c r="C799" s="74"/>
      <c r="D799" s="74"/>
      <c r="E799" s="74"/>
      <c r="F799" s="74"/>
      <c r="G799" s="75"/>
      <c r="H799" s="75"/>
      <c r="I799" s="76"/>
      <c r="J799" s="77"/>
      <c r="K799" s="76"/>
      <c r="L799" s="76"/>
      <c r="M799" s="74"/>
      <c r="N799" s="74"/>
      <c r="O799" s="78"/>
      <c r="P799" s="78"/>
      <c r="Q799" s="78"/>
      <c r="R799" s="78"/>
      <c r="S799" s="79"/>
      <c r="T799" s="79"/>
      <c r="U799" s="79"/>
      <c r="V799" s="79"/>
      <c r="W799" s="79"/>
      <c r="X799" s="79"/>
      <c r="Y799" s="79"/>
      <c r="Z799" s="79"/>
      <c r="AA799" s="79"/>
    </row>
    <row r="800" spans="1:27" x14ac:dyDescent="0.2">
      <c r="A800" s="73"/>
      <c r="B800" s="74"/>
      <c r="C800" s="74"/>
      <c r="D800" s="74"/>
      <c r="E800" s="74"/>
      <c r="F800" s="74"/>
      <c r="G800" s="75"/>
      <c r="H800" s="75"/>
      <c r="I800" s="76"/>
      <c r="J800" s="77"/>
      <c r="K800" s="76"/>
      <c r="L800" s="76"/>
      <c r="M800" s="74"/>
      <c r="N800" s="74"/>
      <c r="O800" s="78"/>
      <c r="P800" s="78"/>
      <c r="Q800" s="78"/>
      <c r="R800" s="78"/>
      <c r="S800" s="79"/>
      <c r="T800" s="79"/>
      <c r="U800" s="79"/>
      <c r="V800" s="79"/>
      <c r="W800" s="79"/>
      <c r="X800" s="79"/>
      <c r="Y800" s="79"/>
      <c r="Z800" s="79"/>
      <c r="AA800" s="79"/>
    </row>
    <row r="801" spans="1:27" x14ac:dyDescent="0.2">
      <c r="A801" s="73"/>
      <c r="B801" s="74"/>
      <c r="C801" s="74"/>
      <c r="D801" s="74"/>
      <c r="E801" s="74"/>
      <c r="F801" s="74"/>
      <c r="G801" s="75"/>
      <c r="H801" s="75"/>
      <c r="I801" s="76"/>
      <c r="J801" s="77"/>
      <c r="K801" s="76"/>
      <c r="L801" s="76"/>
      <c r="M801" s="74"/>
      <c r="N801" s="74"/>
      <c r="O801" s="78"/>
      <c r="P801" s="78"/>
      <c r="Q801" s="78"/>
      <c r="R801" s="78"/>
      <c r="S801" s="79"/>
      <c r="T801" s="79"/>
      <c r="U801" s="79"/>
      <c r="V801" s="79"/>
      <c r="W801" s="79"/>
      <c r="X801" s="79"/>
      <c r="Y801" s="79"/>
      <c r="Z801" s="79"/>
      <c r="AA801" s="79"/>
    </row>
    <row r="802" spans="1:27" x14ac:dyDescent="0.2">
      <c r="A802" s="73"/>
      <c r="B802" s="74"/>
      <c r="C802" s="74"/>
      <c r="D802" s="74"/>
      <c r="E802" s="74"/>
      <c r="F802" s="74"/>
      <c r="G802" s="75"/>
      <c r="H802" s="75"/>
      <c r="I802" s="76"/>
      <c r="J802" s="77"/>
      <c r="K802" s="76"/>
      <c r="L802" s="76"/>
      <c r="M802" s="74"/>
      <c r="N802" s="74"/>
      <c r="O802" s="78"/>
      <c r="P802" s="78"/>
      <c r="Q802" s="78"/>
      <c r="R802" s="78"/>
      <c r="S802" s="79"/>
      <c r="T802" s="79"/>
      <c r="U802" s="79"/>
      <c r="V802" s="79"/>
      <c r="W802" s="79"/>
      <c r="X802" s="79"/>
      <c r="Y802" s="79"/>
      <c r="Z802" s="79"/>
      <c r="AA802" s="79"/>
    </row>
    <row r="803" spans="1:27" x14ac:dyDescent="0.2">
      <c r="A803" s="73"/>
      <c r="B803" s="74"/>
      <c r="C803" s="74"/>
      <c r="D803" s="74"/>
      <c r="E803" s="74"/>
      <c r="F803" s="74"/>
      <c r="G803" s="75"/>
      <c r="H803" s="75"/>
      <c r="I803" s="76"/>
      <c r="J803" s="77"/>
      <c r="K803" s="76"/>
      <c r="L803" s="76"/>
      <c r="M803" s="74"/>
      <c r="N803" s="74"/>
      <c r="O803" s="78"/>
      <c r="P803" s="78"/>
      <c r="Q803" s="78"/>
      <c r="R803" s="78"/>
      <c r="S803" s="79"/>
      <c r="T803" s="79"/>
      <c r="U803" s="79"/>
      <c r="V803" s="79"/>
      <c r="W803" s="79"/>
      <c r="X803" s="79"/>
      <c r="Y803" s="79"/>
      <c r="Z803" s="79"/>
      <c r="AA803" s="79"/>
    </row>
    <row r="804" spans="1:27" x14ac:dyDescent="0.2">
      <c r="A804" s="73"/>
      <c r="B804" s="74"/>
      <c r="C804" s="74"/>
      <c r="D804" s="74"/>
      <c r="E804" s="74"/>
      <c r="F804" s="74"/>
      <c r="G804" s="75"/>
      <c r="H804" s="75"/>
      <c r="I804" s="76"/>
      <c r="J804" s="77"/>
      <c r="K804" s="76"/>
      <c r="L804" s="76"/>
      <c r="M804" s="74"/>
      <c r="N804" s="74"/>
      <c r="O804" s="78"/>
      <c r="P804" s="78"/>
      <c r="Q804" s="78"/>
      <c r="R804" s="78"/>
      <c r="S804" s="79"/>
      <c r="T804" s="79"/>
      <c r="U804" s="79"/>
      <c r="V804" s="79"/>
      <c r="W804" s="79"/>
      <c r="X804" s="79"/>
      <c r="Y804" s="79"/>
      <c r="Z804" s="79"/>
      <c r="AA804" s="79"/>
    </row>
    <row r="805" spans="1:27" x14ac:dyDescent="0.2">
      <c r="A805" s="73"/>
      <c r="B805" s="74"/>
      <c r="C805" s="74"/>
      <c r="D805" s="74"/>
      <c r="E805" s="74"/>
      <c r="F805" s="74"/>
      <c r="G805" s="75"/>
      <c r="H805" s="75"/>
      <c r="I805" s="76"/>
      <c r="J805" s="77"/>
      <c r="K805" s="76"/>
      <c r="L805" s="76"/>
      <c r="M805" s="74"/>
      <c r="N805" s="74"/>
      <c r="O805" s="78"/>
      <c r="P805" s="78"/>
      <c r="Q805" s="78"/>
      <c r="R805" s="78"/>
      <c r="S805" s="79"/>
      <c r="T805" s="79"/>
      <c r="U805" s="79"/>
      <c r="V805" s="79"/>
      <c r="W805" s="79"/>
      <c r="X805" s="79"/>
      <c r="Y805" s="79"/>
      <c r="Z805" s="79"/>
      <c r="AA805" s="79"/>
    </row>
    <row r="806" spans="1:27" x14ac:dyDescent="0.2">
      <c r="A806" s="73"/>
      <c r="B806" s="74"/>
      <c r="C806" s="74"/>
      <c r="D806" s="74"/>
      <c r="E806" s="74"/>
      <c r="F806" s="74"/>
      <c r="G806" s="75"/>
      <c r="H806" s="75"/>
      <c r="I806" s="76"/>
      <c r="J806" s="77"/>
      <c r="K806" s="76"/>
      <c r="L806" s="76"/>
      <c r="M806" s="74"/>
      <c r="N806" s="74"/>
      <c r="O806" s="78"/>
      <c r="P806" s="78"/>
      <c r="Q806" s="78"/>
      <c r="R806" s="78"/>
      <c r="S806" s="79"/>
      <c r="T806" s="79"/>
      <c r="U806" s="79"/>
      <c r="V806" s="79"/>
      <c r="W806" s="79"/>
      <c r="X806" s="79"/>
      <c r="Y806" s="79"/>
      <c r="Z806" s="79"/>
      <c r="AA806" s="79"/>
    </row>
    <row r="807" spans="1:27" x14ac:dyDescent="0.2">
      <c r="A807" s="73"/>
      <c r="B807" s="74"/>
      <c r="C807" s="74"/>
      <c r="D807" s="74"/>
      <c r="E807" s="74"/>
      <c r="F807" s="74"/>
      <c r="G807" s="75"/>
      <c r="H807" s="75"/>
      <c r="I807" s="76"/>
      <c r="J807" s="77"/>
      <c r="K807" s="76"/>
      <c r="L807" s="76"/>
      <c r="M807" s="74"/>
      <c r="N807" s="74"/>
      <c r="O807" s="78"/>
      <c r="P807" s="78"/>
      <c r="Q807" s="78"/>
      <c r="R807" s="78"/>
      <c r="S807" s="79"/>
      <c r="T807" s="79"/>
      <c r="U807" s="79"/>
      <c r="V807" s="79"/>
      <c r="W807" s="79"/>
      <c r="X807" s="79"/>
      <c r="Y807" s="79"/>
      <c r="Z807" s="79"/>
      <c r="AA807" s="79"/>
    </row>
    <row r="808" spans="1:27" x14ac:dyDescent="0.2">
      <c r="A808" s="73"/>
      <c r="B808" s="74"/>
      <c r="C808" s="74"/>
      <c r="D808" s="74"/>
      <c r="E808" s="74"/>
      <c r="F808" s="74"/>
      <c r="G808" s="75"/>
      <c r="H808" s="75"/>
      <c r="I808" s="76"/>
      <c r="J808" s="77"/>
      <c r="K808" s="76"/>
      <c r="L808" s="76"/>
      <c r="M808" s="74"/>
      <c r="N808" s="74"/>
      <c r="O808" s="78"/>
      <c r="P808" s="78"/>
      <c r="Q808" s="78"/>
      <c r="R808" s="78"/>
      <c r="S808" s="79"/>
      <c r="T808" s="79"/>
      <c r="U808" s="79"/>
      <c r="V808" s="79"/>
      <c r="W808" s="79"/>
      <c r="X808" s="79"/>
      <c r="Y808" s="79"/>
      <c r="Z808" s="79"/>
      <c r="AA808" s="79"/>
    </row>
    <row r="809" spans="1:27" x14ac:dyDescent="0.2">
      <c r="A809" s="73"/>
      <c r="B809" s="74"/>
      <c r="C809" s="74"/>
      <c r="D809" s="74"/>
      <c r="E809" s="74"/>
      <c r="F809" s="74"/>
      <c r="G809" s="75"/>
      <c r="H809" s="75"/>
      <c r="I809" s="76"/>
      <c r="J809" s="77"/>
      <c r="K809" s="76"/>
      <c r="L809" s="76"/>
      <c r="M809" s="74"/>
      <c r="N809" s="74"/>
      <c r="O809" s="78"/>
      <c r="P809" s="78"/>
      <c r="Q809" s="78"/>
      <c r="R809" s="78"/>
      <c r="S809" s="79"/>
      <c r="T809" s="79"/>
      <c r="U809" s="79"/>
      <c r="V809" s="79"/>
      <c r="W809" s="79"/>
      <c r="X809" s="79"/>
      <c r="Y809" s="79"/>
      <c r="Z809" s="79"/>
      <c r="AA809" s="79"/>
    </row>
    <row r="810" spans="1:27" x14ac:dyDescent="0.2">
      <c r="A810" s="73"/>
      <c r="B810" s="74"/>
      <c r="C810" s="74"/>
      <c r="D810" s="74"/>
      <c r="E810" s="74"/>
      <c r="F810" s="74"/>
      <c r="G810" s="75"/>
      <c r="H810" s="75"/>
      <c r="I810" s="76"/>
      <c r="J810" s="77"/>
      <c r="K810" s="76"/>
      <c r="L810" s="76"/>
      <c r="M810" s="74"/>
      <c r="N810" s="74"/>
      <c r="O810" s="78"/>
      <c r="P810" s="78"/>
      <c r="Q810" s="78"/>
      <c r="R810" s="78"/>
      <c r="S810" s="79"/>
      <c r="T810" s="79"/>
      <c r="U810" s="79"/>
      <c r="V810" s="79"/>
      <c r="W810" s="79"/>
      <c r="X810" s="79"/>
      <c r="Y810" s="79"/>
      <c r="Z810" s="79"/>
      <c r="AA810" s="79"/>
    </row>
    <row r="811" spans="1:27" x14ac:dyDescent="0.2">
      <c r="A811" s="73"/>
      <c r="B811" s="74"/>
      <c r="C811" s="74"/>
      <c r="D811" s="74"/>
      <c r="E811" s="74"/>
      <c r="F811" s="74"/>
      <c r="G811" s="75"/>
      <c r="H811" s="75"/>
      <c r="I811" s="76"/>
      <c r="J811" s="77"/>
      <c r="K811" s="76"/>
      <c r="L811" s="76"/>
      <c r="M811" s="74"/>
      <c r="N811" s="74"/>
      <c r="O811" s="78"/>
      <c r="P811" s="78"/>
      <c r="Q811" s="78"/>
      <c r="R811" s="78"/>
      <c r="S811" s="79"/>
      <c r="T811" s="79"/>
      <c r="U811" s="79"/>
      <c r="V811" s="79"/>
      <c r="W811" s="79"/>
      <c r="X811" s="79"/>
      <c r="Y811" s="79"/>
      <c r="Z811" s="79"/>
      <c r="AA811" s="79"/>
    </row>
    <row r="812" spans="1:27" x14ac:dyDescent="0.2">
      <c r="A812" s="73"/>
      <c r="B812" s="74"/>
      <c r="C812" s="74"/>
      <c r="D812" s="74"/>
      <c r="E812" s="74"/>
      <c r="F812" s="74"/>
      <c r="G812" s="75"/>
      <c r="H812" s="75"/>
      <c r="I812" s="76"/>
      <c r="J812" s="77"/>
      <c r="K812" s="76"/>
      <c r="L812" s="76"/>
      <c r="M812" s="74"/>
      <c r="N812" s="74"/>
      <c r="O812" s="78"/>
      <c r="P812" s="78"/>
      <c r="Q812" s="78"/>
      <c r="R812" s="78"/>
      <c r="S812" s="79"/>
      <c r="T812" s="79"/>
      <c r="U812" s="79"/>
      <c r="V812" s="79"/>
      <c r="W812" s="79"/>
      <c r="X812" s="79"/>
      <c r="Y812" s="79"/>
      <c r="Z812" s="79"/>
      <c r="AA812" s="79"/>
    </row>
    <row r="813" spans="1:27" x14ac:dyDescent="0.2">
      <c r="A813" s="73"/>
      <c r="B813" s="74"/>
      <c r="C813" s="74"/>
      <c r="D813" s="74"/>
      <c r="E813" s="74"/>
      <c r="F813" s="74"/>
      <c r="G813" s="75"/>
      <c r="H813" s="75"/>
      <c r="I813" s="76"/>
      <c r="J813" s="77"/>
      <c r="K813" s="76"/>
      <c r="L813" s="76"/>
      <c r="M813" s="74"/>
      <c r="N813" s="74"/>
      <c r="O813" s="78"/>
      <c r="P813" s="78"/>
      <c r="Q813" s="78"/>
      <c r="R813" s="78"/>
      <c r="S813" s="79"/>
      <c r="T813" s="79"/>
      <c r="U813" s="79"/>
      <c r="V813" s="79"/>
      <c r="W813" s="79"/>
      <c r="X813" s="79"/>
      <c r="Y813" s="79"/>
      <c r="Z813" s="79"/>
      <c r="AA813" s="79"/>
    </row>
    <row r="814" spans="1:27" x14ac:dyDescent="0.2">
      <c r="A814" s="73"/>
      <c r="B814" s="74"/>
      <c r="C814" s="74"/>
      <c r="D814" s="74"/>
      <c r="E814" s="74"/>
      <c r="F814" s="74"/>
      <c r="G814" s="75"/>
      <c r="H814" s="75"/>
      <c r="I814" s="76"/>
      <c r="J814" s="77"/>
      <c r="K814" s="76"/>
      <c r="L814" s="76"/>
      <c r="M814" s="74"/>
      <c r="N814" s="74"/>
      <c r="O814" s="78"/>
      <c r="P814" s="78"/>
      <c r="Q814" s="78"/>
      <c r="R814" s="78"/>
      <c r="S814" s="79"/>
      <c r="T814" s="79"/>
      <c r="U814" s="79"/>
      <c r="V814" s="79"/>
      <c r="W814" s="79"/>
      <c r="X814" s="79"/>
      <c r="Y814" s="79"/>
      <c r="Z814" s="79"/>
      <c r="AA814" s="79"/>
    </row>
    <row r="815" spans="1:27" x14ac:dyDescent="0.2">
      <c r="A815" s="73"/>
      <c r="B815" s="74"/>
      <c r="C815" s="74"/>
      <c r="D815" s="74"/>
      <c r="E815" s="74"/>
      <c r="F815" s="74"/>
      <c r="G815" s="75"/>
      <c r="H815" s="75"/>
      <c r="I815" s="76"/>
      <c r="J815" s="77"/>
      <c r="K815" s="76"/>
      <c r="L815" s="76"/>
      <c r="M815" s="74"/>
      <c r="N815" s="74"/>
      <c r="O815" s="78"/>
      <c r="P815" s="78"/>
      <c r="Q815" s="78"/>
      <c r="R815" s="78"/>
      <c r="S815" s="79"/>
      <c r="T815" s="79"/>
      <c r="U815" s="79"/>
      <c r="V815" s="79"/>
      <c r="W815" s="79"/>
      <c r="X815" s="79"/>
      <c r="Y815" s="79"/>
      <c r="Z815" s="79"/>
      <c r="AA815" s="79"/>
    </row>
    <row r="816" spans="1:27" x14ac:dyDescent="0.2">
      <c r="A816" s="73"/>
      <c r="B816" s="74"/>
      <c r="C816" s="74"/>
      <c r="D816" s="74"/>
      <c r="E816" s="74"/>
      <c r="F816" s="74"/>
      <c r="G816" s="75"/>
      <c r="H816" s="75"/>
      <c r="I816" s="76"/>
      <c r="J816" s="77"/>
      <c r="K816" s="76"/>
      <c r="L816" s="76"/>
      <c r="M816" s="74"/>
      <c r="N816" s="74"/>
      <c r="O816" s="78"/>
      <c r="P816" s="78"/>
      <c r="Q816" s="78"/>
      <c r="R816" s="78"/>
      <c r="S816" s="79"/>
      <c r="T816" s="79"/>
      <c r="U816" s="79"/>
      <c r="V816" s="79"/>
      <c r="W816" s="79"/>
      <c r="X816" s="79"/>
      <c r="Y816" s="79"/>
      <c r="Z816" s="79"/>
      <c r="AA816" s="79"/>
    </row>
    <row r="817" spans="1:27" x14ac:dyDescent="0.2">
      <c r="A817" s="73"/>
      <c r="B817" s="74"/>
      <c r="C817" s="74"/>
      <c r="D817" s="74"/>
      <c r="E817" s="74"/>
      <c r="F817" s="74"/>
      <c r="G817" s="75"/>
      <c r="H817" s="75"/>
      <c r="I817" s="76"/>
      <c r="J817" s="77"/>
      <c r="K817" s="76"/>
      <c r="L817" s="76"/>
      <c r="M817" s="74"/>
      <c r="N817" s="74"/>
      <c r="O817" s="78"/>
      <c r="P817" s="78"/>
      <c r="Q817" s="78"/>
      <c r="R817" s="78"/>
      <c r="S817" s="79"/>
      <c r="T817" s="79"/>
      <c r="U817" s="79"/>
      <c r="V817" s="79"/>
      <c r="W817" s="79"/>
      <c r="X817" s="79"/>
      <c r="Y817" s="79"/>
      <c r="Z817" s="79"/>
      <c r="AA817" s="79"/>
    </row>
    <row r="818" spans="1:27" x14ac:dyDescent="0.2">
      <c r="A818" s="73"/>
      <c r="B818" s="74"/>
      <c r="C818" s="74"/>
      <c r="D818" s="74"/>
      <c r="E818" s="74"/>
      <c r="F818" s="74"/>
      <c r="G818" s="75"/>
      <c r="H818" s="75"/>
      <c r="I818" s="76"/>
      <c r="J818" s="77"/>
      <c r="K818" s="76"/>
      <c r="L818" s="76"/>
      <c r="M818" s="74"/>
      <c r="N818" s="74"/>
      <c r="O818" s="78"/>
      <c r="P818" s="78"/>
      <c r="Q818" s="78"/>
      <c r="R818" s="78"/>
      <c r="S818" s="79"/>
      <c r="T818" s="79"/>
      <c r="U818" s="79"/>
      <c r="V818" s="79"/>
      <c r="W818" s="79"/>
      <c r="X818" s="79"/>
      <c r="Y818" s="79"/>
      <c r="Z818" s="79"/>
      <c r="AA818" s="79"/>
    </row>
    <row r="819" spans="1:27" x14ac:dyDescent="0.2">
      <c r="A819" s="73"/>
      <c r="B819" s="74"/>
      <c r="C819" s="74"/>
      <c r="D819" s="74"/>
      <c r="E819" s="74"/>
      <c r="F819" s="74"/>
      <c r="G819" s="75"/>
      <c r="H819" s="75"/>
      <c r="I819" s="76"/>
      <c r="J819" s="77"/>
      <c r="K819" s="76"/>
      <c r="L819" s="76"/>
      <c r="M819" s="74"/>
      <c r="N819" s="74"/>
      <c r="O819" s="78"/>
      <c r="P819" s="78"/>
      <c r="Q819" s="78"/>
      <c r="R819" s="78"/>
      <c r="S819" s="79"/>
      <c r="T819" s="79"/>
      <c r="U819" s="79"/>
      <c r="V819" s="79"/>
      <c r="W819" s="79"/>
      <c r="X819" s="79"/>
      <c r="Y819" s="79"/>
      <c r="Z819" s="79"/>
      <c r="AA819" s="79"/>
    </row>
    <row r="820" spans="1:27" x14ac:dyDescent="0.2">
      <c r="A820" s="73"/>
      <c r="B820" s="74"/>
      <c r="C820" s="74"/>
      <c r="D820" s="74"/>
      <c r="E820" s="74"/>
      <c r="F820" s="74"/>
      <c r="G820" s="75"/>
      <c r="H820" s="75"/>
      <c r="I820" s="76"/>
      <c r="J820" s="77"/>
      <c r="K820" s="76"/>
      <c r="L820" s="76"/>
      <c r="M820" s="74"/>
      <c r="N820" s="74"/>
      <c r="O820" s="78"/>
      <c r="P820" s="78"/>
      <c r="Q820" s="78"/>
      <c r="R820" s="78"/>
      <c r="S820" s="79"/>
      <c r="T820" s="79"/>
      <c r="U820" s="79"/>
      <c r="V820" s="79"/>
      <c r="W820" s="79"/>
      <c r="X820" s="79"/>
      <c r="Y820" s="79"/>
      <c r="Z820" s="79"/>
      <c r="AA820" s="79"/>
    </row>
    <row r="821" spans="1:27" x14ac:dyDescent="0.2">
      <c r="A821" s="73"/>
      <c r="B821" s="74"/>
      <c r="C821" s="74"/>
      <c r="D821" s="74"/>
      <c r="E821" s="74"/>
      <c r="F821" s="74"/>
      <c r="G821" s="75"/>
      <c r="H821" s="75"/>
      <c r="I821" s="76"/>
      <c r="J821" s="77"/>
      <c r="K821" s="76"/>
      <c r="L821" s="76"/>
      <c r="M821" s="74"/>
      <c r="N821" s="74"/>
      <c r="O821" s="78"/>
      <c r="P821" s="78"/>
      <c r="Q821" s="78"/>
      <c r="R821" s="78"/>
      <c r="S821" s="79"/>
      <c r="T821" s="79"/>
      <c r="U821" s="79"/>
      <c r="V821" s="79"/>
      <c r="W821" s="79"/>
      <c r="X821" s="79"/>
      <c r="Y821" s="79"/>
      <c r="Z821" s="79"/>
      <c r="AA821" s="79"/>
    </row>
    <row r="822" spans="1:27" x14ac:dyDescent="0.2">
      <c r="A822" s="73"/>
      <c r="B822" s="74"/>
      <c r="C822" s="74"/>
      <c r="D822" s="74"/>
      <c r="E822" s="74"/>
      <c r="F822" s="74"/>
      <c r="G822" s="75"/>
      <c r="H822" s="75"/>
      <c r="I822" s="76"/>
      <c r="J822" s="77"/>
      <c r="K822" s="76"/>
      <c r="L822" s="76"/>
      <c r="M822" s="74"/>
      <c r="N822" s="74"/>
      <c r="O822" s="78"/>
      <c r="P822" s="78"/>
      <c r="Q822" s="78"/>
      <c r="R822" s="78"/>
      <c r="S822" s="79"/>
      <c r="T822" s="79"/>
      <c r="U822" s="79"/>
      <c r="V822" s="79"/>
      <c r="W822" s="79"/>
      <c r="X822" s="79"/>
      <c r="Y822" s="79"/>
      <c r="Z822" s="79"/>
      <c r="AA822" s="79"/>
    </row>
    <row r="823" spans="1:27" x14ac:dyDescent="0.2">
      <c r="A823" s="73"/>
      <c r="B823" s="74"/>
      <c r="C823" s="74"/>
      <c r="D823" s="74"/>
      <c r="E823" s="74"/>
      <c r="F823" s="74"/>
      <c r="G823" s="75"/>
      <c r="H823" s="75"/>
      <c r="I823" s="76"/>
      <c r="J823" s="77"/>
      <c r="K823" s="76"/>
      <c r="L823" s="76"/>
      <c r="M823" s="74"/>
      <c r="N823" s="74"/>
      <c r="O823" s="78"/>
      <c r="P823" s="78"/>
      <c r="Q823" s="78"/>
      <c r="R823" s="78"/>
      <c r="S823" s="79"/>
      <c r="T823" s="79"/>
      <c r="U823" s="79"/>
      <c r="V823" s="79"/>
      <c r="W823" s="79"/>
      <c r="X823" s="79"/>
      <c r="Y823" s="79"/>
      <c r="Z823" s="79"/>
      <c r="AA823" s="79"/>
    </row>
    <row r="824" spans="1:27" x14ac:dyDescent="0.2">
      <c r="A824" s="73"/>
      <c r="B824" s="74"/>
      <c r="C824" s="74"/>
      <c r="D824" s="74"/>
      <c r="E824" s="74"/>
      <c r="F824" s="74"/>
      <c r="G824" s="75"/>
      <c r="H824" s="75"/>
      <c r="I824" s="76"/>
      <c r="J824" s="77"/>
      <c r="K824" s="76"/>
      <c r="L824" s="76"/>
      <c r="M824" s="74"/>
      <c r="N824" s="74"/>
      <c r="O824" s="78"/>
      <c r="P824" s="78"/>
      <c r="Q824" s="78"/>
      <c r="R824" s="78"/>
      <c r="S824" s="79"/>
      <c r="T824" s="79"/>
      <c r="U824" s="79"/>
      <c r="V824" s="79"/>
      <c r="W824" s="79"/>
      <c r="X824" s="79"/>
      <c r="Y824" s="79"/>
      <c r="Z824" s="79"/>
      <c r="AA824" s="79"/>
    </row>
    <row r="825" spans="1:27" x14ac:dyDescent="0.2">
      <c r="A825" s="73"/>
      <c r="B825" s="74"/>
      <c r="C825" s="74"/>
      <c r="D825" s="74"/>
      <c r="E825" s="74"/>
      <c r="F825" s="74"/>
      <c r="G825" s="75"/>
      <c r="H825" s="75"/>
      <c r="I825" s="76"/>
      <c r="J825" s="77"/>
      <c r="K825" s="76"/>
      <c r="L825" s="76"/>
      <c r="M825" s="74"/>
      <c r="N825" s="74"/>
      <c r="O825" s="78"/>
      <c r="P825" s="78"/>
      <c r="Q825" s="78"/>
      <c r="R825" s="78"/>
      <c r="S825" s="79"/>
      <c r="T825" s="79"/>
      <c r="U825" s="79"/>
      <c r="V825" s="79"/>
      <c r="W825" s="79"/>
      <c r="X825" s="79"/>
      <c r="Y825" s="79"/>
      <c r="Z825" s="79"/>
      <c r="AA825" s="79"/>
    </row>
    <row r="826" spans="1:27" x14ac:dyDescent="0.2">
      <c r="A826" s="73"/>
      <c r="B826" s="74"/>
      <c r="C826" s="74"/>
      <c r="D826" s="74"/>
      <c r="E826" s="74"/>
      <c r="F826" s="74"/>
      <c r="G826" s="75"/>
      <c r="H826" s="75"/>
      <c r="I826" s="76"/>
      <c r="J826" s="77"/>
      <c r="K826" s="76"/>
      <c r="L826" s="76"/>
      <c r="M826" s="74"/>
      <c r="N826" s="74"/>
      <c r="O826" s="78"/>
      <c r="P826" s="78"/>
      <c r="Q826" s="78"/>
      <c r="R826" s="78"/>
      <c r="S826" s="79"/>
      <c r="T826" s="79"/>
      <c r="U826" s="79"/>
      <c r="V826" s="79"/>
      <c r="W826" s="79"/>
      <c r="X826" s="79"/>
      <c r="Y826" s="79"/>
      <c r="Z826" s="79"/>
      <c r="AA826" s="79"/>
    </row>
    <row r="827" spans="1:27" x14ac:dyDescent="0.2">
      <c r="A827" s="73"/>
      <c r="B827" s="74"/>
      <c r="C827" s="74"/>
      <c r="D827" s="74"/>
      <c r="E827" s="74"/>
      <c r="F827" s="74"/>
      <c r="G827" s="75"/>
      <c r="H827" s="75"/>
      <c r="I827" s="76"/>
      <c r="J827" s="77"/>
      <c r="K827" s="76"/>
      <c r="L827" s="76"/>
      <c r="M827" s="74"/>
      <c r="N827" s="74"/>
      <c r="O827" s="78"/>
      <c r="P827" s="78"/>
      <c r="Q827" s="78"/>
      <c r="R827" s="78"/>
      <c r="S827" s="79"/>
      <c r="T827" s="79"/>
      <c r="U827" s="79"/>
      <c r="V827" s="79"/>
      <c r="W827" s="79"/>
      <c r="X827" s="79"/>
      <c r="Y827" s="79"/>
      <c r="Z827" s="79"/>
      <c r="AA827" s="79"/>
    </row>
    <row r="828" spans="1:27" x14ac:dyDescent="0.2">
      <c r="A828" s="73"/>
      <c r="B828" s="74"/>
      <c r="C828" s="74"/>
      <c r="D828" s="74"/>
      <c r="E828" s="74"/>
      <c r="F828" s="74"/>
      <c r="G828" s="75"/>
      <c r="H828" s="75"/>
      <c r="I828" s="76"/>
      <c r="J828" s="77"/>
      <c r="K828" s="76"/>
      <c r="L828" s="76"/>
      <c r="M828" s="74"/>
      <c r="N828" s="74"/>
      <c r="O828" s="78"/>
      <c r="P828" s="78"/>
      <c r="Q828" s="78"/>
      <c r="R828" s="78"/>
      <c r="S828" s="79"/>
      <c r="T828" s="79"/>
      <c r="U828" s="79"/>
      <c r="V828" s="79"/>
      <c r="W828" s="79"/>
      <c r="X828" s="79"/>
      <c r="Y828" s="79"/>
      <c r="Z828" s="79"/>
      <c r="AA828" s="79"/>
    </row>
    <row r="829" spans="1:27" x14ac:dyDescent="0.2">
      <c r="A829" s="73"/>
      <c r="B829" s="74"/>
      <c r="C829" s="74"/>
      <c r="D829" s="74"/>
      <c r="E829" s="74"/>
      <c r="F829" s="74"/>
      <c r="G829" s="75"/>
      <c r="H829" s="75"/>
      <c r="I829" s="76"/>
      <c r="J829" s="77"/>
      <c r="K829" s="76"/>
      <c r="L829" s="76"/>
      <c r="M829" s="74"/>
      <c r="N829" s="74"/>
      <c r="O829" s="78"/>
      <c r="P829" s="78"/>
      <c r="Q829" s="78"/>
      <c r="R829" s="78"/>
      <c r="S829" s="79"/>
      <c r="T829" s="79"/>
      <c r="U829" s="79"/>
      <c r="V829" s="79"/>
      <c r="W829" s="79"/>
      <c r="X829" s="79"/>
      <c r="Y829" s="79"/>
      <c r="Z829" s="79"/>
      <c r="AA829" s="79"/>
    </row>
    <row r="830" spans="1:27" x14ac:dyDescent="0.2">
      <c r="A830" s="73"/>
      <c r="B830" s="74"/>
      <c r="C830" s="74"/>
      <c r="D830" s="74"/>
      <c r="E830" s="74"/>
      <c r="F830" s="74"/>
      <c r="G830" s="75"/>
      <c r="H830" s="75"/>
      <c r="I830" s="76"/>
      <c r="J830" s="77"/>
      <c r="K830" s="76"/>
      <c r="L830" s="76"/>
      <c r="M830" s="74"/>
      <c r="N830" s="74"/>
      <c r="O830" s="78"/>
      <c r="P830" s="78"/>
      <c r="Q830" s="78"/>
      <c r="R830" s="78"/>
      <c r="S830" s="79"/>
      <c r="T830" s="79"/>
      <c r="U830" s="79"/>
      <c r="V830" s="79"/>
      <c r="W830" s="79"/>
      <c r="X830" s="79"/>
      <c r="Y830" s="79"/>
      <c r="Z830" s="79"/>
      <c r="AA830" s="79"/>
    </row>
    <row r="831" spans="1:27" x14ac:dyDescent="0.2">
      <c r="A831" s="73"/>
      <c r="B831" s="74"/>
      <c r="C831" s="74"/>
      <c r="D831" s="74"/>
      <c r="E831" s="74"/>
      <c r="F831" s="74"/>
      <c r="G831" s="75"/>
      <c r="H831" s="75"/>
      <c r="I831" s="76"/>
      <c r="J831" s="77"/>
      <c r="K831" s="76"/>
      <c r="L831" s="76"/>
      <c r="M831" s="74"/>
      <c r="N831" s="74"/>
      <c r="O831" s="78"/>
      <c r="P831" s="78"/>
      <c r="Q831" s="78"/>
      <c r="R831" s="78"/>
      <c r="S831" s="79"/>
      <c r="T831" s="79"/>
      <c r="U831" s="79"/>
      <c r="V831" s="79"/>
      <c r="W831" s="79"/>
      <c r="X831" s="79"/>
      <c r="Y831" s="79"/>
      <c r="Z831" s="79"/>
      <c r="AA831" s="79"/>
    </row>
    <row r="832" spans="1:27" x14ac:dyDescent="0.2">
      <c r="A832" s="73"/>
      <c r="B832" s="74"/>
      <c r="C832" s="74"/>
      <c r="D832" s="74"/>
      <c r="E832" s="74"/>
      <c r="F832" s="74"/>
      <c r="G832" s="75"/>
      <c r="H832" s="75"/>
      <c r="I832" s="76"/>
      <c r="J832" s="77"/>
      <c r="K832" s="76"/>
      <c r="L832" s="76"/>
      <c r="M832" s="74"/>
      <c r="N832" s="74"/>
      <c r="O832" s="78"/>
      <c r="P832" s="78"/>
      <c r="Q832" s="78"/>
      <c r="R832" s="78"/>
      <c r="S832" s="79"/>
      <c r="T832" s="79"/>
      <c r="U832" s="79"/>
      <c r="V832" s="79"/>
      <c r="W832" s="79"/>
      <c r="X832" s="79"/>
      <c r="Y832" s="79"/>
      <c r="Z832" s="79"/>
      <c r="AA832" s="79"/>
    </row>
    <row r="833" spans="1:27" x14ac:dyDescent="0.2">
      <c r="A833" s="73"/>
      <c r="B833" s="74"/>
      <c r="C833" s="74"/>
      <c r="D833" s="74"/>
      <c r="E833" s="74"/>
      <c r="F833" s="74"/>
      <c r="G833" s="75"/>
      <c r="H833" s="75"/>
      <c r="I833" s="76"/>
      <c r="J833" s="77"/>
      <c r="K833" s="76"/>
      <c r="L833" s="76"/>
      <c r="M833" s="74"/>
      <c r="N833" s="74"/>
      <c r="O833" s="78"/>
      <c r="P833" s="78"/>
      <c r="Q833" s="78"/>
      <c r="R833" s="78"/>
      <c r="S833" s="79"/>
      <c r="T833" s="79"/>
      <c r="U833" s="79"/>
      <c r="V833" s="79"/>
      <c r="W833" s="79"/>
      <c r="X833" s="79"/>
      <c r="Y833" s="79"/>
      <c r="Z833" s="79"/>
      <c r="AA833" s="79"/>
    </row>
    <row r="834" spans="1:27" x14ac:dyDescent="0.2">
      <c r="A834" s="73"/>
      <c r="B834" s="74"/>
      <c r="C834" s="74"/>
      <c r="D834" s="74"/>
      <c r="E834" s="74"/>
      <c r="F834" s="74"/>
      <c r="G834" s="75"/>
      <c r="H834" s="75"/>
      <c r="I834" s="76"/>
      <c r="J834" s="77"/>
      <c r="K834" s="76"/>
      <c r="L834" s="76"/>
      <c r="M834" s="74"/>
      <c r="N834" s="74"/>
      <c r="O834" s="78"/>
      <c r="P834" s="78"/>
      <c r="Q834" s="78"/>
      <c r="R834" s="78"/>
      <c r="S834" s="79"/>
      <c r="T834" s="79"/>
      <c r="U834" s="79"/>
      <c r="V834" s="79"/>
      <c r="W834" s="79"/>
      <c r="X834" s="79"/>
      <c r="Y834" s="79"/>
      <c r="Z834" s="79"/>
      <c r="AA834" s="79"/>
    </row>
    <row r="835" spans="1:27" x14ac:dyDescent="0.2">
      <c r="A835" s="73"/>
      <c r="B835" s="74"/>
      <c r="C835" s="74"/>
      <c r="D835" s="74"/>
      <c r="E835" s="74"/>
      <c r="F835" s="74"/>
      <c r="G835" s="75"/>
      <c r="H835" s="75"/>
      <c r="I835" s="76"/>
      <c r="J835" s="77"/>
      <c r="K835" s="76"/>
      <c r="L835" s="76"/>
      <c r="M835" s="74"/>
      <c r="N835" s="74"/>
      <c r="O835" s="78"/>
      <c r="P835" s="78"/>
      <c r="Q835" s="78"/>
      <c r="R835" s="78"/>
      <c r="S835" s="79"/>
      <c r="T835" s="79"/>
      <c r="U835" s="79"/>
      <c r="V835" s="79"/>
      <c r="W835" s="79"/>
      <c r="X835" s="79"/>
      <c r="Y835" s="79"/>
      <c r="Z835" s="79"/>
      <c r="AA835" s="79"/>
    </row>
    <row r="836" spans="1:27" x14ac:dyDescent="0.2">
      <c r="A836" s="73"/>
      <c r="B836" s="74"/>
      <c r="C836" s="74"/>
      <c r="D836" s="74"/>
      <c r="E836" s="74"/>
      <c r="F836" s="74"/>
      <c r="G836" s="75"/>
      <c r="H836" s="75"/>
      <c r="I836" s="76"/>
      <c r="J836" s="77"/>
      <c r="K836" s="76"/>
      <c r="L836" s="76"/>
      <c r="M836" s="74"/>
      <c r="N836" s="74"/>
      <c r="O836" s="78"/>
      <c r="P836" s="78"/>
      <c r="Q836" s="78"/>
      <c r="R836" s="78"/>
      <c r="S836" s="79"/>
      <c r="T836" s="79"/>
      <c r="U836" s="79"/>
      <c r="V836" s="79"/>
      <c r="W836" s="79"/>
      <c r="X836" s="79"/>
      <c r="Y836" s="79"/>
      <c r="Z836" s="79"/>
      <c r="AA836" s="79"/>
    </row>
    <row r="837" spans="1:27" x14ac:dyDescent="0.2">
      <c r="A837" s="73"/>
      <c r="B837" s="74"/>
      <c r="C837" s="74"/>
      <c r="D837" s="74"/>
      <c r="E837" s="74"/>
      <c r="F837" s="74"/>
      <c r="G837" s="75"/>
      <c r="H837" s="75"/>
      <c r="I837" s="76"/>
      <c r="J837" s="77"/>
      <c r="K837" s="76"/>
      <c r="L837" s="76"/>
      <c r="M837" s="74"/>
      <c r="N837" s="74"/>
      <c r="O837" s="78"/>
      <c r="P837" s="78"/>
      <c r="Q837" s="78"/>
      <c r="R837" s="78"/>
      <c r="S837" s="79"/>
      <c r="T837" s="79"/>
      <c r="U837" s="79"/>
      <c r="V837" s="79"/>
      <c r="W837" s="79"/>
      <c r="X837" s="79"/>
      <c r="Y837" s="79"/>
      <c r="Z837" s="79"/>
      <c r="AA837" s="79"/>
    </row>
    <row r="838" spans="1:27" x14ac:dyDescent="0.2">
      <c r="A838" s="73"/>
      <c r="B838" s="74"/>
      <c r="C838" s="74"/>
      <c r="D838" s="74"/>
      <c r="E838" s="74"/>
      <c r="F838" s="74"/>
      <c r="G838" s="75"/>
      <c r="H838" s="75"/>
      <c r="I838" s="76"/>
      <c r="J838" s="77"/>
      <c r="K838" s="76"/>
      <c r="L838" s="76"/>
      <c r="M838" s="74"/>
      <c r="N838" s="74"/>
      <c r="O838" s="78"/>
      <c r="P838" s="78"/>
      <c r="Q838" s="78"/>
      <c r="R838" s="78"/>
      <c r="S838" s="79"/>
      <c r="T838" s="79"/>
      <c r="U838" s="79"/>
      <c r="V838" s="79"/>
      <c r="W838" s="79"/>
      <c r="X838" s="79"/>
      <c r="Y838" s="79"/>
      <c r="Z838" s="79"/>
      <c r="AA838" s="79"/>
    </row>
    <row r="839" spans="1:27" x14ac:dyDescent="0.2">
      <c r="A839" s="73"/>
      <c r="B839" s="74"/>
      <c r="C839" s="74"/>
      <c r="D839" s="74"/>
      <c r="E839" s="74"/>
      <c r="F839" s="74"/>
      <c r="G839" s="75"/>
      <c r="H839" s="75"/>
      <c r="I839" s="76"/>
      <c r="J839" s="77"/>
      <c r="K839" s="76"/>
      <c r="L839" s="76"/>
      <c r="M839" s="74"/>
      <c r="N839" s="74"/>
      <c r="O839" s="78"/>
      <c r="P839" s="78"/>
      <c r="Q839" s="78"/>
      <c r="R839" s="78"/>
      <c r="S839" s="79"/>
      <c r="T839" s="79"/>
      <c r="U839" s="79"/>
      <c r="V839" s="79"/>
      <c r="W839" s="79"/>
      <c r="X839" s="79"/>
      <c r="Y839" s="79"/>
      <c r="Z839" s="79"/>
      <c r="AA839" s="79"/>
    </row>
    <row r="840" spans="1:27" x14ac:dyDescent="0.2">
      <c r="A840" s="73"/>
      <c r="B840" s="74"/>
      <c r="C840" s="74"/>
      <c r="D840" s="74"/>
      <c r="E840" s="74"/>
      <c r="F840" s="74"/>
      <c r="G840" s="75"/>
      <c r="H840" s="75"/>
      <c r="I840" s="76"/>
      <c r="J840" s="77"/>
      <c r="K840" s="76"/>
      <c r="L840" s="76"/>
      <c r="M840" s="74"/>
      <c r="N840" s="74"/>
      <c r="O840" s="78"/>
      <c r="P840" s="78"/>
      <c r="Q840" s="78"/>
      <c r="R840" s="78"/>
      <c r="S840" s="79"/>
      <c r="T840" s="79"/>
      <c r="U840" s="79"/>
      <c r="V840" s="79"/>
      <c r="W840" s="79"/>
      <c r="X840" s="79"/>
      <c r="Y840" s="79"/>
      <c r="Z840" s="79"/>
      <c r="AA840" s="79"/>
    </row>
    <row r="841" spans="1:27" x14ac:dyDescent="0.2">
      <c r="A841" s="73"/>
      <c r="B841" s="74"/>
      <c r="C841" s="74"/>
      <c r="D841" s="74"/>
      <c r="E841" s="74"/>
      <c r="F841" s="74"/>
      <c r="G841" s="75"/>
      <c r="H841" s="75"/>
      <c r="I841" s="76"/>
      <c r="J841" s="77"/>
      <c r="K841" s="76"/>
      <c r="L841" s="76"/>
      <c r="M841" s="74"/>
      <c r="N841" s="74"/>
      <c r="O841" s="78"/>
      <c r="P841" s="78"/>
      <c r="Q841" s="78"/>
      <c r="R841" s="78"/>
      <c r="S841" s="79"/>
      <c r="T841" s="79"/>
      <c r="U841" s="79"/>
      <c r="V841" s="79"/>
      <c r="W841" s="79"/>
      <c r="X841" s="79"/>
      <c r="Y841" s="79"/>
      <c r="Z841" s="79"/>
      <c r="AA841" s="79"/>
    </row>
    <row r="842" spans="1:27" x14ac:dyDescent="0.2">
      <c r="A842" s="73"/>
      <c r="B842" s="74"/>
      <c r="C842" s="74"/>
      <c r="D842" s="74"/>
      <c r="E842" s="74"/>
      <c r="F842" s="74"/>
      <c r="G842" s="75"/>
      <c r="H842" s="75"/>
      <c r="I842" s="76"/>
      <c r="J842" s="77"/>
      <c r="K842" s="76"/>
      <c r="L842" s="76"/>
      <c r="M842" s="74"/>
      <c r="N842" s="74"/>
      <c r="O842" s="78"/>
      <c r="P842" s="78"/>
      <c r="Q842" s="78"/>
      <c r="R842" s="78"/>
      <c r="S842" s="79"/>
      <c r="T842" s="79"/>
      <c r="U842" s="79"/>
      <c r="V842" s="79"/>
      <c r="W842" s="79"/>
      <c r="X842" s="79"/>
      <c r="Y842" s="79"/>
      <c r="Z842" s="79"/>
      <c r="AA842" s="79"/>
    </row>
    <row r="843" spans="1:27" x14ac:dyDescent="0.2">
      <c r="A843" s="73"/>
      <c r="B843" s="74"/>
      <c r="C843" s="74"/>
      <c r="D843" s="74"/>
      <c r="E843" s="74"/>
      <c r="F843" s="74"/>
      <c r="G843" s="75"/>
      <c r="H843" s="75"/>
      <c r="I843" s="76"/>
      <c r="J843" s="77"/>
      <c r="K843" s="76"/>
      <c r="L843" s="76"/>
      <c r="M843" s="74"/>
      <c r="N843" s="74"/>
      <c r="O843" s="78"/>
      <c r="P843" s="78"/>
      <c r="Q843" s="78"/>
      <c r="R843" s="78"/>
      <c r="S843" s="79"/>
      <c r="T843" s="79"/>
      <c r="U843" s="79"/>
      <c r="V843" s="79"/>
      <c r="W843" s="79"/>
      <c r="X843" s="79"/>
      <c r="Y843" s="79"/>
      <c r="Z843" s="79"/>
      <c r="AA843" s="79"/>
    </row>
    <row r="844" spans="1:27" x14ac:dyDescent="0.2">
      <c r="A844" s="73"/>
      <c r="B844" s="74"/>
      <c r="C844" s="74"/>
      <c r="D844" s="74"/>
      <c r="E844" s="74"/>
      <c r="F844" s="74"/>
      <c r="G844" s="75"/>
      <c r="H844" s="75"/>
      <c r="I844" s="76"/>
      <c r="J844" s="77"/>
      <c r="K844" s="76"/>
      <c r="L844" s="76"/>
      <c r="M844" s="74"/>
      <c r="N844" s="74"/>
      <c r="O844" s="78"/>
      <c r="P844" s="78"/>
      <c r="Q844" s="78"/>
      <c r="R844" s="78"/>
      <c r="S844" s="79"/>
      <c r="T844" s="79"/>
      <c r="U844" s="79"/>
      <c r="V844" s="79"/>
      <c r="W844" s="79"/>
      <c r="X844" s="79"/>
      <c r="Y844" s="79"/>
      <c r="Z844" s="79"/>
      <c r="AA844" s="79"/>
    </row>
    <row r="845" spans="1:27" x14ac:dyDescent="0.2">
      <c r="A845" s="73"/>
      <c r="B845" s="74"/>
      <c r="C845" s="74"/>
      <c r="D845" s="74"/>
      <c r="E845" s="74"/>
      <c r="F845" s="74"/>
      <c r="G845" s="75"/>
      <c r="H845" s="75"/>
      <c r="I845" s="76"/>
      <c r="J845" s="77"/>
      <c r="K845" s="76"/>
      <c r="L845" s="76"/>
      <c r="M845" s="74"/>
      <c r="N845" s="74"/>
      <c r="O845" s="78"/>
      <c r="P845" s="78"/>
      <c r="Q845" s="78"/>
      <c r="R845" s="78"/>
      <c r="S845" s="79"/>
      <c r="T845" s="79"/>
      <c r="U845" s="79"/>
      <c r="V845" s="79"/>
      <c r="W845" s="79"/>
      <c r="X845" s="79"/>
      <c r="Y845" s="79"/>
      <c r="Z845" s="79"/>
      <c r="AA845" s="79"/>
    </row>
    <row r="846" spans="1:27" x14ac:dyDescent="0.2">
      <c r="A846" s="73"/>
      <c r="B846" s="74"/>
      <c r="C846" s="74"/>
      <c r="D846" s="74"/>
      <c r="E846" s="74"/>
      <c r="F846" s="74"/>
      <c r="G846" s="75"/>
      <c r="H846" s="75"/>
      <c r="I846" s="76"/>
      <c r="J846" s="77"/>
      <c r="K846" s="76"/>
      <c r="L846" s="76"/>
      <c r="M846" s="74"/>
      <c r="N846" s="74"/>
      <c r="O846" s="78"/>
      <c r="P846" s="78"/>
      <c r="Q846" s="78"/>
      <c r="R846" s="78"/>
      <c r="S846" s="79"/>
      <c r="T846" s="79"/>
      <c r="U846" s="79"/>
      <c r="V846" s="79"/>
      <c r="W846" s="79"/>
      <c r="X846" s="79"/>
      <c r="Y846" s="79"/>
      <c r="Z846" s="79"/>
      <c r="AA846" s="79"/>
    </row>
    <row r="847" spans="1:27" x14ac:dyDescent="0.2">
      <c r="A847" s="73"/>
      <c r="B847" s="74"/>
      <c r="C847" s="74"/>
      <c r="D847" s="74"/>
      <c r="E847" s="74"/>
      <c r="F847" s="74"/>
      <c r="G847" s="75"/>
      <c r="H847" s="75"/>
      <c r="I847" s="76"/>
      <c r="J847" s="77"/>
      <c r="K847" s="76"/>
      <c r="L847" s="76"/>
      <c r="M847" s="74"/>
      <c r="N847" s="74"/>
      <c r="O847" s="78"/>
      <c r="P847" s="78"/>
      <c r="Q847" s="78"/>
      <c r="R847" s="78"/>
      <c r="S847" s="79"/>
      <c r="T847" s="79"/>
      <c r="U847" s="79"/>
      <c r="V847" s="79"/>
      <c r="W847" s="79"/>
      <c r="X847" s="79"/>
      <c r="Y847" s="79"/>
      <c r="Z847" s="79"/>
      <c r="AA847" s="79"/>
    </row>
    <row r="848" spans="1:27" x14ac:dyDescent="0.2">
      <c r="A848" s="73"/>
      <c r="B848" s="74"/>
      <c r="C848" s="74"/>
      <c r="D848" s="74"/>
      <c r="E848" s="74"/>
      <c r="F848" s="74"/>
      <c r="G848" s="75"/>
      <c r="H848" s="75"/>
      <c r="I848" s="76"/>
      <c r="J848" s="77"/>
      <c r="K848" s="76"/>
      <c r="L848" s="76"/>
      <c r="M848" s="74"/>
      <c r="N848" s="74"/>
      <c r="O848" s="78"/>
      <c r="P848" s="78"/>
      <c r="Q848" s="78"/>
      <c r="R848" s="78"/>
      <c r="S848" s="79"/>
      <c r="T848" s="79"/>
      <c r="U848" s="79"/>
      <c r="V848" s="79"/>
      <c r="W848" s="79"/>
      <c r="X848" s="79"/>
      <c r="Y848" s="79"/>
      <c r="Z848" s="79"/>
      <c r="AA848" s="79"/>
    </row>
    <row r="849" spans="1:27" x14ac:dyDescent="0.2">
      <c r="A849" s="73"/>
      <c r="B849" s="74"/>
      <c r="C849" s="74"/>
      <c r="D849" s="74"/>
      <c r="E849" s="74"/>
      <c r="F849" s="74"/>
      <c r="G849" s="75"/>
      <c r="H849" s="75"/>
      <c r="I849" s="76"/>
      <c r="J849" s="77"/>
      <c r="K849" s="76"/>
      <c r="L849" s="76"/>
      <c r="M849" s="74"/>
      <c r="N849" s="74"/>
      <c r="O849" s="78"/>
      <c r="P849" s="78"/>
      <c r="Q849" s="78"/>
      <c r="R849" s="78"/>
      <c r="S849" s="79"/>
      <c r="T849" s="79"/>
      <c r="U849" s="79"/>
      <c r="V849" s="79"/>
      <c r="W849" s="79"/>
      <c r="X849" s="79"/>
      <c r="Y849" s="79"/>
      <c r="Z849" s="79"/>
      <c r="AA849" s="79"/>
    </row>
    <row r="850" spans="1:27" x14ac:dyDescent="0.2">
      <c r="A850" s="73"/>
      <c r="B850" s="74"/>
      <c r="C850" s="74"/>
      <c r="D850" s="74"/>
      <c r="E850" s="74"/>
      <c r="F850" s="74"/>
      <c r="G850" s="75"/>
      <c r="H850" s="75"/>
      <c r="I850" s="76"/>
      <c r="J850" s="77"/>
      <c r="K850" s="76"/>
      <c r="L850" s="76"/>
      <c r="M850" s="74"/>
      <c r="N850" s="74"/>
      <c r="O850" s="78"/>
      <c r="P850" s="78"/>
      <c r="Q850" s="78"/>
      <c r="R850" s="78"/>
      <c r="S850" s="79"/>
      <c r="T850" s="79"/>
      <c r="U850" s="79"/>
      <c r="V850" s="79"/>
      <c r="W850" s="79"/>
      <c r="X850" s="79"/>
      <c r="Y850" s="79"/>
      <c r="Z850" s="79"/>
      <c r="AA850" s="79"/>
    </row>
    <row r="851" spans="1:27" x14ac:dyDescent="0.2">
      <c r="A851" s="73"/>
      <c r="B851" s="74"/>
      <c r="C851" s="74"/>
      <c r="D851" s="74"/>
      <c r="E851" s="74"/>
      <c r="F851" s="74"/>
      <c r="G851" s="75"/>
      <c r="H851" s="75"/>
      <c r="I851" s="76"/>
      <c r="J851" s="77"/>
      <c r="K851" s="76"/>
      <c r="L851" s="76"/>
      <c r="M851" s="74"/>
      <c r="N851" s="74"/>
      <c r="O851" s="78"/>
      <c r="P851" s="78"/>
      <c r="Q851" s="78"/>
      <c r="R851" s="78"/>
      <c r="S851" s="79"/>
      <c r="T851" s="79"/>
      <c r="U851" s="79"/>
      <c r="V851" s="79"/>
      <c r="W851" s="79"/>
      <c r="X851" s="79"/>
      <c r="Y851" s="79"/>
      <c r="Z851" s="79"/>
      <c r="AA851" s="79"/>
    </row>
    <row r="852" spans="1:27" x14ac:dyDescent="0.2">
      <c r="A852" s="73"/>
      <c r="B852" s="74"/>
      <c r="C852" s="74"/>
      <c r="D852" s="74"/>
      <c r="E852" s="74"/>
      <c r="F852" s="74"/>
      <c r="G852" s="75"/>
      <c r="H852" s="75"/>
      <c r="I852" s="76"/>
      <c r="J852" s="77"/>
      <c r="K852" s="76"/>
      <c r="L852" s="76"/>
      <c r="M852" s="74"/>
      <c r="N852" s="74"/>
      <c r="O852" s="78"/>
      <c r="P852" s="78"/>
      <c r="Q852" s="78"/>
      <c r="R852" s="78"/>
      <c r="S852" s="79"/>
      <c r="T852" s="79"/>
      <c r="U852" s="79"/>
      <c r="V852" s="79"/>
      <c r="W852" s="79"/>
      <c r="X852" s="79"/>
      <c r="Y852" s="79"/>
      <c r="Z852" s="79"/>
      <c r="AA852" s="79"/>
    </row>
    <row r="853" spans="1:27" x14ac:dyDescent="0.2">
      <c r="A853" s="73"/>
      <c r="B853" s="74"/>
      <c r="C853" s="74"/>
      <c r="D853" s="74"/>
      <c r="E853" s="74"/>
      <c r="F853" s="74"/>
      <c r="G853" s="75"/>
      <c r="H853" s="75"/>
      <c r="I853" s="76"/>
      <c r="J853" s="77"/>
      <c r="K853" s="76"/>
      <c r="L853" s="76"/>
      <c r="M853" s="74"/>
      <c r="N853" s="74"/>
      <c r="O853" s="78"/>
      <c r="P853" s="78"/>
      <c r="Q853" s="78"/>
      <c r="R853" s="78"/>
      <c r="S853" s="79"/>
      <c r="T853" s="79"/>
      <c r="U853" s="79"/>
      <c r="V853" s="79"/>
      <c r="W853" s="79"/>
      <c r="X853" s="79"/>
      <c r="Y853" s="79"/>
      <c r="Z853" s="79"/>
      <c r="AA853" s="79"/>
    </row>
    <row r="854" spans="1:27" x14ac:dyDescent="0.2">
      <c r="A854" s="73"/>
      <c r="B854" s="74"/>
      <c r="C854" s="74"/>
      <c r="D854" s="74"/>
      <c r="E854" s="74"/>
      <c r="F854" s="74"/>
      <c r="G854" s="75"/>
      <c r="H854" s="75"/>
      <c r="I854" s="76"/>
      <c r="J854" s="77"/>
      <c r="K854" s="76"/>
      <c r="L854" s="76"/>
      <c r="M854" s="74"/>
      <c r="N854" s="74"/>
      <c r="O854" s="78"/>
      <c r="P854" s="78"/>
      <c r="Q854" s="78"/>
      <c r="R854" s="78"/>
      <c r="S854" s="79"/>
      <c r="T854" s="79"/>
      <c r="U854" s="79"/>
      <c r="V854" s="79"/>
      <c r="W854" s="79"/>
      <c r="X854" s="79"/>
      <c r="Y854" s="79"/>
      <c r="Z854" s="79"/>
      <c r="AA854" s="79"/>
    </row>
    <row r="855" spans="1:27" x14ac:dyDescent="0.2">
      <c r="A855" s="73"/>
      <c r="B855" s="74"/>
      <c r="C855" s="74"/>
      <c r="D855" s="74"/>
      <c r="E855" s="74"/>
      <c r="F855" s="74"/>
      <c r="G855" s="75"/>
      <c r="H855" s="75"/>
      <c r="I855" s="76"/>
      <c r="J855" s="77"/>
      <c r="K855" s="76"/>
      <c r="L855" s="76"/>
      <c r="M855" s="74"/>
      <c r="N855" s="74"/>
      <c r="O855" s="78"/>
      <c r="P855" s="78"/>
      <c r="Q855" s="78"/>
      <c r="R855" s="78"/>
      <c r="S855" s="79"/>
      <c r="T855" s="79"/>
      <c r="U855" s="79"/>
      <c r="V855" s="79"/>
      <c r="W855" s="79"/>
      <c r="X855" s="79"/>
      <c r="Y855" s="79"/>
      <c r="Z855" s="79"/>
      <c r="AA855" s="79"/>
    </row>
    <row r="856" spans="1:27" x14ac:dyDescent="0.2">
      <c r="A856" s="73"/>
      <c r="B856" s="74"/>
      <c r="C856" s="74"/>
      <c r="D856" s="74"/>
      <c r="E856" s="74"/>
      <c r="F856" s="74"/>
      <c r="G856" s="75"/>
      <c r="H856" s="75"/>
      <c r="I856" s="76"/>
      <c r="J856" s="77"/>
      <c r="K856" s="76"/>
      <c r="L856" s="76"/>
      <c r="M856" s="74"/>
      <c r="N856" s="74"/>
      <c r="O856" s="78"/>
      <c r="P856" s="78"/>
      <c r="Q856" s="78"/>
      <c r="R856" s="78"/>
      <c r="S856" s="79"/>
      <c r="T856" s="79"/>
      <c r="U856" s="79"/>
      <c r="V856" s="79"/>
      <c r="W856" s="79"/>
      <c r="X856" s="79"/>
      <c r="Y856" s="79"/>
      <c r="Z856" s="79"/>
      <c r="AA856" s="79"/>
    </row>
    <row r="857" spans="1:27" x14ac:dyDescent="0.2">
      <c r="A857" s="73"/>
      <c r="B857" s="74"/>
      <c r="C857" s="74"/>
      <c r="D857" s="74"/>
      <c r="E857" s="74"/>
      <c r="F857" s="74"/>
      <c r="G857" s="75"/>
      <c r="H857" s="75"/>
      <c r="I857" s="76"/>
      <c r="J857" s="77"/>
      <c r="K857" s="76"/>
      <c r="L857" s="76"/>
      <c r="M857" s="74"/>
      <c r="N857" s="74"/>
      <c r="O857" s="78"/>
      <c r="P857" s="78"/>
      <c r="Q857" s="78"/>
      <c r="R857" s="78"/>
      <c r="S857" s="79"/>
      <c r="T857" s="79"/>
      <c r="U857" s="79"/>
      <c r="V857" s="79"/>
      <c r="W857" s="79"/>
      <c r="X857" s="79"/>
      <c r="Y857" s="79"/>
      <c r="Z857" s="79"/>
      <c r="AA857" s="79"/>
    </row>
    <row r="858" spans="1:27" x14ac:dyDescent="0.2">
      <c r="A858" s="73"/>
      <c r="B858" s="74"/>
      <c r="C858" s="74"/>
      <c r="D858" s="74"/>
      <c r="E858" s="74"/>
      <c r="F858" s="74"/>
      <c r="G858" s="75"/>
      <c r="H858" s="75"/>
      <c r="I858" s="76"/>
      <c r="J858" s="77"/>
      <c r="K858" s="76"/>
      <c r="L858" s="76"/>
      <c r="M858" s="74"/>
      <c r="N858" s="74"/>
      <c r="O858" s="78"/>
      <c r="P858" s="78"/>
      <c r="Q858" s="78"/>
      <c r="R858" s="78"/>
      <c r="S858" s="79"/>
      <c r="T858" s="79"/>
      <c r="U858" s="79"/>
      <c r="V858" s="79"/>
      <c r="W858" s="79"/>
      <c r="X858" s="79"/>
      <c r="Y858" s="79"/>
      <c r="Z858" s="79"/>
      <c r="AA858" s="79"/>
    </row>
    <row r="859" spans="1:27" x14ac:dyDescent="0.2">
      <c r="A859" s="73"/>
      <c r="B859" s="74"/>
      <c r="C859" s="74"/>
      <c r="D859" s="74"/>
      <c r="E859" s="74"/>
      <c r="F859" s="74"/>
      <c r="G859" s="75"/>
      <c r="H859" s="75"/>
      <c r="I859" s="76"/>
      <c r="J859" s="77"/>
      <c r="K859" s="76"/>
      <c r="L859" s="76"/>
      <c r="M859" s="74"/>
      <c r="N859" s="74"/>
      <c r="O859" s="78"/>
      <c r="P859" s="78"/>
      <c r="Q859" s="78"/>
      <c r="R859" s="78"/>
      <c r="S859" s="79"/>
      <c r="T859" s="79"/>
      <c r="U859" s="79"/>
      <c r="V859" s="79"/>
      <c r="W859" s="79"/>
      <c r="X859" s="79"/>
      <c r="Y859" s="79"/>
      <c r="Z859" s="79"/>
      <c r="AA859" s="79"/>
    </row>
    <row r="860" spans="1:27" x14ac:dyDescent="0.2">
      <c r="A860" s="73"/>
      <c r="B860" s="74"/>
      <c r="C860" s="74"/>
      <c r="D860" s="74"/>
      <c r="E860" s="74"/>
      <c r="F860" s="74"/>
      <c r="G860" s="75"/>
      <c r="H860" s="75"/>
      <c r="I860" s="76"/>
      <c r="J860" s="77"/>
      <c r="K860" s="76"/>
      <c r="L860" s="76"/>
      <c r="M860" s="74"/>
      <c r="N860" s="74"/>
      <c r="O860" s="78"/>
      <c r="P860" s="78"/>
      <c r="Q860" s="78"/>
      <c r="R860" s="78"/>
      <c r="S860" s="79"/>
      <c r="T860" s="79"/>
      <c r="U860" s="79"/>
      <c r="V860" s="79"/>
      <c r="W860" s="79"/>
      <c r="X860" s="79"/>
      <c r="Y860" s="79"/>
      <c r="Z860" s="79"/>
      <c r="AA860" s="79"/>
    </row>
    <row r="861" spans="1:27" x14ac:dyDescent="0.2">
      <c r="A861" s="73"/>
      <c r="B861" s="74"/>
      <c r="C861" s="74"/>
      <c r="D861" s="74"/>
      <c r="E861" s="74"/>
      <c r="F861" s="74"/>
      <c r="G861" s="75"/>
      <c r="H861" s="75"/>
      <c r="I861" s="76"/>
      <c r="J861" s="77"/>
      <c r="K861" s="76"/>
      <c r="L861" s="76"/>
      <c r="M861" s="74"/>
      <c r="N861" s="74"/>
      <c r="O861" s="78"/>
      <c r="P861" s="78"/>
      <c r="Q861" s="78"/>
      <c r="R861" s="78"/>
      <c r="S861" s="79"/>
      <c r="T861" s="79"/>
      <c r="U861" s="79"/>
      <c r="V861" s="79"/>
      <c r="W861" s="79"/>
      <c r="X861" s="79"/>
      <c r="Y861" s="79"/>
      <c r="Z861" s="79"/>
      <c r="AA861" s="79"/>
    </row>
    <row r="862" spans="1:27" x14ac:dyDescent="0.2">
      <c r="A862" s="73"/>
      <c r="B862" s="74"/>
      <c r="C862" s="74"/>
      <c r="D862" s="74"/>
      <c r="E862" s="74"/>
      <c r="F862" s="74"/>
      <c r="G862" s="75"/>
      <c r="H862" s="75"/>
      <c r="I862" s="76"/>
      <c r="J862" s="77"/>
      <c r="K862" s="76"/>
      <c r="L862" s="76"/>
      <c r="M862" s="74"/>
      <c r="N862" s="74"/>
      <c r="O862" s="78"/>
      <c r="P862" s="78"/>
      <c r="Q862" s="78"/>
      <c r="R862" s="78"/>
      <c r="S862" s="79"/>
      <c r="T862" s="79"/>
      <c r="U862" s="79"/>
      <c r="V862" s="79"/>
      <c r="W862" s="79"/>
      <c r="X862" s="79"/>
      <c r="Y862" s="79"/>
      <c r="Z862" s="79"/>
      <c r="AA862" s="79"/>
    </row>
    <row r="863" spans="1:27" x14ac:dyDescent="0.2">
      <c r="A863" s="73"/>
      <c r="B863" s="74"/>
      <c r="C863" s="74"/>
      <c r="D863" s="74"/>
      <c r="E863" s="74"/>
      <c r="F863" s="74"/>
      <c r="G863" s="75"/>
      <c r="H863" s="75"/>
      <c r="I863" s="76"/>
      <c r="J863" s="77"/>
      <c r="K863" s="76"/>
      <c r="L863" s="76"/>
      <c r="M863" s="74"/>
      <c r="N863" s="74"/>
      <c r="O863" s="78"/>
      <c r="P863" s="78"/>
      <c r="Q863" s="78"/>
      <c r="R863" s="78"/>
      <c r="S863" s="79"/>
      <c r="T863" s="79"/>
      <c r="U863" s="79"/>
      <c r="V863" s="79"/>
      <c r="W863" s="79"/>
      <c r="X863" s="79"/>
      <c r="Y863" s="79"/>
      <c r="Z863" s="79"/>
      <c r="AA863" s="79"/>
    </row>
    <row r="864" spans="1:27" x14ac:dyDescent="0.2">
      <c r="A864" s="73"/>
      <c r="B864" s="74"/>
      <c r="C864" s="74"/>
      <c r="D864" s="74"/>
      <c r="E864" s="74"/>
      <c r="F864" s="74"/>
      <c r="G864" s="75"/>
      <c r="H864" s="75"/>
      <c r="I864" s="76"/>
      <c r="J864" s="77"/>
      <c r="K864" s="76"/>
      <c r="L864" s="76"/>
      <c r="M864" s="74"/>
      <c r="N864" s="74"/>
      <c r="O864" s="78"/>
      <c r="P864" s="78"/>
      <c r="Q864" s="78"/>
      <c r="R864" s="78"/>
      <c r="S864" s="79"/>
      <c r="T864" s="79"/>
      <c r="U864" s="79"/>
      <c r="V864" s="79"/>
      <c r="W864" s="79"/>
      <c r="X864" s="79"/>
      <c r="Y864" s="79"/>
      <c r="Z864" s="79"/>
      <c r="AA864" s="79"/>
    </row>
    <row r="865" spans="1:27" x14ac:dyDescent="0.2">
      <c r="A865" s="73"/>
      <c r="B865" s="74"/>
      <c r="C865" s="74"/>
      <c r="D865" s="74"/>
      <c r="E865" s="74"/>
      <c r="F865" s="74"/>
      <c r="G865" s="75"/>
      <c r="H865" s="75"/>
      <c r="I865" s="76"/>
      <c r="J865" s="77"/>
      <c r="K865" s="76"/>
      <c r="L865" s="76"/>
      <c r="M865" s="74"/>
      <c r="N865" s="74"/>
      <c r="O865" s="78"/>
      <c r="P865" s="78"/>
      <c r="Q865" s="78"/>
      <c r="R865" s="78"/>
      <c r="S865" s="79"/>
      <c r="T865" s="79"/>
      <c r="U865" s="79"/>
      <c r="V865" s="79"/>
      <c r="W865" s="79"/>
      <c r="X865" s="79"/>
      <c r="Y865" s="79"/>
      <c r="Z865" s="79"/>
      <c r="AA865" s="79"/>
    </row>
    <row r="866" spans="1:27" x14ac:dyDescent="0.2">
      <c r="A866" s="73"/>
      <c r="B866" s="74"/>
      <c r="C866" s="74"/>
      <c r="D866" s="74"/>
      <c r="E866" s="74"/>
      <c r="F866" s="74"/>
      <c r="G866" s="75"/>
      <c r="H866" s="75"/>
      <c r="I866" s="76"/>
      <c r="J866" s="77"/>
      <c r="K866" s="76"/>
      <c r="L866" s="76"/>
      <c r="M866" s="74"/>
      <c r="N866" s="74"/>
      <c r="O866" s="78"/>
      <c r="P866" s="78"/>
      <c r="Q866" s="78"/>
      <c r="R866" s="78"/>
      <c r="S866" s="79"/>
      <c r="T866" s="79"/>
      <c r="U866" s="79"/>
      <c r="V866" s="79"/>
      <c r="W866" s="79"/>
      <c r="X866" s="79"/>
      <c r="Y866" s="79"/>
      <c r="Z866" s="79"/>
      <c r="AA866" s="79"/>
    </row>
    <row r="867" spans="1:27" x14ac:dyDescent="0.2">
      <c r="A867" s="73"/>
      <c r="B867" s="74"/>
      <c r="C867" s="74"/>
      <c r="D867" s="74"/>
      <c r="E867" s="74"/>
      <c r="F867" s="74"/>
      <c r="G867" s="75"/>
      <c r="H867" s="75"/>
      <c r="I867" s="76"/>
      <c r="J867" s="77"/>
      <c r="K867" s="76"/>
      <c r="L867" s="76"/>
      <c r="M867" s="74"/>
      <c r="N867" s="74"/>
      <c r="O867" s="78"/>
      <c r="P867" s="78"/>
      <c r="Q867" s="78"/>
      <c r="R867" s="78"/>
      <c r="S867" s="79"/>
      <c r="T867" s="79"/>
      <c r="U867" s="79"/>
      <c r="V867" s="79"/>
      <c r="W867" s="79"/>
      <c r="X867" s="79"/>
      <c r="Y867" s="79"/>
      <c r="Z867" s="79"/>
      <c r="AA867" s="79"/>
    </row>
    <row r="868" spans="1:27" x14ac:dyDescent="0.2">
      <c r="A868" s="73"/>
      <c r="B868" s="74"/>
      <c r="C868" s="74"/>
      <c r="D868" s="74"/>
      <c r="E868" s="74"/>
      <c r="F868" s="74"/>
      <c r="G868" s="75"/>
      <c r="H868" s="75"/>
      <c r="I868" s="76"/>
      <c r="J868" s="77"/>
      <c r="K868" s="76"/>
      <c r="L868" s="76"/>
      <c r="M868" s="74"/>
      <c r="N868" s="74"/>
      <c r="O868" s="78"/>
      <c r="P868" s="78"/>
      <c r="Q868" s="78"/>
      <c r="R868" s="78"/>
      <c r="S868" s="79"/>
      <c r="T868" s="79"/>
      <c r="U868" s="79"/>
      <c r="V868" s="79"/>
      <c r="W868" s="79"/>
      <c r="X868" s="79"/>
      <c r="Y868" s="79"/>
      <c r="Z868" s="79"/>
      <c r="AA868" s="79"/>
    </row>
    <row r="869" spans="1:27" x14ac:dyDescent="0.2">
      <c r="A869" s="73"/>
      <c r="B869" s="74"/>
      <c r="C869" s="74"/>
      <c r="D869" s="74"/>
      <c r="E869" s="74"/>
      <c r="F869" s="74"/>
      <c r="G869" s="75"/>
      <c r="H869" s="75"/>
      <c r="I869" s="76"/>
      <c r="J869" s="77"/>
      <c r="K869" s="76"/>
      <c r="L869" s="76"/>
      <c r="M869" s="74"/>
      <c r="N869" s="74"/>
      <c r="O869" s="78"/>
      <c r="P869" s="78"/>
      <c r="Q869" s="78"/>
      <c r="R869" s="78"/>
      <c r="S869" s="79"/>
      <c r="T869" s="79"/>
      <c r="U869" s="79"/>
      <c r="V869" s="79"/>
      <c r="W869" s="79"/>
      <c r="X869" s="79"/>
      <c r="Y869" s="79"/>
      <c r="Z869" s="79"/>
      <c r="AA869" s="79"/>
    </row>
    <row r="870" spans="1:27" x14ac:dyDescent="0.2">
      <c r="A870" s="73"/>
      <c r="B870" s="74"/>
      <c r="C870" s="74"/>
      <c r="D870" s="74"/>
      <c r="E870" s="74"/>
      <c r="F870" s="74"/>
      <c r="G870" s="75"/>
      <c r="H870" s="75"/>
      <c r="I870" s="76"/>
      <c r="J870" s="77"/>
      <c r="K870" s="76"/>
      <c r="L870" s="76"/>
      <c r="M870" s="74"/>
      <c r="N870" s="74"/>
      <c r="O870" s="78"/>
      <c r="P870" s="78"/>
      <c r="Q870" s="78"/>
      <c r="R870" s="78"/>
      <c r="S870" s="79"/>
      <c r="T870" s="79"/>
      <c r="U870" s="79"/>
      <c r="V870" s="79"/>
      <c r="W870" s="79"/>
      <c r="X870" s="79"/>
      <c r="Y870" s="79"/>
      <c r="Z870" s="79"/>
      <c r="AA870" s="79"/>
    </row>
    <row r="871" spans="1:27" x14ac:dyDescent="0.2">
      <c r="A871" s="73"/>
      <c r="B871" s="74"/>
      <c r="C871" s="74"/>
      <c r="D871" s="74"/>
      <c r="E871" s="74"/>
      <c r="F871" s="74"/>
      <c r="G871" s="75"/>
      <c r="H871" s="75"/>
      <c r="I871" s="76"/>
      <c r="J871" s="77"/>
      <c r="K871" s="76"/>
      <c r="L871" s="76"/>
      <c r="M871" s="74"/>
      <c r="N871" s="74"/>
      <c r="O871" s="78"/>
      <c r="P871" s="78"/>
      <c r="Q871" s="78"/>
      <c r="R871" s="78"/>
      <c r="S871" s="79"/>
      <c r="T871" s="79"/>
      <c r="U871" s="79"/>
      <c r="V871" s="79"/>
      <c r="W871" s="79"/>
      <c r="X871" s="79"/>
      <c r="Y871" s="79"/>
      <c r="Z871" s="79"/>
      <c r="AA871" s="79"/>
    </row>
    <row r="872" spans="1:27" x14ac:dyDescent="0.2">
      <c r="A872" s="73"/>
      <c r="B872" s="74"/>
      <c r="C872" s="74"/>
      <c r="D872" s="74"/>
      <c r="E872" s="74"/>
      <c r="F872" s="74"/>
      <c r="G872" s="75"/>
      <c r="H872" s="75"/>
      <c r="I872" s="76"/>
      <c r="J872" s="77"/>
      <c r="K872" s="76"/>
      <c r="L872" s="76"/>
      <c r="M872" s="74"/>
      <c r="N872" s="74"/>
      <c r="O872" s="78"/>
      <c r="P872" s="78"/>
      <c r="Q872" s="78"/>
      <c r="R872" s="78"/>
      <c r="S872" s="79"/>
      <c r="T872" s="79"/>
      <c r="U872" s="79"/>
      <c r="V872" s="79"/>
      <c r="W872" s="79"/>
      <c r="X872" s="79"/>
      <c r="Y872" s="79"/>
      <c r="Z872" s="79"/>
      <c r="AA872" s="79"/>
    </row>
    <row r="873" spans="1:27" x14ac:dyDescent="0.2">
      <c r="A873" s="73"/>
      <c r="B873" s="74"/>
      <c r="C873" s="74"/>
      <c r="D873" s="74"/>
      <c r="E873" s="74"/>
      <c r="F873" s="74"/>
      <c r="G873" s="75"/>
      <c r="H873" s="75"/>
      <c r="I873" s="76"/>
      <c r="J873" s="77"/>
      <c r="K873" s="76"/>
      <c r="L873" s="76"/>
      <c r="M873" s="74"/>
      <c r="N873" s="74"/>
      <c r="O873" s="78"/>
      <c r="P873" s="78"/>
      <c r="Q873" s="78"/>
      <c r="R873" s="78"/>
      <c r="S873" s="79"/>
      <c r="T873" s="79"/>
      <c r="U873" s="79"/>
      <c r="V873" s="79"/>
      <c r="W873" s="79"/>
      <c r="X873" s="79"/>
      <c r="Y873" s="79"/>
      <c r="Z873" s="79"/>
      <c r="AA873" s="79"/>
    </row>
    <row r="874" spans="1:27" x14ac:dyDescent="0.2">
      <c r="A874" s="73"/>
      <c r="B874" s="74"/>
      <c r="C874" s="74"/>
      <c r="D874" s="74"/>
      <c r="E874" s="74"/>
      <c r="F874" s="74"/>
      <c r="G874" s="75"/>
      <c r="H874" s="75"/>
      <c r="I874" s="76"/>
      <c r="J874" s="77"/>
      <c r="K874" s="76"/>
      <c r="L874" s="76"/>
      <c r="M874" s="74"/>
      <c r="N874" s="74"/>
      <c r="O874" s="78"/>
      <c r="P874" s="78"/>
      <c r="Q874" s="78"/>
      <c r="R874" s="78"/>
      <c r="S874" s="79"/>
      <c r="T874" s="79"/>
      <c r="U874" s="79"/>
      <c r="V874" s="79"/>
      <c r="W874" s="79"/>
      <c r="X874" s="79"/>
      <c r="Y874" s="79"/>
      <c r="Z874" s="79"/>
      <c r="AA874" s="79"/>
    </row>
    <row r="875" spans="1:27" x14ac:dyDescent="0.2">
      <c r="A875" s="73"/>
      <c r="B875" s="74"/>
      <c r="C875" s="74"/>
      <c r="D875" s="74"/>
      <c r="E875" s="74"/>
      <c r="F875" s="74"/>
      <c r="G875" s="75"/>
      <c r="H875" s="75"/>
      <c r="I875" s="76"/>
      <c r="J875" s="77"/>
      <c r="K875" s="76"/>
      <c r="L875" s="76"/>
      <c r="M875" s="74"/>
      <c r="N875" s="74"/>
      <c r="O875" s="78"/>
      <c r="P875" s="78"/>
      <c r="Q875" s="78"/>
      <c r="R875" s="78"/>
      <c r="S875" s="79"/>
      <c r="T875" s="79"/>
      <c r="U875" s="79"/>
      <c r="V875" s="79"/>
      <c r="W875" s="79"/>
      <c r="X875" s="79"/>
      <c r="Y875" s="79"/>
      <c r="Z875" s="79"/>
      <c r="AA875" s="79"/>
    </row>
    <row r="876" spans="1:27" x14ac:dyDescent="0.2">
      <c r="A876" s="73"/>
      <c r="B876" s="74"/>
      <c r="C876" s="74"/>
      <c r="D876" s="74"/>
      <c r="E876" s="74"/>
      <c r="F876" s="74"/>
      <c r="G876" s="75"/>
      <c r="H876" s="75"/>
      <c r="I876" s="76"/>
      <c r="J876" s="77"/>
      <c r="K876" s="76"/>
      <c r="L876" s="76"/>
      <c r="M876" s="74"/>
      <c r="N876" s="74"/>
      <c r="O876" s="78"/>
      <c r="P876" s="78"/>
      <c r="Q876" s="78"/>
      <c r="R876" s="78"/>
      <c r="S876" s="79"/>
      <c r="T876" s="79"/>
      <c r="U876" s="79"/>
      <c r="V876" s="79"/>
      <c r="W876" s="79"/>
      <c r="X876" s="79"/>
      <c r="Y876" s="79"/>
      <c r="Z876" s="79"/>
      <c r="AA876" s="79"/>
    </row>
    <row r="877" spans="1:27" x14ac:dyDescent="0.2">
      <c r="A877" s="73"/>
      <c r="B877" s="74"/>
      <c r="C877" s="74"/>
      <c r="D877" s="74"/>
      <c r="E877" s="74"/>
      <c r="F877" s="74"/>
      <c r="G877" s="75"/>
      <c r="H877" s="75"/>
      <c r="I877" s="76"/>
      <c r="J877" s="77"/>
      <c r="K877" s="76"/>
      <c r="L877" s="76"/>
      <c r="M877" s="74"/>
      <c r="N877" s="74"/>
      <c r="O877" s="78"/>
      <c r="P877" s="78"/>
      <c r="Q877" s="78"/>
      <c r="R877" s="78"/>
      <c r="S877" s="79"/>
      <c r="T877" s="79"/>
      <c r="U877" s="79"/>
      <c r="V877" s="79"/>
      <c r="W877" s="79"/>
      <c r="X877" s="79"/>
      <c r="Y877" s="79"/>
      <c r="Z877" s="79"/>
      <c r="AA877" s="79"/>
    </row>
    <row r="878" spans="1:27" x14ac:dyDescent="0.2">
      <c r="A878" s="73"/>
      <c r="B878" s="74"/>
      <c r="C878" s="74"/>
      <c r="D878" s="74"/>
      <c r="E878" s="74"/>
      <c r="F878" s="74"/>
      <c r="G878" s="75"/>
      <c r="H878" s="75"/>
      <c r="I878" s="76"/>
      <c r="J878" s="77"/>
      <c r="K878" s="76"/>
      <c r="L878" s="76"/>
      <c r="M878" s="74"/>
      <c r="N878" s="74"/>
      <c r="O878" s="78"/>
      <c r="P878" s="78"/>
      <c r="Q878" s="78"/>
      <c r="R878" s="78"/>
      <c r="S878" s="79"/>
      <c r="T878" s="79"/>
      <c r="U878" s="79"/>
      <c r="V878" s="79"/>
      <c r="W878" s="79"/>
      <c r="X878" s="79"/>
      <c r="Y878" s="79"/>
      <c r="Z878" s="79"/>
      <c r="AA878" s="79"/>
    </row>
    <row r="879" spans="1:27" x14ac:dyDescent="0.2">
      <c r="A879" s="73"/>
      <c r="B879" s="74"/>
      <c r="C879" s="74"/>
      <c r="D879" s="74"/>
      <c r="E879" s="74"/>
      <c r="F879" s="74"/>
      <c r="G879" s="75"/>
      <c r="H879" s="75"/>
      <c r="I879" s="76"/>
      <c r="J879" s="77"/>
      <c r="K879" s="76"/>
      <c r="L879" s="76"/>
      <c r="M879" s="74"/>
      <c r="N879" s="74"/>
      <c r="O879" s="78"/>
      <c r="P879" s="78"/>
      <c r="Q879" s="78"/>
      <c r="R879" s="78"/>
      <c r="S879" s="79"/>
      <c r="T879" s="79"/>
      <c r="U879" s="79"/>
      <c r="V879" s="79"/>
      <c r="W879" s="79"/>
      <c r="X879" s="79"/>
      <c r="Y879" s="79"/>
      <c r="Z879" s="79"/>
      <c r="AA879" s="79"/>
    </row>
    <row r="880" spans="1:27" x14ac:dyDescent="0.2">
      <c r="A880" s="73"/>
      <c r="B880" s="74"/>
      <c r="C880" s="74"/>
      <c r="D880" s="74"/>
      <c r="E880" s="74"/>
      <c r="F880" s="74"/>
      <c r="G880" s="75"/>
      <c r="H880" s="75"/>
      <c r="I880" s="76"/>
      <c r="J880" s="77"/>
      <c r="K880" s="76"/>
      <c r="L880" s="76"/>
      <c r="M880" s="74"/>
      <c r="N880" s="74"/>
      <c r="O880" s="78"/>
      <c r="P880" s="78"/>
      <c r="Q880" s="78"/>
      <c r="R880" s="78"/>
      <c r="S880" s="79"/>
      <c r="T880" s="79"/>
      <c r="U880" s="79"/>
      <c r="V880" s="79"/>
      <c r="W880" s="79"/>
      <c r="X880" s="79"/>
      <c r="Y880" s="79"/>
      <c r="Z880" s="79"/>
      <c r="AA880" s="79"/>
    </row>
    <row r="881" spans="1:27" x14ac:dyDescent="0.2">
      <c r="A881" s="73"/>
      <c r="B881" s="74"/>
      <c r="C881" s="74"/>
      <c r="D881" s="74"/>
      <c r="E881" s="74"/>
      <c r="F881" s="74"/>
      <c r="G881" s="75"/>
      <c r="H881" s="75"/>
      <c r="I881" s="76"/>
      <c r="J881" s="77"/>
      <c r="K881" s="76"/>
      <c r="L881" s="76"/>
      <c r="M881" s="74"/>
      <c r="N881" s="74"/>
      <c r="O881" s="78"/>
      <c r="P881" s="78"/>
      <c r="Q881" s="78"/>
      <c r="R881" s="78"/>
      <c r="S881" s="79"/>
      <c r="T881" s="79"/>
      <c r="U881" s="79"/>
      <c r="V881" s="79"/>
      <c r="W881" s="79"/>
      <c r="X881" s="79"/>
      <c r="Y881" s="79"/>
      <c r="Z881" s="79"/>
      <c r="AA881" s="79"/>
    </row>
    <row r="882" spans="1:27" x14ac:dyDescent="0.2">
      <c r="A882" s="73"/>
      <c r="B882" s="74"/>
      <c r="C882" s="74"/>
      <c r="D882" s="74"/>
      <c r="E882" s="74"/>
      <c r="F882" s="74"/>
      <c r="G882" s="75"/>
      <c r="H882" s="75"/>
      <c r="I882" s="76"/>
      <c r="J882" s="77"/>
      <c r="K882" s="76"/>
      <c r="L882" s="76"/>
      <c r="M882" s="74"/>
      <c r="N882" s="74"/>
      <c r="O882" s="78"/>
      <c r="P882" s="78"/>
      <c r="Q882" s="78"/>
      <c r="R882" s="78"/>
      <c r="S882" s="79"/>
      <c r="T882" s="79"/>
      <c r="U882" s="79"/>
      <c r="V882" s="79"/>
      <c r="W882" s="79"/>
      <c r="X882" s="79"/>
      <c r="Y882" s="79"/>
      <c r="Z882" s="79"/>
      <c r="AA882" s="79"/>
    </row>
    <row r="883" spans="1:27" x14ac:dyDescent="0.2">
      <c r="A883" s="73"/>
      <c r="B883" s="74"/>
      <c r="C883" s="74"/>
      <c r="D883" s="74"/>
      <c r="E883" s="74"/>
      <c r="F883" s="74"/>
      <c r="G883" s="75"/>
      <c r="H883" s="75"/>
      <c r="I883" s="76"/>
      <c r="J883" s="77"/>
      <c r="K883" s="76"/>
      <c r="L883" s="76"/>
      <c r="M883" s="74"/>
      <c r="N883" s="74"/>
      <c r="O883" s="78"/>
      <c r="P883" s="78"/>
      <c r="Q883" s="78"/>
      <c r="R883" s="78"/>
      <c r="S883" s="79"/>
      <c r="T883" s="79"/>
      <c r="U883" s="79"/>
      <c r="V883" s="79"/>
      <c r="W883" s="79"/>
      <c r="X883" s="79"/>
      <c r="Y883" s="79"/>
      <c r="Z883" s="79"/>
      <c r="AA883" s="79"/>
    </row>
    <row r="884" spans="1:27" x14ac:dyDescent="0.2">
      <c r="A884" s="73"/>
      <c r="B884" s="74"/>
      <c r="C884" s="74"/>
      <c r="D884" s="74"/>
      <c r="E884" s="74"/>
      <c r="F884" s="74"/>
      <c r="G884" s="75"/>
      <c r="H884" s="75"/>
      <c r="I884" s="76"/>
      <c r="J884" s="77"/>
      <c r="K884" s="76"/>
      <c r="L884" s="76"/>
      <c r="M884" s="74"/>
      <c r="N884" s="74"/>
      <c r="O884" s="78"/>
      <c r="P884" s="78"/>
      <c r="Q884" s="78"/>
      <c r="R884" s="78"/>
      <c r="S884" s="79"/>
      <c r="T884" s="79"/>
      <c r="U884" s="79"/>
      <c r="V884" s="79"/>
      <c r="W884" s="79"/>
      <c r="X884" s="79"/>
      <c r="Y884" s="79"/>
      <c r="Z884" s="79"/>
      <c r="AA884" s="79"/>
    </row>
    <row r="885" spans="1:27" x14ac:dyDescent="0.2">
      <c r="A885" s="73"/>
      <c r="B885" s="74"/>
      <c r="C885" s="74"/>
      <c r="D885" s="74"/>
      <c r="E885" s="74"/>
      <c r="F885" s="74"/>
      <c r="G885" s="75"/>
      <c r="H885" s="75"/>
      <c r="I885" s="76"/>
      <c r="J885" s="77"/>
      <c r="K885" s="76"/>
      <c r="L885" s="76"/>
      <c r="M885" s="74"/>
      <c r="N885" s="74"/>
      <c r="O885" s="78"/>
      <c r="P885" s="78"/>
      <c r="Q885" s="78"/>
      <c r="R885" s="78"/>
      <c r="S885" s="79"/>
      <c r="T885" s="79"/>
      <c r="U885" s="79"/>
      <c r="V885" s="79"/>
      <c r="W885" s="79"/>
      <c r="X885" s="79"/>
      <c r="Y885" s="79"/>
      <c r="Z885" s="79"/>
      <c r="AA885" s="79"/>
    </row>
    <row r="886" spans="1:27" x14ac:dyDescent="0.2">
      <c r="A886" s="73"/>
      <c r="B886" s="74"/>
      <c r="C886" s="74"/>
      <c r="D886" s="74"/>
      <c r="E886" s="74"/>
      <c r="F886" s="74"/>
      <c r="G886" s="75"/>
      <c r="H886" s="75"/>
      <c r="I886" s="76"/>
      <c r="J886" s="77"/>
      <c r="K886" s="76"/>
      <c r="L886" s="76"/>
      <c r="M886" s="74"/>
      <c r="N886" s="74"/>
      <c r="O886" s="78"/>
      <c r="P886" s="78"/>
      <c r="Q886" s="78"/>
      <c r="R886" s="78"/>
      <c r="S886" s="79"/>
      <c r="T886" s="79"/>
      <c r="U886" s="79"/>
      <c r="V886" s="79"/>
      <c r="W886" s="79"/>
      <c r="X886" s="79"/>
      <c r="Y886" s="79"/>
      <c r="Z886" s="79"/>
      <c r="AA886" s="79"/>
    </row>
    <row r="887" spans="1:27" x14ac:dyDescent="0.2">
      <c r="A887" s="73"/>
      <c r="B887" s="74"/>
      <c r="C887" s="74"/>
      <c r="D887" s="74"/>
      <c r="E887" s="74"/>
      <c r="F887" s="74"/>
      <c r="G887" s="75"/>
      <c r="H887" s="75"/>
      <c r="I887" s="76"/>
      <c r="J887" s="77"/>
      <c r="K887" s="76"/>
      <c r="L887" s="76"/>
      <c r="M887" s="74"/>
      <c r="N887" s="74"/>
      <c r="O887" s="78"/>
      <c r="P887" s="78"/>
      <c r="Q887" s="78"/>
      <c r="R887" s="78"/>
      <c r="S887" s="79"/>
      <c r="T887" s="79"/>
      <c r="U887" s="79"/>
      <c r="V887" s="79"/>
      <c r="W887" s="79"/>
      <c r="X887" s="79"/>
      <c r="Y887" s="79"/>
      <c r="Z887" s="79"/>
      <c r="AA887" s="79"/>
    </row>
    <row r="888" spans="1:27" x14ac:dyDescent="0.2">
      <c r="A888" s="73"/>
      <c r="B888" s="74"/>
      <c r="C888" s="74"/>
      <c r="D888" s="74"/>
      <c r="E888" s="74"/>
      <c r="F888" s="74"/>
      <c r="G888" s="75"/>
      <c r="H888" s="75"/>
      <c r="I888" s="76"/>
      <c r="J888" s="77"/>
      <c r="K888" s="76"/>
      <c r="L888" s="76"/>
      <c r="M888" s="74"/>
      <c r="N888" s="74"/>
      <c r="O888" s="78"/>
      <c r="P888" s="78"/>
      <c r="Q888" s="78"/>
      <c r="R888" s="78"/>
      <c r="S888" s="79"/>
      <c r="T888" s="79"/>
      <c r="U888" s="79"/>
      <c r="V888" s="79"/>
      <c r="W888" s="79"/>
      <c r="X888" s="79"/>
      <c r="Y888" s="79"/>
      <c r="Z888" s="79"/>
      <c r="AA888" s="79"/>
    </row>
    <row r="889" spans="1:27" x14ac:dyDescent="0.2">
      <c r="A889" s="73"/>
      <c r="B889" s="74"/>
      <c r="C889" s="74"/>
      <c r="D889" s="74"/>
      <c r="E889" s="74"/>
      <c r="F889" s="74"/>
      <c r="G889" s="75"/>
      <c r="H889" s="75"/>
      <c r="I889" s="76"/>
      <c r="J889" s="77"/>
      <c r="K889" s="76"/>
      <c r="L889" s="76"/>
      <c r="M889" s="74"/>
      <c r="N889" s="74"/>
      <c r="O889" s="78"/>
      <c r="P889" s="78"/>
      <c r="Q889" s="78"/>
      <c r="R889" s="78"/>
      <c r="S889" s="79"/>
      <c r="T889" s="79"/>
      <c r="U889" s="79"/>
      <c r="V889" s="79"/>
      <c r="W889" s="79"/>
      <c r="X889" s="79"/>
      <c r="Y889" s="79"/>
      <c r="Z889" s="79"/>
      <c r="AA889" s="79"/>
    </row>
    <row r="890" spans="1:27" x14ac:dyDescent="0.2">
      <c r="A890" s="73"/>
      <c r="B890" s="74"/>
      <c r="C890" s="74"/>
      <c r="D890" s="74"/>
      <c r="E890" s="74"/>
      <c r="F890" s="74"/>
      <c r="G890" s="75"/>
      <c r="H890" s="75"/>
      <c r="I890" s="76"/>
      <c r="J890" s="77"/>
      <c r="K890" s="76"/>
      <c r="L890" s="76"/>
      <c r="M890" s="74"/>
      <c r="N890" s="74"/>
      <c r="O890" s="78"/>
      <c r="P890" s="78"/>
      <c r="Q890" s="78"/>
      <c r="R890" s="78"/>
      <c r="S890" s="79"/>
      <c r="T890" s="79"/>
      <c r="U890" s="79"/>
      <c r="V890" s="79"/>
      <c r="W890" s="79"/>
      <c r="X890" s="79"/>
      <c r="Y890" s="79"/>
      <c r="Z890" s="79"/>
      <c r="AA890" s="79"/>
    </row>
    <row r="891" spans="1:27" x14ac:dyDescent="0.2">
      <c r="A891" s="73"/>
      <c r="B891" s="74"/>
      <c r="C891" s="74"/>
      <c r="D891" s="74"/>
      <c r="E891" s="74"/>
      <c r="F891" s="74"/>
      <c r="G891" s="75"/>
      <c r="H891" s="75"/>
      <c r="I891" s="76"/>
      <c r="J891" s="77"/>
      <c r="K891" s="76"/>
      <c r="L891" s="76"/>
      <c r="M891" s="74"/>
      <c r="N891" s="74"/>
      <c r="O891" s="78"/>
      <c r="P891" s="78"/>
      <c r="Q891" s="78"/>
      <c r="R891" s="78"/>
      <c r="S891" s="79"/>
      <c r="T891" s="79"/>
      <c r="U891" s="79"/>
      <c r="V891" s="79"/>
      <c r="W891" s="79"/>
      <c r="X891" s="79"/>
      <c r="Y891" s="79"/>
      <c r="Z891" s="79"/>
      <c r="AA891" s="79"/>
    </row>
    <row r="892" spans="1:27" x14ac:dyDescent="0.2">
      <c r="A892" s="73"/>
      <c r="B892" s="74"/>
      <c r="C892" s="74"/>
      <c r="D892" s="74"/>
      <c r="E892" s="74"/>
      <c r="F892" s="74"/>
      <c r="G892" s="75"/>
      <c r="H892" s="75"/>
      <c r="I892" s="76"/>
      <c r="J892" s="77"/>
      <c r="K892" s="76"/>
      <c r="L892" s="76"/>
      <c r="M892" s="74"/>
      <c r="N892" s="74"/>
      <c r="O892" s="78"/>
      <c r="P892" s="78"/>
      <c r="Q892" s="78"/>
      <c r="R892" s="78"/>
      <c r="S892" s="79"/>
      <c r="T892" s="79"/>
      <c r="U892" s="79"/>
      <c r="V892" s="79"/>
      <c r="W892" s="79"/>
      <c r="X892" s="79"/>
      <c r="Y892" s="79"/>
      <c r="Z892" s="79"/>
      <c r="AA892" s="79"/>
    </row>
    <row r="893" spans="1:27" x14ac:dyDescent="0.2">
      <c r="A893" s="73"/>
      <c r="B893" s="74"/>
      <c r="C893" s="74"/>
      <c r="D893" s="74"/>
      <c r="E893" s="74"/>
      <c r="F893" s="74"/>
      <c r="G893" s="75"/>
      <c r="H893" s="75"/>
      <c r="I893" s="76"/>
      <c r="J893" s="77"/>
      <c r="K893" s="76"/>
      <c r="L893" s="76"/>
      <c r="M893" s="74"/>
      <c r="N893" s="74"/>
      <c r="O893" s="78"/>
      <c r="P893" s="78"/>
      <c r="Q893" s="78"/>
      <c r="R893" s="78"/>
      <c r="S893" s="79"/>
      <c r="T893" s="79"/>
      <c r="U893" s="79"/>
      <c r="V893" s="79"/>
      <c r="W893" s="79"/>
      <c r="X893" s="79"/>
      <c r="Y893" s="79"/>
      <c r="Z893" s="79"/>
      <c r="AA893" s="79"/>
    </row>
    <row r="894" spans="1:27" x14ac:dyDescent="0.2">
      <c r="A894" s="73"/>
      <c r="B894" s="74"/>
      <c r="C894" s="74"/>
      <c r="D894" s="74"/>
      <c r="E894" s="74"/>
      <c r="F894" s="74"/>
      <c r="G894" s="75"/>
      <c r="H894" s="75"/>
      <c r="I894" s="76"/>
      <c r="J894" s="77"/>
      <c r="K894" s="76"/>
      <c r="L894" s="76"/>
      <c r="M894" s="74"/>
      <c r="N894" s="74"/>
      <c r="O894" s="78"/>
      <c r="P894" s="78"/>
      <c r="Q894" s="78"/>
      <c r="R894" s="78"/>
      <c r="S894" s="79"/>
      <c r="T894" s="79"/>
      <c r="U894" s="79"/>
      <c r="V894" s="79"/>
      <c r="W894" s="79"/>
      <c r="X894" s="79"/>
      <c r="Y894" s="79"/>
      <c r="Z894" s="79"/>
      <c r="AA894" s="79"/>
    </row>
    <row r="895" spans="1:27" x14ac:dyDescent="0.2">
      <c r="A895" s="73"/>
      <c r="B895" s="74"/>
      <c r="C895" s="74"/>
      <c r="D895" s="74"/>
      <c r="E895" s="74"/>
      <c r="F895" s="74"/>
      <c r="G895" s="75"/>
      <c r="H895" s="75"/>
      <c r="I895" s="76"/>
      <c r="J895" s="77"/>
      <c r="K895" s="76"/>
      <c r="L895" s="76"/>
      <c r="M895" s="74"/>
      <c r="N895" s="74"/>
      <c r="O895" s="78"/>
      <c r="P895" s="78"/>
      <c r="Q895" s="78"/>
      <c r="R895" s="78"/>
      <c r="S895" s="79"/>
      <c r="T895" s="79"/>
      <c r="U895" s="79"/>
      <c r="V895" s="79"/>
      <c r="W895" s="79"/>
      <c r="X895" s="79"/>
      <c r="Y895" s="79"/>
      <c r="Z895" s="79"/>
      <c r="AA895" s="79"/>
    </row>
    <row r="896" spans="1:27" x14ac:dyDescent="0.2">
      <c r="A896" s="73"/>
      <c r="B896" s="74"/>
      <c r="C896" s="74"/>
      <c r="D896" s="74"/>
      <c r="E896" s="74"/>
      <c r="F896" s="74"/>
      <c r="G896" s="75"/>
      <c r="H896" s="75"/>
      <c r="I896" s="76"/>
      <c r="J896" s="77"/>
      <c r="K896" s="76"/>
      <c r="L896" s="76"/>
      <c r="M896" s="74"/>
      <c r="N896" s="74"/>
      <c r="O896" s="78"/>
      <c r="P896" s="78"/>
      <c r="Q896" s="78"/>
      <c r="R896" s="78"/>
      <c r="S896" s="79"/>
      <c r="T896" s="79"/>
      <c r="U896" s="79"/>
      <c r="V896" s="79"/>
      <c r="W896" s="79"/>
      <c r="X896" s="79"/>
      <c r="Y896" s="79"/>
      <c r="Z896" s="79"/>
      <c r="AA896" s="79"/>
    </row>
    <row r="897" spans="1:27" x14ac:dyDescent="0.2">
      <c r="A897" s="73"/>
      <c r="B897" s="74"/>
      <c r="C897" s="74"/>
      <c r="D897" s="74"/>
      <c r="E897" s="74"/>
      <c r="F897" s="74"/>
      <c r="G897" s="75"/>
      <c r="H897" s="75"/>
      <c r="I897" s="76"/>
      <c r="J897" s="77"/>
      <c r="K897" s="76"/>
      <c r="L897" s="76"/>
      <c r="M897" s="74"/>
      <c r="N897" s="74"/>
      <c r="O897" s="78"/>
      <c r="P897" s="78"/>
      <c r="Q897" s="78"/>
      <c r="R897" s="78"/>
      <c r="S897" s="79"/>
      <c r="T897" s="79"/>
      <c r="U897" s="79"/>
      <c r="V897" s="79"/>
      <c r="W897" s="79"/>
      <c r="X897" s="79"/>
      <c r="Y897" s="79"/>
      <c r="Z897" s="79"/>
      <c r="AA897" s="79"/>
    </row>
    <row r="898" spans="1:27" x14ac:dyDescent="0.2">
      <c r="A898" s="73"/>
      <c r="B898" s="74"/>
      <c r="C898" s="74"/>
      <c r="D898" s="74"/>
      <c r="E898" s="74"/>
      <c r="F898" s="74"/>
      <c r="G898" s="75"/>
      <c r="H898" s="75"/>
      <c r="I898" s="76"/>
      <c r="J898" s="77"/>
      <c r="K898" s="76"/>
      <c r="L898" s="76"/>
      <c r="M898" s="74"/>
      <c r="N898" s="74"/>
      <c r="O898" s="78"/>
      <c r="P898" s="78"/>
      <c r="Q898" s="78"/>
      <c r="R898" s="78"/>
      <c r="S898" s="79"/>
      <c r="T898" s="79"/>
      <c r="U898" s="79"/>
      <c r="V898" s="79"/>
      <c r="W898" s="79"/>
      <c r="X898" s="79"/>
      <c r="Y898" s="79"/>
      <c r="Z898" s="79"/>
      <c r="AA898" s="79"/>
    </row>
    <row r="899" spans="1:27" x14ac:dyDescent="0.2">
      <c r="A899" s="73"/>
      <c r="B899" s="74"/>
      <c r="C899" s="74"/>
      <c r="D899" s="74"/>
      <c r="E899" s="74"/>
      <c r="F899" s="74"/>
      <c r="G899" s="75"/>
      <c r="H899" s="75"/>
      <c r="I899" s="76"/>
      <c r="J899" s="77"/>
      <c r="K899" s="76"/>
      <c r="L899" s="76"/>
      <c r="M899" s="74"/>
      <c r="N899" s="74"/>
      <c r="O899" s="78"/>
      <c r="P899" s="78"/>
      <c r="Q899" s="78"/>
      <c r="R899" s="78"/>
      <c r="S899" s="79"/>
      <c r="T899" s="79"/>
      <c r="U899" s="79"/>
      <c r="V899" s="79"/>
      <c r="W899" s="79"/>
      <c r="X899" s="79"/>
      <c r="Y899" s="79"/>
      <c r="Z899" s="79"/>
      <c r="AA899" s="79"/>
    </row>
    <row r="900" spans="1:27" x14ac:dyDescent="0.2">
      <c r="A900" s="73"/>
      <c r="B900" s="74"/>
      <c r="C900" s="74"/>
      <c r="D900" s="74"/>
      <c r="E900" s="74"/>
      <c r="F900" s="74"/>
      <c r="G900" s="75"/>
      <c r="H900" s="75"/>
      <c r="I900" s="76"/>
      <c r="J900" s="77"/>
      <c r="K900" s="76"/>
      <c r="L900" s="76"/>
      <c r="M900" s="74"/>
      <c r="N900" s="74"/>
      <c r="O900" s="78"/>
      <c r="P900" s="78"/>
      <c r="Q900" s="78"/>
      <c r="R900" s="78"/>
      <c r="S900" s="79"/>
      <c r="T900" s="79"/>
      <c r="U900" s="79"/>
      <c r="V900" s="79"/>
      <c r="W900" s="79"/>
      <c r="X900" s="79"/>
      <c r="Y900" s="79"/>
      <c r="Z900" s="79"/>
      <c r="AA900" s="79"/>
    </row>
    <row r="901" spans="1:27" x14ac:dyDescent="0.2">
      <c r="A901" s="73"/>
      <c r="B901" s="74"/>
      <c r="C901" s="74"/>
      <c r="D901" s="74"/>
      <c r="E901" s="74"/>
      <c r="F901" s="74"/>
      <c r="G901" s="75"/>
      <c r="H901" s="75"/>
      <c r="I901" s="76"/>
      <c r="J901" s="77"/>
      <c r="K901" s="76"/>
      <c r="L901" s="76"/>
      <c r="M901" s="74"/>
      <c r="N901" s="74"/>
      <c r="O901" s="78"/>
      <c r="P901" s="78"/>
      <c r="Q901" s="78"/>
      <c r="R901" s="78"/>
      <c r="S901" s="79"/>
      <c r="T901" s="79"/>
      <c r="U901" s="79"/>
      <c r="V901" s="79"/>
      <c r="W901" s="79"/>
      <c r="X901" s="79"/>
      <c r="Y901" s="79"/>
      <c r="Z901" s="79"/>
      <c r="AA901" s="79"/>
    </row>
    <row r="902" spans="1:27" x14ac:dyDescent="0.2">
      <c r="A902" s="73"/>
      <c r="B902" s="74"/>
      <c r="C902" s="74"/>
      <c r="D902" s="74"/>
      <c r="E902" s="74"/>
      <c r="F902" s="74"/>
      <c r="G902" s="75"/>
      <c r="H902" s="75"/>
      <c r="I902" s="76"/>
      <c r="J902" s="77"/>
      <c r="K902" s="76"/>
      <c r="L902" s="76"/>
      <c r="M902" s="74"/>
      <c r="N902" s="74"/>
      <c r="O902" s="78"/>
      <c r="P902" s="78"/>
      <c r="Q902" s="78"/>
      <c r="R902" s="78"/>
      <c r="S902" s="79"/>
      <c r="T902" s="79"/>
      <c r="U902" s="79"/>
      <c r="V902" s="79"/>
      <c r="W902" s="79"/>
      <c r="X902" s="79"/>
      <c r="Y902" s="79"/>
      <c r="Z902" s="79"/>
      <c r="AA902" s="79"/>
    </row>
    <row r="903" spans="1:27" x14ac:dyDescent="0.2">
      <c r="A903" s="73"/>
      <c r="B903" s="74"/>
      <c r="C903" s="74"/>
      <c r="D903" s="74"/>
      <c r="E903" s="74"/>
      <c r="F903" s="74"/>
      <c r="G903" s="75"/>
      <c r="H903" s="75"/>
      <c r="I903" s="76"/>
      <c r="J903" s="77"/>
      <c r="K903" s="76"/>
      <c r="L903" s="76"/>
      <c r="M903" s="74"/>
      <c r="N903" s="74"/>
      <c r="O903" s="78"/>
      <c r="P903" s="78"/>
      <c r="Q903" s="78"/>
      <c r="R903" s="78"/>
      <c r="S903" s="79"/>
      <c r="T903" s="79"/>
      <c r="U903" s="79"/>
      <c r="V903" s="79"/>
      <c r="W903" s="79"/>
      <c r="X903" s="79"/>
      <c r="Y903" s="79"/>
      <c r="Z903" s="79"/>
      <c r="AA903" s="79"/>
    </row>
    <row r="904" spans="1:27" x14ac:dyDescent="0.2">
      <c r="A904" s="73"/>
      <c r="B904" s="74"/>
      <c r="C904" s="74"/>
      <c r="D904" s="74"/>
      <c r="E904" s="74"/>
      <c r="F904" s="74"/>
      <c r="G904" s="75"/>
      <c r="H904" s="75"/>
      <c r="I904" s="76"/>
      <c r="J904" s="77"/>
      <c r="K904" s="76"/>
      <c r="L904" s="76"/>
      <c r="M904" s="74"/>
      <c r="N904" s="74"/>
      <c r="O904" s="78"/>
      <c r="P904" s="78"/>
      <c r="Q904" s="78"/>
      <c r="R904" s="78"/>
      <c r="S904" s="79"/>
      <c r="T904" s="79"/>
      <c r="U904" s="79"/>
      <c r="V904" s="79"/>
      <c r="W904" s="79"/>
      <c r="X904" s="79"/>
      <c r="Y904" s="79"/>
      <c r="Z904" s="79"/>
      <c r="AA904" s="79"/>
    </row>
    <row r="905" spans="1:27" x14ac:dyDescent="0.2">
      <c r="A905" s="73"/>
      <c r="B905" s="74"/>
      <c r="C905" s="74"/>
      <c r="D905" s="74"/>
      <c r="E905" s="74"/>
      <c r="F905" s="74"/>
      <c r="G905" s="75"/>
      <c r="H905" s="75"/>
      <c r="I905" s="76"/>
      <c r="J905" s="77"/>
      <c r="K905" s="76"/>
      <c r="L905" s="76"/>
      <c r="M905" s="74"/>
      <c r="N905" s="74"/>
      <c r="O905" s="78"/>
      <c r="P905" s="78"/>
      <c r="Q905" s="78"/>
      <c r="R905" s="78"/>
      <c r="S905" s="79"/>
      <c r="T905" s="79"/>
      <c r="U905" s="79"/>
      <c r="V905" s="79"/>
      <c r="W905" s="79"/>
      <c r="X905" s="79"/>
      <c r="Y905" s="79"/>
      <c r="Z905" s="79"/>
      <c r="AA905" s="79"/>
    </row>
    <row r="906" spans="1:27" x14ac:dyDescent="0.2">
      <c r="A906" s="73"/>
      <c r="B906" s="74"/>
      <c r="C906" s="74"/>
      <c r="D906" s="74"/>
      <c r="E906" s="74"/>
      <c r="F906" s="74"/>
      <c r="G906" s="75"/>
      <c r="H906" s="75"/>
      <c r="I906" s="76"/>
      <c r="J906" s="77"/>
      <c r="K906" s="76"/>
      <c r="L906" s="76"/>
      <c r="M906" s="74"/>
      <c r="N906" s="74"/>
      <c r="O906" s="78"/>
      <c r="P906" s="78"/>
      <c r="Q906" s="78"/>
      <c r="R906" s="78"/>
      <c r="S906" s="79"/>
      <c r="T906" s="79"/>
      <c r="U906" s="79"/>
      <c r="V906" s="79"/>
      <c r="W906" s="79"/>
      <c r="X906" s="79"/>
      <c r="Y906" s="79"/>
      <c r="Z906" s="79"/>
      <c r="AA906" s="79"/>
    </row>
    <row r="907" spans="1:27" x14ac:dyDescent="0.2">
      <c r="A907" s="73"/>
      <c r="B907" s="74"/>
      <c r="C907" s="74"/>
      <c r="D907" s="74"/>
      <c r="E907" s="74"/>
      <c r="F907" s="74"/>
      <c r="G907" s="75"/>
      <c r="H907" s="75"/>
      <c r="I907" s="76"/>
      <c r="J907" s="77"/>
      <c r="K907" s="76"/>
      <c r="L907" s="76"/>
      <c r="M907" s="74"/>
      <c r="N907" s="74"/>
      <c r="O907" s="78"/>
      <c r="P907" s="78"/>
      <c r="Q907" s="78"/>
      <c r="R907" s="78"/>
      <c r="S907" s="79"/>
      <c r="T907" s="79"/>
      <c r="U907" s="79"/>
      <c r="V907" s="79"/>
      <c r="W907" s="79"/>
      <c r="X907" s="79"/>
      <c r="Y907" s="79"/>
      <c r="Z907" s="79"/>
      <c r="AA907" s="79"/>
    </row>
    <row r="908" spans="1:27" x14ac:dyDescent="0.2">
      <c r="A908" s="73"/>
      <c r="B908" s="74"/>
      <c r="C908" s="74"/>
      <c r="D908" s="74"/>
      <c r="E908" s="74"/>
      <c r="F908" s="74"/>
      <c r="G908" s="75"/>
      <c r="H908" s="75"/>
      <c r="I908" s="76"/>
      <c r="J908" s="77"/>
      <c r="K908" s="76"/>
      <c r="L908" s="76"/>
      <c r="M908" s="74"/>
      <c r="N908" s="74"/>
      <c r="O908" s="78"/>
      <c r="P908" s="78"/>
      <c r="Q908" s="78"/>
      <c r="R908" s="78"/>
      <c r="S908" s="79"/>
      <c r="T908" s="79"/>
      <c r="U908" s="79"/>
      <c r="V908" s="79"/>
      <c r="W908" s="79"/>
      <c r="X908" s="79"/>
      <c r="Y908" s="79"/>
      <c r="Z908" s="79"/>
      <c r="AA908" s="79"/>
    </row>
    <row r="909" spans="1:27" x14ac:dyDescent="0.2">
      <c r="A909" s="73"/>
      <c r="B909" s="74"/>
      <c r="C909" s="74"/>
      <c r="D909" s="74"/>
      <c r="E909" s="74"/>
      <c r="F909" s="74"/>
      <c r="G909" s="75"/>
      <c r="H909" s="75"/>
      <c r="I909" s="76"/>
      <c r="J909" s="77"/>
      <c r="K909" s="76"/>
      <c r="L909" s="76"/>
      <c r="M909" s="74"/>
      <c r="N909" s="74"/>
      <c r="O909" s="78"/>
      <c r="P909" s="78"/>
      <c r="Q909" s="78"/>
      <c r="R909" s="78"/>
      <c r="S909" s="79"/>
      <c r="T909" s="79"/>
      <c r="U909" s="79"/>
      <c r="V909" s="79"/>
      <c r="W909" s="79"/>
      <c r="X909" s="79"/>
      <c r="Y909" s="79"/>
      <c r="Z909" s="79"/>
      <c r="AA909" s="79"/>
    </row>
    <row r="910" spans="1:27" x14ac:dyDescent="0.2">
      <c r="A910" s="73"/>
      <c r="B910" s="74"/>
      <c r="C910" s="74"/>
      <c r="D910" s="74"/>
      <c r="E910" s="74"/>
      <c r="F910" s="74"/>
      <c r="G910" s="75"/>
      <c r="H910" s="75"/>
      <c r="I910" s="76"/>
      <c r="J910" s="77"/>
      <c r="K910" s="76"/>
      <c r="L910" s="76"/>
      <c r="M910" s="74"/>
      <c r="N910" s="74"/>
      <c r="O910" s="78"/>
      <c r="P910" s="78"/>
      <c r="Q910" s="78"/>
      <c r="R910" s="78"/>
      <c r="S910" s="79"/>
      <c r="T910" s="79"/>
      <c r="U910" s="79"/>
      <c r="V910" s="79"/>
      <c r="W910" s="79"/>
      <c r="X910" s="79"/>
      <c r="Y910" s="79"/>
      <c r="Z910" s="79"/>
      <c r="AA910" s="79"/>
    </row>
    <row r="911" spans="1:27" x14ac:dyDescent="0.2">
      <c r="A911" s="73"/>
      <c r="B911" s="74"/>
      <c r="C911" s="74"/>
      <c r="D911" s="74"/>
      <c r="E911" s="74"/>
      <c r="F911" s="74"/>
      <c r="G911" s="75"/>
      <c r="H911" s="75"/>
      <c r="I911" s="76"/>
      <c r="J911" s="77"/>
      <c r="K911" s="76"/>
      <c r="L911" s="76"/>
      <c r="M911" s="74"/>
      <c r="N911" s="74"/>
      <c r="O911" s="78"/>
      <c r="P911" s="78"/>
      <c r="Q911" s="78"/>
      <c r="R911" s="78"/>
      <c r="S911" s="79"/>
      <c r="T911" s="79"/>
      <c r="U911" s="79"/>
      <c r="V911" s="79"/>
      <c r="W911" s="79"/>
      <c r="X911" s="79"/>
      <c r="Y911" s="79"/>
      <c r="Z911" s="79"/>
      <c r="AA911" s="79"/>
    </row>
    <row r="912" spans="1:27" x14ac:dyDescent="0.2">
      <c r="A912" s="73"/>
      <c r="B912" s="74"/>
      <c r="C912" s="74"/>
      <c r="D912" s="74"/>
      <c r="E912" s="74"/>
      <c r="F912" s="74"/>
      <c r="G912" s="75"/>
      <c r="H912" s="75"/>
      <c r="I912" s="76"/>
      <c r="J912" s="77"/>
      <c r="K912" s="76"/>
      <c r="L912" s="76"/>
      <c r="M912" s="74"/>
      <c r="N912" s="74"/>
      <c r="O912" s="78"/>
      <c r="P912" s="78"/>
      <c r="Q912" s="78"/>
      <c r="R912" s="78"/>
      <c r="S912" s="79"/>
      <c r="T912" s="79"/>
      <c r="U912" s="79"/>
      <c r="V912" s="79"/>
      <c r="W912" s="79"/>
      <c r="X912" s="79"/>
      <c r="Y912" s="79"/>
      <c r="Z912" s="79"/>
      <c r="AA912" s="79"/>
    </row>
    <row r="913" spans="1:27" x14ac:dyDescent="0.2">
      <c r="A913" s="73"/>
      <c r="B913" s="74"/>
      <c r="C913" s="74"/>
      <c r="D913" s="74"/>
      <c r="E913" s="74"/>
      <c r="F913" s="74"/>
      <c r="G913" s="75"/>
      <c r="H913" s="75"/>
      <c r="I913" s="76"/>
      <c r="J913" s="77"/>
      <c r="K913" s="76"/>
      <c r="L913" s="76"/>
      <c r="M913" s="74"/>
      <c r="N913" s="74"/>
      <c r="O913" s="78"/>
      <c r="P913" s="78"/>
      <c r="Q913" s="78"/>
      <c r="R913" s="78"/>
      <c r="S913" s="79"/>
      <c r="T913" s="79"/>
      <c r="U913" s="79"/>
      <c r="V913" s="79"/>
      <c r="W913" s="79"/>
      <c r="X913" s="79"/>
      <c r="Y913" s="79"/>
      <c r="Z913" s="79"/>
      <c r="AA913" s="79"/>
    </row>
    <row r="914" spans="1:27" x14ac:dyDescent="0.2">
      <c r="A914" s="73"/>
      <c r="B914" s="74"/>
      <c r="C914" s="74"/>
      <c r="D914" s="74"/>
      <c r="E914" s="74"/>
      <c r="F914" s="74"/>
      <c r="G914" s="75"/>
      <c r="H914" s="75"/>
      <c r="I914" s="76"/>
      <c r="J914" s="77"/>
      <c r="K914" s="76"/>
      <c r="L914" s="76"/>
      <c r="M914" s="74"/>
      <c r="N914" s="74"/>
      <c r="O914" s="78"/>
      <c r="P914" s="78"/>
      <c r="Q914" s="78"/>
      <c r="R914" s="78"/>
      <c r="S914" s="79"/>
      <c r="T914" s="79"/>
      <c r="U914" s="79"/>
      <c r="V914" s="79"/>
      <c r="W914" s="79"/>
      <c r="X914" s="79"/>
      <c r="Y914" s="79"/>
      <c r="Z914" s="79"/>
      <c r="AA914" s="79"/>
    </row>
    <row r="915" spans="1:27" x14ac:dyDescent="0.2">
      <c r="A915" s="73"/>
      <c r="B915" s="74"/>
      <c r="C915" s="74"/>
      <c r="D915" s="74"/>
      <c r="E915" s="74"/>
      <c r="F915" s="74"/>
      <c r="G915" s="75"/>
      <c r="H915" s="75"/>
      <c r="I915" s="76"/>
      <c r="J915" s="77"/>
      <c r="K915" s="76"/>
      <c r="L915" s="76"/>
      <c r="M915" s="74"/>
      <c r="N915" s="74"/>
      <c r="O915" s="78"/>
      <c r="P915" s="78"/>
      <c r="Q915" s="78"/>
      <c r="R915" s="78"/>
      <c r="S915" s="79"/>
      <c r="T915" s="79"/>
      <c r="U915" s="79"/>
      <c r="V915" s="79"/>
      <c r="W915" s="79"/>
      <c r="X915" s="79"/>
      <c r="Y915" s="79"/>
      <c r="Z915" s="79"/>
      <c r="AA915" s="79"/>
    </row>
    <row r="916" spans="1:27" x14ac:dyDescent="0.2">
      <c r="A916" s="73"/>
      <c r="B916" s="74"/>
      <c r="C916" s="74"/>
      <c r="D916" s="74"/>
      <c r="E916" s="74"/>
      <c r="F916" s="74"/>
      <c r="G916" s="75"/>
      <c r="H916" s="75"/>
      <c r="I916" s="76"/>
      <c r="J916" s="77"/>
      <c r="K916" s="76"/>
      <c r="L916" s="76"/>
      <c r="M916" s="74"/>
      <c r="N916" s="74"/>
      <c r="O916" s="78"/>
      <c r="P916" s="78"/>
      <c r="Q916" s="78"/>
      <c r="R916" s="78"/>
      <c r="S916" s="79"/>
      <c r="T916" s="79"/>
      <c r="U916" s="79"/>
      <c r="V916" s="79"/>
      <c r="W916" s="79"/>
      <c r="X916" s="79"/>
      <c r="Y916" s="79"/>
      <c r="Z916" s="79"/>
      <c r="AA916" s="79"/>
    </row>
    <row r="917" spans="1:27" x14ac:dyDescent="0.2">
      <c r="A917" s="73"/>
      <c r="B917" s="74"/>
      <c r="C917" s="74"/>
      <c r="D917" s="74"/>
      <c r="E917" s="74"/>
      <c r="F917" s="74"/>
      <c r="G917" s="75"/>
      <c r="H917" s="75"/>
      <c r="I917" s="76"/>
      <c r="J917" s="77"/>
      <c r="K917" s="76"/>
      <c r="L917" s="76"/>
      <c r="M917" s="74"/>
      <c r="N917" s="74"/>
      <c r="O917" s="78"/>
      <c r="P917" s="78"/>
      <c r="Q917" s="78"/>
      <c r="R917" s="78"/>
      <c r="S917" s="79"/>
      <c r="T917" s="79"/>
      <c r="U917" s="79"/>
      <c r="V917" s="79"/>
      <c r="W917" s="79"/>
      <c r="X917" s="79"/>
      <c r="Y917" s="79"/>
      <c r="Z917" s="79"/>
      <c r="AA917" s="79"/>
    </row>
    <row r="918" spans="1:27" x14ac:dyDescent="0.2">
      <c r="A918" s="73"/>
      <c r="B918" s="74"/>
      <c r="C918" s="74"/>
      <c r="D918" s="74"/>
      <c r="E918" s="74"/>
      <c r="F918" s="74"/>
      <c r="G918" s="75"/>
      <c r="H918" s="75"/>
      <c r="I918" s="76"/>
      <c r="J918" s="77"/>
      <c r="K918" s="76"/>
      <c r="L918" s="76"/>
      <c r="M918" s="74"/>
      <c r="N918" s="74"/>
      <c r="O918" s="78"/>
      <c r="P918" s="78"/>
      <c r="Q918" s="78"/>
      <c r="R918" s="78"/>
      <c r="S918" s="79"/>
      <c r="T918" s="79"/>
      <c r="U918" s="79"/>
      <c r="V918" s="79"/>
      <c r="W918" s="79"/>
      <c r="X918" s="79"/>
      <c r="Y918" s="79"/>
      <c r="Z918" s="79"/>
      <c r="AA918" s="79"/>
    </row>
    <row r="919" spans="1:27" x14ac:dyDescent="0.2">
      <c r="A919" s="73"/>
      <c r="B919" s="74"/>
      <c r="C919" s="74"/>
      <c r="D919" s="74"/>
      <c r="E919" s="74"/>
      <c r="F919" s="74"/>
      <c r="G919" s="75"/>
      <c r="H919" s="75"/>
      <c r="I919" s="76"/>
      <c r="J919" s="77"/>
      <c r="K919" s="76"/>
      <c r="L919" s="76"/>
      <c r="M919" s="74"/>
      <c r="N919" s="74"/>
      <c r="O919" s="78"/>
      <c r="P919" s="78"/>
      <c r="Q919" s="78"/>
      <c r="R919" s="78"/>
      <c r="S919" s="79"/>
      <c r="T919" s="79"/>
      <c r="U919" s="79"/>
      <c r="V919" s="79"/>
      <c r="W919" s="79"/>
      <c r="X919" s="79"/>
      <c r="Y919" s="79"/>
      <c r="Z919" s="79"/>
      <c r="AA919" s="79"/>
    </row>
    <row r="920" spans="1:27" x14ac:dyDescent="0.2">
      <c r="A920" s="73"/>
      <c r="B920" s="74"/>
      <c r="C920" s="74"/>
      <c r="D920" s="74"/>
      <c r="E920" s="74"/>
      <c r="F920" s="74"/>
      <c r="G920" s="75"/>
      <c r="H920" s="75"/>
      <c r="I920" s="76"/>
      <c r="J920" s="77"/>
      <c r="K920" s="76"/>
      <c r="L920" s="76"/>
      <c r="M920" s="74"/>
      <c r="N920" s="74"/>
      <c r="O920" s="78"/>
      <c r="P920" s="78"/>
      <c r="Q920" s="78"/>
      <c r="R920" s="78"/>
      <c r="S920" s="79"/>
      <c r="T920" s="79"/>
      <c r="U920" s="79"/>
      <c r="V920" s="79"/>
      <c r="W920" s="79"/>
      <c r="X920" s="79"/>
      <c r="Y920" s="79"/>
      <c r="Z920" s="79"/>
      <c r="AA920" s="79"/>
    </row>
    <row r="921" spans="1:27" x14ac:dyDescent="0.2">
      <c r="A921" s="73"/>
      <c r="B921" s="74"/>
      <c r="C921" s="74"/>
      <c r="D921" s="74"/>
      <c r="E921" s="74"/>
      <c r="F921" s="74"/>
      <c r="G921" s="75"/>
      <c r="H921" s="75"/>
      <c r="I921" s="76"/>
      <c r="J921" s="77"/>
      <c r="K921" s="76"/>
      <c r="L921" s="76"/>
      <c r="M921" s="74"/>
      <c r="N921" s="74"/>
      <c r="O921" s="78"/>
      <c r="P921" s="78"/>
      <c r="Q921" s="78"/>
      <c r="R921" s="78"/>
      <c r="S921" s="79"/>
      <c r="T921" s="79"/>
      <c r="U921" s="79"/>
      <c r="V921" s="79"/>
      <c r="W921" s="79"/>
      <c r="X921" s="79"/>
      <c r="Y921" s="79"/>
      <c r="Z921" s="79"/>
      <c r="AA921" s="79"/>
    </row>
    <row r="922" spans="1:27" x14ac:dyDescent="0.2">
      <c r="A922" s="73"/>
      <c r="B922" s="74"/>
      <c r="C922" s="74"/>
      <c r="D922" s="74"/>
      <c r="E922" s="74"/>
      <c r="F922" s="74"/>
      <c r="G922" s="75"/>
      <c r="H922" s="75"/>
      <c r="I922" s="76"/>
      <c r="J922" s="77"/>
      <c r="K922" s="76"/>
      <c r="L922" s="76"/>
      <c r="M922" s="74"/>
      <c r="N922" s="74"/>
      <c r="O922" s="78"/>
      <c r="P922" s="78"/>
      <c r="Q922" s="78"/>
      <c r="R922" s="78"/>
      <c r="S922" s="79"/>
      <c r="T922" s="79"/>
      <c r="U922" s="79"/>
      <c r="V922" s="79"/>
      <c r="W922" s="79"/>
      <c r="X922" s="79"/>
      <c r="Y922" s="79"/>
      <c r="Z922" s="79"/>
      <c r="AA922" s="79"/>
    </row>
    <row r="923" spans="1:27" x14ac:dyDescent="0.2">
      <c r="A923" s="73"/>
      <c r="B923" s="74"/>
      <c r="C923" s="74"/>
      <c r="D923" s="74"/>
      <c r="E923" s="74"/>
      <c r="F923" s="74"/>
      <c r="G923" s="75"/>
      <c r="H923" s="75"/>
      <c r="I923" s="76"/>
      <c r="J923" s="77"/>
      <c r="K923" s="76"/>
      <c r="L923" s="76"/>
      <c r="M923" s="74"/>
      <c r="N923" s="74"/>
      <c r="O923" s="78"/>
      <c r="P923" s="78"/>
      <c r="Q923" s="78"/>
      <c r="R923" s="78"/>
      <c r="S923" s="79"/>
      <c r="T923" s="79"/>
      <c r="U923" s="79"/>
      <c r="V923" s="79"/>
      <c r="W923" s="79"/>
      <c r="X923" s="79"/>
      <c r="Y923" s="79"/>
      <c r="Z923" s="79"/>
      <c r="AA923" s="79"/>
    </row>
    <row r="924" spans="1:27" x14ac:dyDescent="0.2">
      <c r="A924" s="73"/>
      <c r="B924" s="74"/>
      <c r="C924" s="74"/>
      <c r="D924" s="74"/>
      <c r="E924" s="74"/>
      <c r="F924" s="74"/>
      <c r="G924" s="75"/>
      <c r="H924" s="75"/>
      <c r="I924" s="76"/>
      <c r="J924" s="77"/>
      <c r="K924" s="76"/>
      <c r="L924" s="76"/>
      <c r="M924" s="74"/>
      <c r="N924" s="74"/>
      <c r="O924" s="78"/>
      <c r="P924" s="78"/>
      <c r="Q924" s="78"/>
      <c r="R924" s="78"/>
      <c r="S924" s="79"/>
      <c r="T924" s="79"/>
      <c r="U924" s="79"/>
      <c r="V924" s="79"/>
      <c r="W924" s="79"/>
      <c r="X924" s="79"/>
      <c r="Y924" s="79"/>
      <c r="Z924" s="79"/>
      <c r="AA924" s="79"/>
    </row>
    <row r="925" spans="1:27" x14ac:dyDescent="0.2">
      <c r="A925" s="73"/>
      <c r="B925" s="74"/>
      <c r="C925" s="74"/>
      <c r="D925" s="74"/>
      <c r="E925" s="74"/>
      <c r="F925" s="74"/>
      <c r="G925" s="75"/>
      <c r="H925" s="75"/>
      <c r="I925" s="76"/>
      <c r="J925" s="77"/>
      <c r="K925" s="76"/>
      <c r="L925" s="76"/>
      <c r="M925" s="74"/>
      <c r="N925" s="74"/>
      <c r="O925" s="78"/>
      <c r="P925" s="78"/>
      <c r="Q925" s="78"/>
      <c r="R925" s="78"/>
      <c r="S925" s="79"/>
      <c r="T925" s="79"/>
      <c r="U925" s="79"/>
      <c r="V925" s="79"/>
      <c r="W925" s="79"/>
      <c r="X925" s="79"/>
      <c r="Y925" s="79"/>
      <c r="Z925" s="79"/>
      <c r="AA925" s="79"/>
    </row>
    <row r="926" spans="1:27" x14ac:dyDescent="0.2">
      <c r="A926" s="73"/>
      <c r="B926" s="74"/>
      <c r="C926" s="74"/>
      <c r="D926" s="74"/>
      <c r="E926" s="74"/>
      <c r="F926" s="74"/>
      <c r="G926" s="75"/>
      <c r="H926" s="75"/>
      <c r="I926" s="76"/>
      <c r="J926" s="77"/>
      <c r="K926" s="76"/>
      <c r="L926" s="76"/>
      <c r="M926" s="74"/>
      <c r="N926" s="74"/>
      <c r="O926" s="78"/>
      <c r="P926" s="78"/>
      <c r="Q926" s="78"/>
      <c r="R926" s="78"/>
      <c r="S926" s="79"/>
      <c r="T926" s="79"/>
      <c r="U926" s="79"/>
      <c r="V926" s="79"/>
      <c r="W926" s="79"/>
      <c r="X926" s="79"/>
      <c r="Y926" s="79"/>
      <c r="Z926" s="79"/>
      <c r="AA926" s="79"/>
    </row>
    <row r="927" spans="1:27" x14ac:dyDescent="0.2">
      <c r="A927" s="73"/>
      <c r="B927" s="74"/>
      <c r="C927" s="74"/>
      <c r="D927" s="74"/>
      <c r="E927" s="74"/>
      <c r="F927" s="74"/>
      <c r="G927" s="75"/>
      <c r="H927" s="75"/>
      <c r="I927" s="76"/>
      <c r="J927" s="77"/>
      <c r="K927" s="76"/>
      <c r="L927" s="76"/>
      <c r="M927" s="74"/>
      <c r="N927" s="74"/>
      <c r="O927" s="78"/>
      <c r="P927" s="78"/>
      <c r="Q927" s="78"/>
      <c r="R927" s="78"/>
      <c r="S927" s="79"/>
      <c r="T927" s="79"/>
      <c r="U927" s="79"/>
      <c r="V927" s="79"/>
      <c r="W927" s="79"/>
      <c r="X927" s="79"/>
      <c r="Y927" s="79"/>
      <c r="Z927" s="79"/>
      <c r="AA927" s="79"/>
    </row>
    <row r="928" spans="1:27" x14ac:dyDescent="0.2">
      <c r="A928" s="73"/>
      <c r="B928" s="74"/>
      <c r="C928" s="74"/>
      <c r="D928" s="74"/>
      <c r="E928" s="74"/>
      <c r="F928" s="74"/>
      <c r="G928" s="75"/>
      <c r="H928" s="75"/>
      <c r="I928" s="76"/>
      <c r="J928" s="77"/>
      <c r="K928" s="76"/>
      <c r="L928" s="76"/>
      <c r="M928" s="74"/>
      <c r="N928" s="74"/>
      <c r="O928" s="78"/>
      <c r="P928" s="78"/>
      <c r="Q928" s="78"/>
      <c r="R928" s="78"/>
      <c r="S928" s="79"/>
      <c r="T928" s="79"/>
      <c r="U928" s="79"/>
      <c r="V928" s="79"/>
      <c r="W928" s="79"/>
      <c r="X928" s="79"/>
      <c r="Y928" s="79"/>
      <c r="Z928" s="79"/>
      <c r="AA928" s="79"/>
    </row>
    <row r="929" spans="1:27" x14ac:dyDescent="0.2">
      <c r="A929" s="73"/>
      <c r="B929" s="74"/>
      <c r="C929" s="74"/>
      <c r="D929" s="74"/>
      <c r="E929" s="74"/>
      <c r="F929" s="74"/>
      <c r="G929" s="75"/>
      <c r="H929" s="75"/>
      <c r="I929" s="76"/>
      <c r="J929" s="77"/>
      <c r="K929" s="76"/>
      <c r="L929" s="76"/>
      <c r="M929" s="74"/>
      <c r="N929" s="74"/>
      <c r="O929" s="78"/>
      <c r="P929" s="78"/>
      <c r="Q929" s="78"/>
      <c r="R929" s="78"/>
      <c r="S929" s="79"/>
      <c r="T929" s="79"/>
      <c r="U929" s="79"/>
      <c r="V929" s="79"/>
      <c r="W929" s="79"/>
      <c r="X929" s="79"/>
      <c r="Y929" s="79"/>
      <c r="Z929" s="79"/>
      <c r="AA929" s="79"/>
    </row>
    <row r="930" spans="1:27" x14ac:dyDescent="0.2">
      <c r="A930" s="73"/>
      <c r="B930" s="74"/>
      <c r="C930" s="74"/>
      <c r="D930" s="74"/>
      <c r="E930" s="74"/>
      <c r="F930" s="74"/>
      <c r="G930" s="75"/>
      <c r="H930" s="75"/>
      <c r="I930" s="76"/>
      <c r="J930" s="77"/>
      <c r="K930" s="76"/>
      <c r="L930" s="76"/>
      <c r="M930" s="74"/>
      <c r="N930" s="74"/>
      <c r="O930" s="78"/>
      <c r="P930" s="78"/>
      <c r="Q930" s="78"/>
      <c r="R930" s="78"/>
      <c r="S930" s="79"/>
      <c r="T930" s="79"/>
      <c r="U930" s="79"/>
      <c r="V930" s="79"/>
      <c r="W930" s="79"/>
      <c r="X930" s="79"/>
      <c r="Y930" s="79"/>
      <c r="Z930" s="79"/>
      <c r="AA930" s="79"/>
    </row>
    <row r="931" spans="1:27" x14ac:dyDescent="0.2">
      <c r="A931" s="73"/>
      <c r="B931" s="74"/>
      <c r="C931" s="74"/>
      <c r="D931" s="74"/>
      <c r="E931" s="74"/>
      <c r="F931" s="74"/>
      <c r="G931" s="75"/>
      <c r="H931" s="75"/>
      <c r="I931" s="76"/>
      <c r="J931" s="77"/>
      <c r="K931" s="76"/>
      <c r="L931" s="76"/>
      <c r="M931" s="74"/>
      <c r="N931" s="74"/>
      <c r="O931" s="78"/>
      <c r="P931" s="78"/>
      <c r="Q931" s="78"/>
      <c r="R931" s="78"/>
      <c r="S931" s="79"/>
      <c r="T931" s="79"/>
      <c r="U931" s="79"/>
      <c r="V931" s="79"/>
      <c r="W931" s="79"/>
      <c r="X931" s="79"/>
      <c r="Y931" s="79"/>
      <c r="Z931" s="79"/>
      <c r="AA931" s="79"/>
    </row>
    <row r="932" spans="1:27" x14ac:dyDescent="0.2">
      <c r="A932" s="73"/>
      <c r="B932" s="74"/>
      <c r="C932" s="74"/>
      <c r="D932" s="74"/>
      <c r="E932" s="74"/>
      <c r="F932" s="74"/>
      <c r="G932" s="75"/>
      <c r="H932" s="75"/>
      <c r="I932" s="76"/>
      <c r="J932" s="77"/>
      <c r="K932" s="76"/>
      <c r="L932" s="76"/>
      <c r="M932" s="74"/>
      <c r="N932" s="74"/>
      <c r="O932" s="78"/>
      <c r="P932" s="78"/>
      <c r="Q932" s="78"/>
      <c r="R932" s="78"/>
      <c r="S932" s="79"/>
      <c r="T932" s="79"/>
      <c r="U932" s="79"/>
      <c r="V932" s="79"/>
      <c r="W932" s="79"/>
      <c r="X932" s="79"/>
      <c r="Y932" s="79"/>
      <c r="Z932" s="79"/>
      <c r="AA932" s="79"/>
    </row>
    <row r="933" spans="1:27" x14ac:dyDescent="0.2">
      <c r="A933" s="73"/>
      <c r="B933" s="74"/>
      <c r="C933" s="74"/>
      <c r="D933" s="74"/>
      <c r="E933" s="74"/>
      <c r="F933" s="74"/>
      <c r="G933" s="75"/>
      <c r="H933" s="75"/>
      <c r="I933" s="76"/>
      <c r="J933" s="77"/>
      <c r="K933" s="76"/>
      <c r="L933" s="76"/>
      <c r="M933" s="74"/>
      <c r="N933" s="74"/>
      <c r="O933" s="78"/>
      <c r="P933" s="78"/>
      <c r="Q933" s="78"/>
      <c r="R933" s="78"/>
      <c r="S933" s="79"/>
      <c r="T933" s="79"/>
      <c r="U933" s="79"/>
      <c r="V933" s="79"/>
      <c r="W933" s="79"/>
      <c r="X933" s="79"/>
      <c r="Y933" s="79"/>
      <c r="Z933" s="79"/>
      <c r="AA933" s="79"/>
    </row>
    <row r="934" spans="1:27" x14ac:dyDescent="0.2">
      <c r="A934" s="73"/>
      <c r="B934" s="74"/>
      <c r="C934" s="74"/>
      <c r="D934" s="74"/>
      <c r="E934" s="74"/>
      <c r="F934" s="74"/>
      <c r="G934" s="75"/>
      <c r="H934" s="75"/>
      <c r="I934" s="76"/>
      <c r="J934" s="77"/>
      <c r="K934" s="76"/>
      <c r="L934" s="76"/>
      <c r="M934" s="74"/>
      <c r="N934" s="74"/>
      <c r="O934" s="78"/>
      <c r="P934" s="78"/>
      <c r="Q934" s="78"/>
      <c r="R934" s="78"/>
      <c r="S934" s="79"/>
      <c r="T934" s="79"/>
      <c r="U934" s="79"/>
      <c r="V934" s="79"/>
      <c r="W934" s="79"/>
      <c r="X934" s="79"/>
      <c r="Y934" s="79"/>
      <c r="Z934" s="79"/>
      <c r="AA934" s="79"/>
    </row>
    <row r="935" spans="1:27" x14ac:dyDescent="0.2">
      <c r="A935" s="73"/>
      <c r="B935" s="74"/>
      <c r="C935" s="74"/>
      <c r="D935" s="74"/>
      <c r="E935" s="74"/>
      <c r="F935" s="74"/>
      <c r="G935" s="75"/>
      <c r="H935" s="75"/>
      <c r="I935" s="76"/>
      <c r="J935" s="77"/>
      <c r="K935" s="76"/>
      <c r="L935" s="76"/>
      <c r="M935" s="74"/>
      <c r="N935" s="74"/>
      <c r="O935" s="78"/>
      <c r="P935" s="78"/>
      <c r="Q935" s="78"/>
      <c r="R935" s="78"/>
      <c r="S935" s="79"/>
      <c r="T935" s="79"/>
      <c r="U935" s="79"/>
      <c r="V935" s="79"/>
      <c r="W935" s="79"/>
      <c r="X935" s="79"/>
      <c r="Y935" s="79"/>
      <c r="Z935" s="79"/>
      <c r="AA935" s="79"/>
    </row>
    <row r="936" spans="1:27" x14ac:dyDescent="0.2">
      <c r="A936" s="73"/>
      <c r="B936" s="74"/>
      <c r="C936" s="74"/>
      <c r="D936" s="74"/>
      <c r="E936" s="74"/>
      <c r="F936" s="74"/>
      <c r="G936" s="75"/>
      <c r="H936" s="75"/>
      <c r="I936" s="76"/>
      <c r="J936" s="77"/>
      <c r="K936" s="76"/>
      <c r="L936" s="76"/>
      <c r="M936" s="74"/>
      <c r="N936" s="74"/>
      <c r="O936" s="78"/>
      <c r="P936" s="78"/>
      <c r="Q936" s="78"/>
      <c r="R936" s="78"/>
      <c r="S936" s="79"/>
      <c r="T936" s="79"/>
      <c r="U936" s="79"/>
      <c r="V936" s="79"/>
      <c r="W936" s="79"/>
      <c r="X936" s="79"/>
      <c r="Y936" s="79"/>
      <c r="Z936" s="79"/>
      <c r="AA936" s="79"/>
    </row>
    <row r="937" spans="1:27" x14ac:dyDescent="0.2">
      <c r="A937" s="73"/>
      <c r="B937" s="74"/>
      <c r="C937" s="74"/>
      <c r="D937" s="74"/>
      <c r="E937" s="74"/>
      <c r="F937" s="74"/>
      <c r="G937" s="75"/>
      <c r="H937" s="75"/>
      <c r="I937" s="76"/>
      <c r="J937" s="77"/>
      <c r="K937" s="76"/>
      <c r="L937" s="76"/>
      <c r="M937" s="74"/>
      <c r="N937" s="74"/>
      <c r="O937" s="78"/>
      <c r="P937" s="78"/>
      <c r="Q937" s="78"/>
      <c r="R937" s="78"/>
      <c r="S937" s="79"/>
      <c r="T937" s="79"/>
      <c r="U937" s="79"/>
      <c r="V937" s="79"/>
      <c r="W937" s="79"/>
      <c r="X937" s="79"/>
      <c r="Y937" s="79"/>
      <c r="Z937" s="79"/>
      <c r="AA937" s="79"/>
    </row>
    <row r="938" spans="1:27" x14ac:dyDescent="0.2">
      <c r="A938" s="73"/>
      <c r="B938" s="74"/>
      <c r="C938" s="74"/>
      <c r="D938" s="74"/>
      <c r="E938" s="74"/>
      <c r="F938" s="74"/>
      <c r="G938" s="75"/>
      <c r="H938" s="75"/>
      <c r="I938" s="76"/>
      <c r="J938" s="77"/>
      <c r="K938" s="76"/>
      <c r="L938" s="76"/>
      <c r="M938" s="74"/>
      <c r="N938" s="74"/>
      <c r="O938" s="78"/>
      <c r="P938" s="78"/>
      <c r="Q938" s="78"/>
      <c r="R938" s="78"/>
      <c r="S938" s="79"/>
      <c r="T938" s="79"/>
      <c r="U938" s="79"/>
      <c r="V938" s="79"/>
      <c r="W938" s="79"/>
      <c r="X938" s="79"/>
      <c r="Y938" s="79"/>
      <c r="Z938" s="79"/>
      <c r="AA938" s="79"/>
    </row>
    <row r="939" spans="1:27" x14ac:dyDescent="0.2">
      <c r="A939" s="73"/>
      <c r="B939" s="74"/>
      <c r="C939" s="74"/>
      <c r="D939" s="74"/>
      <c r="E939" s="74"/>
      <c r="F939" s="74"/>
      <c r="G939" s="75"/>
      <c r="H939" s="75"/>
      <c r="I939" s="76"/>
      <c r="J939" s="77"/>
      <c r="K939" s="76"/>
      <c r="L939" s="76"/>
      <c r="M939" s="74"/>
      <c r="N939" s="74"/>
      <c r="O939" s="78"/>
      <c r="P939" s="78"/>
      <c r="Q939" s="78"/>
      <c r="R939" s="78"/>
      <c r="S939" s="79"/>
      <c r="T939" s="79"/>
      <c r="U939" s="79"/>
      <c r="V939" s="79"/>
      <c r="W939" s="79"/>
      <c r="X939" s="79"/>
      <c r="Y939" s="79"/>
      <c r="Z939" s="79"/>
      <c r="AA939" s="79"/>
    </row>
    <row r="940" spans="1:27" x14ac:dyDescent="0.2">
      <c r="A940" s="73"/>
      <c r="B940" s="74"/>
      <c r="C940" s="74"/>
      <c r="D940" s="74"/>
      <c r="E940" s="74"/>
      <c r="F940" s="74"/>
      <c r="G940" s="75"/>
      <c r="H940" s="75"/>
      <c r="I940" s="76"/>
      <c r="J940" s="77"/>
      <c r="K940" s="76"/>
      <c r="L940" s="76"/>
      <c r="M940" s="74"/>
      <c r="N940" s="74"/>
      <c r="O940" s="78"/>
      <c r="P940" s="78"/>
      <c r="Q940" s="78"/>
      <c r="R940" s="78"/>
      <c r="S940" s="79"/>
      <c r="T940" s="79"/>
      <c r="U940" s="79"/>
      <c r="V940" s="79"/>
      <c r="W940" s="79"/>
      <c r="X940" s="79"/>
      <c r="Y940" s="79"/>
      <c r="Z940" s="79"/>
      <c r="AA940" s="79"/>
    </row>
    <row r="941" spans="1:27" x14ac:dyDescent="0.2">
      <c r="A941" s="73"/>
      <c r="B941" s="74"/>
      <c r="C941" s="74"/>
      <c r="D941" s="74"/>
      <c r="E941" s="74"/>
      <c r="F941" s="74"/>
      <c r="G941" s="75"/>
      <c r="H941" s="75"/>
      <c r="I941" s="76"/>
      <c r="J941" s="77"/>
      <c r="K941" s="76"/>
      <c r="L941" s="76"/>
      <c r="M941" s="74"/>
      <c r="N941" s="74"/>
      <c r="O941" s="78"/>
      <c r="P941" s="78"/>
      <c r="Q941" s="78"/>
      <c r="R941" s="78"/>
      <c r="S941" s="79"/>
      <c r="T941" s="79"/>
      <c r="U941" s="79"/>
      <c r="V941" s="79"/>
      <c r="W941" s="79"/>
      <c r="X941" s="79"/>
      <c r="Y941" s="79"/>
      <c r="Z941" s="79"/>
      <c r="AA941" s="79"/>
    </row>
    <row r="942" spans="1:27" x14ac:dyDescent="0.2">
      <c r="A942" s="73"/>
      <c r="B942" s="74"/>
      <c r="C942" s="74"/>
      <c r="D942" s="74"/>
      <c r="E942" s="74"/>
      <c r="F942" s="74"/>
      <c r="G942" s="75"/>
      <c r="H942" s="75"/>
      <c r="I942" s="76"/>
      <c r="J942" s="77"/>
      <c r="K942" s="76"/>
      <c r="L942" s="76"/>
      <c r="M942" s="74"/>
      <c r="N942" s="74"/>
      <c r="O942" s="78"/>
      <c r="P942" s="78"/>
      <c r="Q942" s="78"/>
      <c r="R942" s="78"/>
      <c r="S942" s="79"/>
      <c r="T942" s="79"/>
      <c r="U942" s="79"/>
      <c r="V942" s="79"/>
      <c r="W942" s="79"/>
      <c r="X942" s="79"/>
      <c r="Y942" s="79"/>
      <c r="Z942" s="79"/>
      <c r="AA942" s="79"/>
    </row>
    <row r="943" spans="1:27" x14ac:dyDescent="0.2">
      <c r="A943" s="73"/>
      <c r="B943" s="74"/>
      <c r="C943" s="74"/>
      <c r="D943" s="74"/>
      <c r="E943" s="74"/>
      <c r="F943" s="74"/>
      <c r="G943" s="75"/>
      <c r="H943" s="75"/>
      <c r="I943" s="76"/>
      <c r="J943" s="77"/>
      <c r="K943" s="76"/>
      <c r="L943" s="76"/>
      <c r="M943" s="74"/>
      <c r="N943" s="74"/>
      <c r="O943" s="78"/>
      <c r="P943" s="78"/>
      <c r="Q943" s="78"/>
      <c r="R943" s="78"/>
      <c r="S943" s="79"/>
      <c r="T943" s="79"/>
      <c r="U943" s="79"/>
      <c r="V943" s="79"/>
      <c r="W943" s="79"/>
      <c r="X943" s="79"/>
      <c r="Y943" s="79"/>
      <c r="Z943" s="79"/>
      <c r="AA943" s="79"/>
    </row>
    <row r="944" spans="1:27" x14ac:dyDescent="0.2">
      <c r="A944" s="73"/>
      <c r="B944" s="74"/>
      <c r="C944" s="74"/>
      <c r="D944" s="74"/>
      <c r="E944" s="74"/>
      <c r="F944" s="74"/>
      <c r="G944" s="75"/>
      <c r="H944" s="75"/>
      <c r="I944" s="76"/>
      <c r="J944" s="77"/>
      <c r="K944" s="76"/>
      <c r="L944" s="76"/>
      <c r="M944" s="74"/>
      <c r="N944" s="74"/>
      <c r="O944" s="78"/>
      <c r="P944" s="78"/>
      <c r="Q944" s="78"/>
      <c r="R944" s="78"/>
      <c r="S944" s="79"/>
      <c r="T944" s="79"/>
      <c r="U944" s="79"/>
      <c r="V944" s="79"/>
      <c r="W944" s="79"/>
      <c r="X944" s="79"/>
      <c r="Y944" s="79"/>
      <c r="Z944" s="79"/>
      <c r="AA944" s="79"/>
    </row>
    <row r="945" spans="1:27" x14ac:dyDescent="0.2">
      <c r="A945" s="73"/>
      <c r="B945" s="74"/>
      <c r="C945" s="74"/>
      <c r="D945" s="74"/>
      <c r="E945" s="74"/>
      <c r="F945" s="74"/>
      <c r="G945" s="75"/>
      <c r="H945" s="75"/>
      <c r="I945" s="76"/>
      <c r="J945" s="77"/>
      <c r="K945" s="76"/>
      <c r="L945" s="76"/>
      <c r="M945" s="74"/>
      <c r="N945" s="74"/>
      <c r="O945" s="78"/>
      <c r="P945" s="78"/>
      <c r="Q945" s="78"/>
      <c r="R945" s="78"/>
      <c r="S945" s="79"/>
      <c r="T945" s="79"/>
      <c r="U945" s="79"/>
      <c r="V945" s="79"/>
      <c r="W945" s="79"/>
      <c r="X945" s="79"/>
      <c r="Y945" s="79"/>
      <c r="Z945" s="79"/>
      <c r="AA945" s="79"/>
    </row>
    <row r="946" spans="1:27" x14ac:dyDescent="0.2">
      <c r="A946" s="73"/>
      <c r="B946" s="74"/>
      <c r="C946" s="74"/>
      <c r="D946" s="74"/>
      <c r="E946" s="74"/>
      <c r="F946" s="74"/>
      <c r="G946" s="75"/>
      <c r="H946" s="75"/>
      <c r="I946" s="76"/>
      <c r="J946" s="77"/>
      <c r="K946" s="76"/>
      <c r="L946" s="76"/>
      <c r="M946" s="74"/>
      <c r="N946" s="74"/>
      <c r="O946" s="78"/>
      <c r="P946" s="78"/>
      <c r="Q946" s="78"/>
      <c r="R946" s="78"/>
      <c r="S946" s="79"/>
      <c r="T946" s="79"/>
      <c r="U946" s="79"/>
      <c r="V946" s="79"/>
      <c r="W946" s="79"/>
      <c r="X946" s="79"/>
      <c r="Y946" s="79"/>
      <c r="Z946" s="79"/>
      <c r="AA946" s="79"/>
    </row>
    <row r="947" spans="1:27" x14ac:dyDescent="0.2">
      <c r="A947" s="73"/>
      <c r="B947" s="74"/>
      <c r="C947" s="74"/>
      <c r="D947" s="74"/>
      <c r="E947" s="74"/>
      <c r="F947" s="74"/>
      <c r="G947" s="75"/>
      <c r="H947" s="75"/>
      <c r="I947" s="76"/>
      <c r="J947" s="77"/>
      <c r="K947" s="76"/>
      <c r="L947" s="76"/>
      <c r="M947" s="74"/>
      <c r="N947" s="74"/>
      <c r="O947" s="78"/>
      <c r="P947" s="78"/>
      <c r="Q947" s="78"/>
      <c r="R947" s="78"/>
      <c r="S947" s="79"/>
      <c r="T947" s="79"/>
      <c r="U947" s="79"/>
      <c r="V947" s="79"/>
      <c r="W947" s="79"/>
      <c r="X947" s="79"/>
      <c r="Y947" s="79"/>
      <c r="Z947" s="79"/>
      <c r="AA947" s="79"/>
    </row>
    <row r="948" spans="1:27" x14ac:dyDescent="0.2">
      <c r="A948" s="73"/>
      <c r="B948" s="74"/>
      <c r="C948" s="74"/>
      <c r="D948" s="74"/>
      <c r="E948" s="74"/>
      <c r="F948" s="74"/>
      <c r="G948" s="75"/>
      <c r="H948" s="75"/>
      <c r="I948" s="76"/>
      <c r="J948" s="77"/>
      <c r="K948" s="76"/>
      <c r="L948" s="76"/>
      <c r="M948" s="74"/>
      <c r="N948" s="74"/>
      <c r="O948" s="78"/>
      <c r="P948" s="78"/>
      <c r="Q948" s="78"/>
      <c r="R948" s="78"/>
      <c r="S948" s="79"/>
      <c r="T948" s="79"/>
      <c r="U948" s="79"/>
      <c r="V948" s="79"/>
      <c r="W948" s="79"/>
      <c r="X948" s="79"/>
      <c r="Y948" s="79"/>
      <c r="Z948" s="79"/>
      <c r="AA948" s="79"/>
    </row>
    <row r="949" spans="1:27" x14ac:dyDescent="0.2">
      <c r="A949" s="73"/>
      <c r="B949" s="74"/>
      <c r="C949" s="74"/>
      <c r="D949" s="74"/>
      <c r="E949" s="74"/>
      <c r="F949" s="74"/>
      <c r="G949" s="75"/>
      <c r="H949" s="75"/>
      <c r="I949" s="76"/>
      <c r="J949" s="77"/>
      <c r="K949" s="76"/>
      <c r="L949" s="76"/>
      <c r="M949" s="74"/>
      <c r="N949" s="74"/>
      <c r="O949" s="78"/>
      <c r="P949" s="78"/>
      <c r="Q949" s="78"/>
      <c r="R949" s="78"/>
      <c r="S949" s="79"/>
      <c r="T949" s="79"/>
      <c r="U949" s="79"/>
      <c r="V949" s="79"/>
      <c r="W949" s="79"/>
      <c r="X949" s="79"/>
      <c r="Y949" s="79"/>
      <c r="Z949" s="79"/>
      <c r="AA949" s="79"/>
    </row>
    <row r="950" spans="1:27" x14ac:dyDescent="0.2">
      <c r="A950" s="73"/>
      <c r="B950" s="74"/>
      <c r="C950" s="74"/>
      <c r="D950" s="74"/>
      <c r="E950" s="74"/>
      <c r="F950" s="74"/>
      <c r="G950" s="75"/>
      <c r="H950" s="75"/>
      <c r="I950" s="76"/>
      <c r="J950" s="77"/>
      <c r="K950" s="76"/>
      <c r="L950" s="76"/>
      <c r="M950" s="74"/>
      <c r="N950" s="74"/>
      <c r="O950" s="78"/>
      <c r="P950" s="78"/>
      <c r="Q950" s="78"/>
      <c r="R950" s="78"/>
      <c r="S950" s="79"/>
      <c r="T950" s="79"/>
      <c r="U950" s="79"/>
      <c r="V950" s="79"/>
      <c r="W950" s="79"/>
      <c r="X950" s="79"/>
      <c r="Y950" s="79"/>
      <c r="Z950" s="79"/>
      <c r="AA950" s="79"/>
    </row>
    <row r="951" spans="1:27" x14ac:dyDescent="0.2">
      <c r="A951" s="73"/>
      <c r="B951" s="74"/>
      <c r="C951" s="74"/>
      <c r="D951" s="74"/>
      <c r="E951" s="74"/>
      <c r="F951" s="74"/>
      <c r="G951" s="75"/>
      <c r="H951" s="75"/>
      <c r="I951" s="76"/>
      <c r="J951" s="77"/>
      <c r="K951" s="76"/>
      <c r="L951" s="76"/>
      <c r="M951" s="74"/>
      <c r="N951" s="74"/>
      <c r="O951" s="78"/>
      <c r="P951" s="78"/>
      <c r="Q951" s="78"/>
      <c r="R951" s="78"/>
      <c r="S951" s="79"/>
      <c r="T951" s="79"/>
      <c r="U951" s="79"/>
      <c r="V951" s="79"/>
      <c r="W951" s="79"/>
      <c r="X951" s="79"/>
      <c r="Y951" s="79"/>
      <c r="Z951" s="79"/>
      <c r="AA951" s="79"/>
    </row>
    <row r="952" spans="1:27" x14ac:dyDescent="0.2">
      <c r="A952" s="73"/>
      <c r="B952" s="74"/>
      <c r="C952" s="74"/>
      <c r="D952" s="74"/>
      <c r="E952" s="74"/>
      <c r="F952" s="74"/>
      <c r="G952" s="75"/>
      <c r="H952" s="75"/>
      <c r="I952" s="76"/>
      <c r="J952" s="77"/>
      <c r="K952" s="76"/>
      <c r="L952" s="76"/>
      <c r="M952" s="74"/>
      <c r="N952" s="74"/>
      <c r="O952" s="78"/>
      <c r="P952" s="78"/>
      <c r="Q952" s="78"/>
      <c r="R952" s="78"/>
      <c r="S952" s="79"/>
      <c r="T952" s="79"/>
      <c r="U952" s="79"/>
      <c r="V952" s="79"/>
      <c r="W952" s="79"/>
      <c r="X952" s="79"/>
      <c r="Y952" s="79"/>
      <c r="Z952" s="79"/>
      <c r="AA952" s="79"/>
    </row>
    <row r="953" spans="1:27" x14ac:dyDescent="0.2">
      <c r="A953" s="73"/>
      <c r="B953" s="74"/>
      <c r="C953" s="74"/>
      <c r="D953" s="74"/>
      <c r="E953" s="74"/>
      <c r="F953" s="74"/>
      <c r="G953" s="75"/>
      <c r="H953" s="75"/>
      <c r="I953" s="76"/>
      <c r="J953" s="77"/>
      <c r="K953" s="76"/>
      <c r="L953" s="76"/>
      <c r="M953" s="74"/>
      <c r="N953" s="74"/>
      <c r="O953" s="78"/>
      <c r="P953" s="78"/>
      <c r="Q953" s="78"/>
      <c r="R953" s="78"/>
      <c r="S953" s="79"/>
      <c r="T953" s="79"/>
      <c r="U953" s="79"/>
      <c r="V953" s="79"/>
      <c r="W953" s="79"/>
      <c r="X953" s="79"/>
      <c r="Y953" s="79"/>
      <c r="Z953" s="79"/>
      <c r="AA953" s="79"/>
    </row>
    <row r="954" spans="1:27" x14ac:dyDescent="0.2">
      <c r="A954" s="73"/>
      <c r="B954" s="74"/>
      <c r="C954" s="74"/>
      <c r="D954" s="74"/>
      <c r="E954" s="74"/>
      <c r="F954" s="74"/>
      <c r="G954" s="75"/>
      <c r="H954" s="75"/>
      <c r="I954" s="76"/>
      <c r="J954" s="77"/>
      <c r="K954" s="76"/>
      <c r="L954" s="76"/>
      <c r="M954" s="74"/>
      <c r="N954" s="74"/>
      <c r="O954" s="78"/>
      <c r="P954" s="78"/>
      <c r="Q954" s="78"/>
      <c r="R954" s="78"/>
      <c r="S954" s="79"/>
      <c r="T954" s="79"/>
      <c r="U954" s="79"/>
      <c r="V954" s="79"/>
      <c r="W954" s="79"/>
      <c r="X954" s="79"/>
      <c r="Y954" s="79"/>
      <c r="Z954" s="79"/>
      <c r="AA954" s="79"/>
    </row>
    <row r="955" spans="1:27" x14ac:dyDescent="0.2">
      <c r="A955" s="73"/>
      <c r="B955" s="74"/>
      <c r="C955" s="74"/>
      <c r="D955" s="74"/>
      <c r="E955" s="74"/>
      <c r="F955" s="74"/>
      <c r="G955" s="75"/>
      <c r="H955" s="75"/>
      <c r="I955" s="76"/>
      <c r="J955" s="77"/>
      <c r="K955" s="76"/>
      <c r="L955" s="76"/>
      <c r="M955" s="74"/>
      <c r="N955" s="74"/>
      <c r="O955" s="78"/>
      <c r="P955" s="78"/>
      <c r="Q955" s="78"/>
      <c r="R955" s="78"/>
      <c r="S955" s="79"/>
      <c r="T955" s="79"/>
      <c r="U955" s="79"/>
      <c r="V955" s="79"/>
      <c r="W955" s="79"/>
      <c r="X955" s="79"/>
      <c r="Y955" s="79"/>
      <c r="Z955" s="79"/>
      <c r="AA955" s="79"/>
    </row>
    <row r="956" spans="1:27" x14ac:dyDescent="0.2">
      <c r="A956" s="73"/>
      <c r="B956" s="74"/>
      <c r="C956" s="74"/>
      <c r="D956" s="74"/>
      <c r="E956" s="74"/>
      <c r="F956" s="74"/>
      <c r="G956" s="75"/>
      <c r="H956" s="75"/>
      <c r="I956" s="76"/>
      <c r="J956" s="77"/>
      <c r="K956" s="76"/>
      <c r="L956" s="76"/>
      <c r="M956" s="74"/>
      <c r="N956" s="74"/>
      <c r="O956" s="78"/>
      <c r="P956" s="78"/>
      <c r="Q956" s="78"/>
      <c r="R956" s="78"/>
      <c r="S956" s="79"/>
      <c r="T956" s="79"/>
      <c r="U956" s="79"/>
      <c r="V956" s="79"/>
      <c r="W956" s="79"/>
      <c r="X956" s="79"/>
      <c r="Y956" s="79"/>
      <c r="Z956" s="79"/>
      <c r="AA956" s="79"/>
    </row>
    <row r="957" spans="1:27" x14ac:dyDescent="0.2">
      <c r="A957" s="73"/>
      <c r="B957" s="74"/>
      <c r="C957" s="74"/>
      <c r="D957" s="74"/>
      <c r="E957" s="74"/>
      <c r="F957" s="74"/>
      <c r="G957" s="75"/>
      <c r="H957" s="75"/>
      <c r="I957" s="76"/>
      <c r="J957" s="77"/>
      <c r="K957" s="76"/>
      <c r="L957" s="76"/>
      <c r="M957" s="74"/>
      <c r="N957" s="74"/>
      <c r="O957" s="78"/>
      <c r="P957" s="78"/>
      <c r="Q957" s="78"/>
      <c r="R957" s="78"/>
      <c r="S957" s="79"/>
      <c r="T957" s="79"/>
      <c r="U957" s="79"/>
      <c r="V957" s="79"/>
      <c r="W957" s="79"/>
      <c r="X957" s="79"/>
      <c r="Y957" s="79"/>
      <c r="Z957" s="79"/>
      <c r="AA957" s="79"/>
    </row>
    <row r="958" spans="1:27" x14ac:dyDescent="0.2">
      <c r="A958" s="73"/>
      <c r="B958" s="74"/>
      <c r="C958" s="74"/>
      <c r="D958" s="74"/>
      <c r="E958" s="74"/>
      <c r="F958" s="74"/>
      <c r="G958" s="75"/>
      <c r="H958" s="75"/>
      <c r="I958" s="76"/>
      <c r="J958" s="77"/>
      <c r="K958" s="76"/>
      <c r="L958" s="76"/>
      <c r="M958" s="74"/>
      <c r="N958" s="74"/>
      <c r="O958" s="78"/>
      <c r="P958" s="78"/>
      <c r="Q958" s="78"/>
      <c r="R958" s="78"/>
      <c r="S958" s="79"/>
      <c r="T958" s="79"/>
      <c r="U958" s="79"/>
      <c r="V958" s="79"/>
      <c r="W958" s="79"/>
      <c r="X958" s="79"/>
      <c r="Y958" s="79"/>
      <c r="Z958" s="79"/>
      <c r="AA958" s="79"/>
    </row>
    <row r="959" spans="1:27" x14ac:dyDescent="0.2">
      <c r="A959" s="73"/>
      <c r="B959" s="74"/>
      <c r="C959" s="74"/>
      <c r="D959" s="74"/>
      <c r="E959" s="74"/>
      <c r="F959" s="74"/>
      <c r="G959" s="75"/>
      <c r="H959" s="75"/>
      <c r="I959" s="76"/>
      <c r="J959" s="77"/>
      <c r="K959" s="76"/>
      <c r="L959" s="76"/>
      <c r="M959" s="74"/>
      <c r="N959" s="74"/>
      <c r="O959" s="78"/>
      <c r="P959" s="78"/>
      <c r="Q959" s="78"/>
      <c r="R959" s="78"/>
      <c r="S959" s="79"/>
      <c r="T959" s="79"/>
      <c r="U959" s="79"/>
      <c r="V959" s="79"/>
      <c r="W959" s="79"/>
      <c r="X959" s="79"/>
      <c r="Y959" s="79"/>
      <c r="Z959" s="79"/>
      <c r="AA959" s="79"/>
    </row>
    <row r="960" spans="1:27" x14ac:dyDescent="0.2">
      <c r="A960" s="73"/>
      <c r="B960" s="74"/>
      <c r="C960" s="74"/>
      <c r="D960" s="74"/>
      <c r="E960" s="74"/>
      <c r="F960" s="74"/>
      <c r="G960" s="75"/>
      <c r="H960" s="75"/>
      <c r="I960" s="76"/>
      <c r="J960" s="77"/>
      <c r="K960" s="76"/>
      <c r="L960" s="76"/>
      <c r="M960" s="74"/>
      <c r="N960" s="74"/>
      <c r="O960" s="78"/>
      <c r="P960" s="78"/>
      <c r="Q960" s="78"/>
      <c r="R960" s="78"/>
      <c r="S960" s="79"/>
      <c r="T960" s="79"/>
      <c r="U960" s="79"/>
      <c r="V960" s="79"/>
      <c r="W960" s="79"/>
      <c r="X960" s="79"/>
      <c r="Y960" s="79"/>
      <c r="Z960" s="79"/>
      <c r="AA960" s="79"/>
    </row>
    <row r="961" spans="1:27" x14ac:dyDescent="0.2">
      <c r="A961" s="73"/>
      <c r="B961" s="74"/>
      <c r="C961" s="74"/>
      <c r="D961" s="74"/>
      <c r="E961" s="74"/>
      <c r="F961" s="74"/>
      <c r="G961" s="75"/>
      <c r="H961" s="75"/>
      <c r="I961" s="76"/>
      <c r="J961" s="77"/>
      <c r="K961" s="76"/>
      <c r="L961" s="76"/>
      <c r="M961" s="74"/>
      <c r="N961" s="74"/>
      <c r="O961" s="78"/>
      <c r="P961" s="78"/>
      <c r="Q961" s="78"/>
      <c r="R961" s="78"/>
      <c r="S961" s="79"/>
      <c r="T961" s="79"/>
      <c r="U961" s="79"/>
      <c r="V961" s="79"/>
      <c r="W961" s="79"/>
      <c r="X961" s="79"/>
      <c r="Y961" s="79"/>
      <c r="Z961" s="79"/>
      <c r="AA961" s="79"/>
    </row>
    <row r="962" spans="1:27" x14ac:dyDescent="0.2">
      <c r="A962" s="73"/>
      <c r="B962" s="74"/>
      <c r="C962" s="74"/>
      <c r="D962" s="74"/>
      <c r="E962" s="74"/>
      <c r="F962" s="74"/>
      <c r="G962" s="75"/>
      <c r="H962" s="75"/>
      <c r="I962" s="76"/>
      <c r="J962" s="77"/>
      <c r="K962" s="76"/>
      <c r="L962" s="76"/>
      <c r="M962" s="74"/>
      <c r="N962" s="74"/>
      <c r="O962" s="78"/>
      <c r="P962" s="78"/>
      <c r="Q962" s="78"/>
      <c r="R962" s="78"/>
      <c r="S962" s="79"/>
      <c r="T962" s="79"/>
      <c r="U962" s="79"/>
      <c r="V962" s="79"/>
      <c r="W962" s="79"/>
      <c r="X962" s="79"/>
      <c r="Y962" s="79"/>
      <c r="Z962" s="79"/>
      <c r="AA962" s="79"/>
    </row>
    <row r="963" spans="1:27" x14ac:dyDescent="0.2">
      <c r="A963" s="73"/>
      <c r="B963" s="74"/>
      <c r="C963" s="74"/>
      <c r="D963" s="74"/>
      <c r="E963" s="74"/>
      <c r="F963" s="74"/>
      <c r="G963" s="75"/>
      <c r="H963" s="75"/>
      <c r="I963" s="76"/>
      <c r="J963" s="77"/>
      <c r="K963" s="76"/>
      <c r="L963" s="76"/>
      <c r="M963" s="74"/>
      <c r="N963" s="74"/>
      <c r="O963" s="78"/>
      <c r="P963" s="78"/>
      <c r="Q963" s="78"/>
      <c r="R963" s="78"/>
      <c r="S963" s="79"/>
      <c r="T963" s="79"/>
      <c r="U963" s="79"/>
      <c r="V963" s="79"/>
      <c r="W963" s="79"/>
      <c r="X963" s="79"/>
      <c r="Y963" s="79"/>
      <c r="Z963" s="79"/>
      <c r="AA963" s="79"/>
    </row>
    <row r="964" spans="1:27" x14ac:dyDescent="0.2">
      <c r="A964" s="73"/>
      <c r="B964" s="74"/>
      <c r="C964" s="74"/>
      <c r="D964" s="74"/>
      <c r="E964" s="74"/>
      <c r="F964" s="74"/>
      <c r="G964" s="75"/>
      <c r="H964" s="75"/>
      <c r="I964" s="76"/>
      <c r="J964" s="77"/>
      <c r="K964" s="76"/>
      <c r="L964" s="76"/>
      <c r="M964" s="74"/>
      <c r="N964" s="74"/>
      <c r="O964" s="78"/>
      <c r="P964" s="78"/>
      <c r="Q964" s="78"/>
      <c r="R964" s="78"/>
      <c r="S964" s="79"/>
      <c r="T964" s="79"/>
      <c r="U964" s="79"/>
      <c r="V964" s="79"/>
      <c r="W964" s="79"/>
      <c r="X964" s="79"/>
      <c r="Y964" s="79"/>
      <c r="Z964" s="79"/>
      <c r="AA964" s="79"/>
    </row>
    <row r="965" spans="1:27" x14ac:dyDescent="0.2">
      <c r="A965" s="73"/>
      <c r="B965" s="74"/>
      <c r="C965" s="74"/>
      <c r="D965" s="74"/>
      <c r="E965" s="74"/>
      <c r="F965" s="74"/>
      <c r="G965" s="75"/>
      <c r="H965" s="75"/>
      <c r="I965" s="76"/>
      <c r="J965" s="77"/>
      <c r="K965" s="76"/>
      <c r="L965" s="76"/>
      <c r="M965" s="74"/>
      <c r="N965" s="74"/>
      <c r="O965" s="78"/>
      <c r="P965" s="78"/>
      <c r="Q965" s="78"/>
      <c r="R965" s="78"/>
      <c r="S965" s="79"/>
      <c r="T965" s="79"/>
      <c r="U965" s="79"/>
      <c r="V965" s="79"/>
      <c r="W965" s="79"/>
      <c r="X965" s="79"/>
      <c r="Y965" s="79"/>
      <c r="Z965" s="79"/>
      <c r="AA965" s="79"/>
    </row>
    <row r="966" spans="1:27" x14ac:dyDescent="0.2">
      <c r="A966" s="73"/>
      <c r="B966" s="74"/>
      <c r="C966" s="74"/>
      <c r="D966" s="74"/>
      <c r="E966" s="74"/>
      <c r="F966" s="74"/>
      <c r="G966" s="75"/>
      <c r="H966" s="75"/>
      <c r="I966" s="76"/>
      <c r="J966" s="77"/>
      <c r="K966" s="76"/>
      <c r="L966" s="76"/>
      <c r="M966" s="74"/>
      <c r="N966" s="74"/>
      <c r="O966" s="78"/>
      <c r="P966" s="78"/>
      <c r="Q966" s="78"/>
      <c r="R966" s="78"/>
      <c r="S966" s="79"/>
      <c r="T966" s="79"/>
      <c r="U966" s="79"/>
      <c r="V966" s="79"/>
      <c r="W966" s="79"/>
      <c r="X966" s="79"/>
      <c r="Y966" s="79"/>
      <c r="Z966" s="79"/>
      <c r="AA966" s="79"/>
    </row>
    <row r="967" spans="1:27" x14ac:dyDescent="0.2">
      <c r="A967" s="73"/>
      <c r="B967" s="74"/>
      <c r="C967" s="74"/>
      <c r="D967" s="74"/>
      <c r="E967" s="74"/>
      <c r="F967" s="74"/>
      <c r="G967" s="75"/>
      <c r="H967" s="75"/>
      <c r="I967" s="76"/>
      <c r="J967" s="77"/>
      <c r="K967" s="76"/>
      <c r="L967" s="76"/>
      <c r="M967" s="74"/>
      <c r="N967" s="74"/>
      <c r="O967" s="78"/>
      <c r="P967" s="78"/>
      <c r="Q967" s="78"/>
      <c r="R967" s="78"/>
      <c r="S967" s="79"/>
      <c r="T967" s="79"/>
      <c r="U967" s="79"/>
      <c r="V967" s="79"/>
      <c r="W967" s="79"/>
      <c r="X967" s="79"/>
      <c r="Y967" s="79"/>
      <c r="Z967" s="79"/>
      <c r="AA967" s="79"/>
    </row>
    <row r="968" spans="1:27" x14ac:dyDescent="0.2">
      <c r="A968" s="73"/>
      <c r="B968" s="74"/>
      <c r="C968" s="74"/>
      <c r="D968" s="74"/>
      <c r="E968" s="74"/>
      <c r="F968" s="74"/>
      <c r="G968" s="75"/>
      <c r="H968" s="75"/>
      <c r="I968" s="76"/>
      <c r="J968" s="77"/>
      <c r="K968" s="76"/>
      <c r="L968" s="76"/>
      <c r="M968" s="74"/>
      <c r="N968" s="74"/>
      <c r="O968" s="78"/>
      <c r="P968" s="78"/>
      <c r="Q968" s="78"/>
      <c r="R968" s="78"/>
      <c r="S968" s="79"/>
      <c r="T968" s="79"/>
      <c r="U968" s="79"/>
      <c r="V968" s="79"/>
      <c r="W968" s="79"/>
      <c r="X968" s="79"/>
      <c r="Y968" s="79"/>
      <c r="Z968" s="79"/>
      <c r="AA968" s="79"/>
    </row>
    <row r="969" spans="1:27" x14ac:dyDescent="0.2">
      <c r="A969" s="73"/>
      <c r="B969" s="74"/>
      <c r="C969" s="74"/>
      <c r="D969" s="74"/>
      <c r="E969" s="74"/>
      <c r="F969" s="74"/>
      <c r="G969" s="75"/>
      <c r="H969" s="75"/>
      <c r="I969" s="76"/>
      <c r="J969" s="77"/>
      <c r="K969" s="76"/>
      <c r="L969" s="76"/>
      <c r="M969" s="74"/>
      <c r="N969" s="74"/>
      <c r="O969" s="78"/>
      <c r="P969" s="78"/>
      <c r="Q969" s="78"/>
      <c r="R969" s="78"/>
      <c r="S969" s="79"/>
      <c r="T969" s="79"/>
      <c r="U969" s="79"/>
      <c r="V969" s="79"/>
      <c r="W969" s="79"/>
      <c r="X969" s="79"/>
      <c r="Y969" s="79"/>
      <c r="Z969" s="79"/>
      <c r="AA969" s="79"/>
    </row>
    <row r="970" spans="1:27" x14ac:dyDescent="0.2">
      <c r="A970" s="73"/>
      <c r="B970" s="74"/>
      <c r="C970" s="74"/>
      <c r="D970" s="74"/>
      <c r="E970" s="74"/>
      <c r="F970" s="74"/>
      <c r="G970" s="75"/>
      <c r="H970" s="75"/>
      <c r="I970" s="76"/>
      <c r="J970" s="77"/>
      <c r="K970" s="76"/>
      <c r="L970" s="76"/>
      <c r="M970" s="74"/>
      <c r="N970" s="74"/>
      <c r="O970" s="78"/>
      <c r="P970" s="78"/>
      <c r="Q970" s="78"/>
      <c r="R970" s="78"/>
      <c r="S970" s="79"/>
      <c r="T970" s="79"/>
      <c r="U970" s="79"/>
      <c r="V970" s="79"/>
      <c r="W970" s="79"/>
      <c r="X970" s="79"/>
      <c r="Y970" s="79"/>
      <c r="Z970" s="79"/>
      <c r="AA970" s="79"/>
    </row>
    <row r="971" spans="1:27" x14ac:dyDescent="0.2">
      <c r="A971" s="73"/>
      <c r="B971" s="74"/>
      <c r="C971" s="74"/>
      <c r="D971" s="74"/>
      <c r="E971" s="74"/>
      <c r="F971" s="74"/>
      <c r="G971" s="75"/>
      <c r="H971" s="75"/>
      <c r="I971" s="76"/>
      <c r="J971" s="77"/>
      <c r="K971" s="76"/>
      <c r="L971" s="76"/>
      <c r="M971" s="74"/>
      <c r="N971" s="74"/>
      <c r="O971" s="78"/>
      <c r="P971" s="78"/>
      <c r="Q971" s="78"/>
      <c r="R971" s="78"/>
      <c r="S971" s="79"/>
      <c r="T971" s="79"/>
      <c r="U971" s="79"/>
      <c r="V971" s="79"/>
      <c r="W971" s="79"/>
      <c r="X971" s="79"/>
      <c r="Y971" s="79"/>
      <c r="Z971" s="79"/>
      <c r="AA971" s="79"/>
    </row>
    <row r="972" spans="1:27" x14ac:dyDescent="0.2">
      <c r="A972" s="73"/>
      <c r="B972" s="74"/>
      <c r="C972" s="74"/>
      <c r="D972" s="74"/>
      <c r="E972" s="74"/>
      <c r="F972" s="74"/>
      <c r="G972" s="75"/>
      <c r="H972" s="75"/>
      <c r="I972" s="76"/>
      <c r="J972" s="77"/>
      <c r="K972" s="76"/>
      <c r="L972" s="76"/>
      <c r="M972" s="74"/>
      <c r="N972" s="74"/>
      <c r="O972" s="78"/>
      <c r="P972" s="78"/>
      <c r="Q972" s="78"/>
      <c r="R972" s="78"/>
      <c r="S972" s="79"/>
      <c r="T972" s="79"/>
      <c r="U972" s="79"/>
      <c r="V972" s="79"/>
      <c r="W972" s="79"/>
      <c r="X972" s="79"/>
      <c r="Y972" s="79"/>
      <c r="Z972" s="79"/>
      <c r="AA972" s="79"/>
    </row>
    <row r="973" spans="1:27" x14ac:dyDescent="0.2">
      <c r="A973" s="73"/>
      <c r="B973" s="74"/>
      <c r="C973" s="74"/>
      <c r="D973" s="74"/>
      <c r="E973" s="74"/>
      <c r="F973" s="74"/>
      <c r="G973" s="75"/>
      <c r="H973" s="75"/>
      <c r="I973" s="76"/>
      <c r="J973" s="77"/>
      <c r="K973" s="76"/>
      <c r="L973" s="76"/>
      <c r="M973" s="74"/>
      <c r="N973" s="74"/>
      <c r="O973" s="78"/>
      <c r="P973" s="78"/>
      <c r="Q973" s="78"/>
      <c r="R973" s="78"/>
      <c r="S973" s="79"/>
      <c r="T973" s="79"/>
      <c r="U973" s="79"/>
      <c r="V973" s="79"/>
      <c r="W973" s="79"/>
      <c r="X973" s="79"/>
      <c r="Y973" s="79"/>
      <c r="Z973" s="79"/>
      <c r="AA973" s="79"/>
    </row>
    <row r="974" spans="1:27" x14ac:dyDescent="0.2">
      <c r="A974" s="73"/>
      <c r="B974" s="74"/>
      <c r="C974" s="74"/>
      <c r="D974" s="74"/>
      <c r="E974" s="74"/>
      <c r="F974" s="74"/>
      <c r="G974" s="75"/>
      <c r="H974" s="75"/>
      <c r="I974" s="76"/>
      <c r="J974" s="77"/>
      <c r="K974" s="76"/>
      <c r="L974" s="76"/>
      <c r="M974" s="74"/>
      <c r="N974" s="74"/>
      <c r="O974" s="78"/>
      <c r="P974" s="78"/>
      <c r="Q974" s="78"/>
      <c r="R974" s="78"/>
      <c r="S974" s="79"/>
      <c r="T974" s="79"/>
      <c r="U974" s="79"/>
      <c r="V974" s="79"/>
      <c r="W974" s="79"/>
      <c r="X974" s="79"/>
      <c r="Y974" s="79"/>
      <c r="Z974" s="79"/>
      <c r="AA974" s="79"/>
    </row>
    <row r="975" spans="1:27" x14ac:dyDescent="0.2">
      <c r="A975" s="73"/>
      <c r="B975" s="74"/>
      <c r="C975" s="74"/>
      <c r="D975" s="74"/>
      <c r="E975" s="74"/>
      <c r="F975" s="74"/>
      <c r="G975" s="75"/>
      <c r="H975" s="75"/>
      <c r="I975" s="76"/>
      <c r="J975" s="77"/>
      <c r="K975" s="76"/>
      <c r="L975" s="76"/>
      <c r="M975" s="74"/>
      <c r="N975" s="74"/>
      <c r="O975" s="78"/>
      <c r="P975" s="78"/>
      <c r="Q975" s="78"/>
      <c r="R975" s="78"/>
      <c r="S975" s="79"/>
      <c r="T975" s="79"/>
      <c r="U975" s="79"/>
      <c r="V975" s="79"/>
      <c r="W975" s="79"/>
      <c r="X975" s="79"/>
      <c r="Y975" s="79"/>
      <c r="Z975" s="79"/>
      <c r="AA975" s="79"/>
    </row>
    <row r="976" spans="1:27" x14ac:dyDescent="0.2">
      <c r="A976" s="73"/>
      <c r="B976" s="74"/>
      <c r="C976" s="74"/>
      <c r="D976" s="74"/>
      <c r="E976" s="74"/>
      <c r="F976" s="74"/>
      <c r="G976" s="75"/>
      <c r="H976" s="75"/>
      <c r="I976" s="76"/>
      <c r="J976" s="77"/>
      <c r="K976" s="76"/>
      <c r="L976" s="76"/>
      <c r="M976" s="74"/>
      <c r="N976" s="74"/>
      <c r="O976" s="78"/>
      <c r="P976" s="78"/>
      <c r="Q976" s="78"/>
      <c r="R976" s="78"/>
      <c r="S976" s="79"/>
      <c r="T976" s="79"/>
      <c r="U976" s="79"/>
      <c r="V976" s="79"/>
      <c r="W976" s="79"/>
      <c r="X976" s="79"/>
      <c r="Y976" s="79"/>
      <c r="Z976" s="79"/>
      <c r="AA976" s="79"/>
    </row>
    <row r="977" spans="1:27" x14ac:dyDescent="0.2">
      <c r="A977" s="73"/>
      <c r="B977" s="74"/>
      <c r="C977" s="74"/>
      <c r="D977" s="74"/>
      <c r="E977" s="74"/>
      <c r="F977" s="74"/>
      <c r="G977" s="75"/>
      <c r="H977" s="75"/>
      <c r="I977" s="76"/>
      <c r="J977" s="77"/>
      <c r="K977" s="76"/>
      <c r="L977" s="76"/>
      <c r="M977" s="74"/>
      <c r="N977" s="74"/>
      <c r="O977" s="78"/>
      <c r="P977" s="78"/>
      <c r="Q977" s="78"/>
      <c r="R977" s="78"/>
      <c r="S977" s="79"/>
      <c r="T977" s="79"/>
      <c r="U977" s="79"/>
      <c r="V977" s="79"/>
      <c r="W977" s="79"/>
      <c r="X977" s="79"/>
      <c r="Y977" s="79"/>
      <c r="Z977" s="79"/>
      <c r="AA977" s="79"/>
    </row>
    <row r="978" spans="1:27" x14ac:dyDescent="0.2">
      <c r="A978" s="73"/>
      <c r="B978" s="74"/>
      <c r="C978" s="74"/>
      <c r="D978" s="74"/>
      <c r="E978" s="74"/>
      <c r="F978" s="74"/>
      <c r="G978" s="75"/>
      <c r="H978" s="75"/>
      <c r="I978" s="76"/>
      <c r="J978" s="77"/>
      <c r="K978" s="76"/>
      <c r="L978" s="76"/>
      <c r="M978" s="74"/>
      <c r="N978" s="74"/>
      <c r="O978" s="78"/>
      <c r="P978" s="78"/>
      <c r="Q978" s="78"/>
      <c r="R978" s="78"/>
      <c r="S978" s="79"/>
      <c r="T978" s="79"/>
      <c r="U978" s="79"/>
      <c r="V978" s="79"/>
      <c r="W978" s="79"/>
      <c r="X978" s="79"/>
      <c r="Y978" s="79"/>
      <c r="Z978" s="79"/>
      <c r="AA978" s="79"/>
    </row>
    <row r="979" spans="1:27" x14ac:dyDescent="0.2">
      <c r="A979" s="73"/>
      <c r="B979" s="74"/>
      <c r="C979" s="74"/>
      <c r="D979" s="74"/>
      <c r="E979" s="74"/>
      <c r="F979" s="74"/>
      <c r="G979" s="75"/>
      <c r="H979" s="75"/>
      <c r="I979" s="76"/>
      <c r="J979" s="77"/>
      <c r="K979" s="76"/>
      <c r="L979" s="76"/>
      <c r="M979" s="74"/>
      <c r="N979" s="74"/>
      <c r="O979" s="78"/>
      <c r="P979" s="78"/>
      <c r="Q979" s="78"/>
      <c r="R979" s="78"/>
      <c r="S979" s="79"/>
      <c r="T979" s="79"/>
      <c r="U979" s="79"/>
      <c r="V979" s="79"/>
      <c r="W979" s="79"/>
      <c r="X979" s="79"/>
      <c r="Y979" s="79"/>
      <c r="Z979" s="79"/>
      <c r="AA979" s="79"/>
    </row>
    <row r="980" spans="1:27" x14ac:dyDescent="0.2">
      <c r="A980" s="73"/>
      <c r="B980" s="74"/>
      <c r="C980" s="74"/>
      <c r="D980" s="74"/>
      <c r="E980" s="74"/>
      <c r="F980" s="74"/>
      <c r="G980" s="75"/>
      <c r="H980" s="75"/>
      <c r="I980" s="76"/>
      <c r="J980" s="77"/>
      <c r="K980" s="76"/>
      <c r="L980" s="76"/>
      <c r="M980" s="74"/>
      <c r="N980" s="74"/>
      <c r="O980" s="78"/>
      <c r="P980" s="78"/>
      <c r="Q980" s="78"/>
      <c r="R980" s="78"/>
      <c r="S980" s="79"/>
      <c r="T980" s="79"/>
      <c r="U980" s="79"/>
      <c r="V980" s="79"/>
      <c r="W980" s="79"/>
      <c r="X980" s="79"/>
      <c r="Y980" s="79"/>
      <c r="Z980" s="79"/>
      <c r="AA980" s="79"/>
    </row>
    <row r="981" spans="1:27" x14ac:dyDescent="0.2">
      <c r="A981" s="73"/>
      <c r="B981" s="74"/>
      <c r="C981" s="74"/>
      <c r="D981" s="74"/>
      <c r="E981" s="74"/>
      <c r="F981" s="74"/>
      <c r="G981" s="75"/>
      <c r="H981" s="75"/>
      <c r="I981" s="76"/>
      <c r="J981" s="77"/>
      <c r="K981" s="76"/>
      <c r="L981" s="76"/>
      <c r="M981" s="74"/>
      <c r="N981" s="74"/>
      <c r="O981" s="78"/>
      <c r="P981" s="78"/>
      <c r="Q981" s="78"/>
      <c r="R981" s="78"/>
      <c r="S981" s="79"/>
      <c r="T981" s="79"/>
      <c r="U981" s="79"/>
      <c r="V981" s="79"/>
      <c r="W981" s="79"/>
      <c r="X981" s="79"/>
      <c r="Y981" s="79"/>
      <c r="Z981" s="79"/>
      <c r="AA981" s="79"/>
    </row>
    <row r="982" spans="1:27" x14ac:dyDescent="0.2">
      <c r="A982" s="73"/>
      <c r="B982" s="74"/>
      <c r="C982" s="74"/>
      <c r="D982" s="74"/>
      <c r="E982" s="74"/>
      <c r="F982" s="74"/>
      <c r="G982" s="75"/>
      <c r="H982" s="75"/>
      <c r="I982" s="76"/>
      <c r="J982" s="77"/>
      <c r="K982" s="76"/>
      <c r="L982" s="76"/>
      <c r="M982" s="74"/>
      <c r="N982" s="74"/>
      <c r="O982" s="78"/>
      <c r="P982" s="78"/>
      <c r="Q982" s="78"/>
      <c r="R982" s="78"/>
      <c r="S982" s="79"/>
      <c r="T982" s="79"/>
      <c r="U982" s="79"/>
      <c r="V982" s="79"/>
      <c r="W982" s="79"/>
      <c r="X982" s="79"/>
      <c r="Y982" s="79"/>
      <c r="Z982" s="79"/>
      <c r="AA982" s="79"/>
    </row>
    <row r="983" spans="1:27" x14ac:dyDescent="0.2">
      <c r="A983" s="73"/>
      <c r="B983" s="74"/>
      <c r="C983" s="74"/>
      <c r="D983" s="74"/>
      <c r="E983" s="74"/>
      <c r="F983" s="74"/>
      <c r="G983" s="75"/>
      <c r="H983" s="75"/>
      <c r="I983" s="76"/>
      <c r="J983" s="77"/>
      <c r="K983" s="76"/>
      <c r="L983" s="76"/>
      <c r="M983" s="74"/>
      <c r="N983" s="74"/>
      <c r="O983" s="78"/>
      <c r="P983" s="78"/>
      <c r="Q983" s="78"/>
      <c r="R983" s="78"/>
      <c r="S983" s="79"/>
      <c r="T983" s="79"/>
      <c r="U983" s="79"/>
      <c r="V983" s="79"/>
      <c r="W983" s="79"/>
      <c r="X983" s="79"/>
      <c r="Y983" s="79"/>
      <c r="Z983" s="79"/>
      <c r="AA983" s="79"/>
    </row>
    <row r="984" spans="1:27" x14ac:dyDescent="0.2">
      <c r="A984" s="73"/>
      <c r="B984" s="74"/>
      <c r="C984" s="74"/>
      <c r="D984" s="74"/>
      <c r="E984" s="74"/>
      <c r="F984" s="74"/>
      <c r="G984" s="75"/>
      <c r="H984" s="75"/>
      <c r="I984" s="76"/>
      <c r="J984" s="77"/>
      <c r="K984" s="76"/>
      <c r="L984" s="76"/>
      <c r="M984" s="74"/>
      <c r="N984" s="74"/>
      <c r="O984" s="78"/>
      <c r="P984" s="78"/>
      <c r="Q984" s="78"/>
      <c r="R984" s="78"/>
      <c r="S984" s="79"/>
      <c r="T984" s="79"/>
      <c r="U984" s="79"/>
      <c r="V984" s="79"/>
      <c r="W984" s="79"/>
      <c r="X984" s="79"/>
      <c r="Y984" s="79"/>
      <c r="Z984" s="79"/>
      <c r="AA984" s="79"/>
    </row>
    <row r="985" spans="1:27" x14ac:dyDescent="0.2">
      <c r="A985" s="73"/>
      <c r="B985" s="74"/>
      <c r="C985" s="74"/>
      <c r="D985" s="74"/>
      <c r="E985" s="74"/>
      <c r="F985" s="74"/>
      <c r="G985" s="75"/>
      <c r="H985" s="75"/>
      <c r="I985" s="76"/>
      <c r="J985" s="77"/>
      <c r="K985" s="76"/>
      <c r="L985" s="76"/>
      <c r="M985" s="74"/>
      <c r="N985" s="74"/>
      <c r="O985" s="78"/>
      <c r="P985" s="78"/>
      <c r="Q985" s="78"/>
      <c r="R985" s="78"/>
      <c r="S985" s="79"/>
      <c r="T985" s="79"/>
      <c r="U985" s="79"/>
      <c r="V985" s="79"/>
      <c r="W985" s="79"/>
      <c r="X985" s="79"/>
      <c r="Y985" s="79"/>
      <c r="Z985" s="79"/>
      <c r="AA985" s="79"/>
    </row>
    <row r="986" spans="1:27" x14ac:dyDescent="0.2">
      <c r="A986" s="73"/>
      <c r="B986" s="74"/>
      <c r="C986" s="74"/>
      <c r="D986" s="74"/>
      <c r="E986" s="74"/>
      <c r="F986" s="74"/>
      <c r="G986" s="75"/>
      <c r="H986" s="75"/>
      <c r="I986" s="76"/>
      <c r="J986" s="77"/>
      <c r="K986" s="76"/>
      <c r="L986" s="76"/>
      <c r="M986" s="74"/>
      <c r="N986" s="74"/>
      <c r="O986" s="78"/>
      <c r="P986" s="78"/>
      <c r="Q986" s="78"/>
      <c r="R986" s="78"/>
      <c r="S986" s="79"/>
      <c r="T986" s="79"/>
      <c r="U986" s="79"/>
      <c r="V986" s="79"/>
      <c r="W986" s="79"/>
      <c r="X986" s="79"/>
      <c r="Y986" s="79"/>
      <c r="Z986" s="79"/>
      <c r="AA986" s="79"/>
    </row>
    <row r="987" spans="1:27" x14ac:dyDescent="0.2">
      <c r="A987" s="73"/>
      <c r="B987" s="74"/>
      <c r="C987" s="74"/>
      <c r="D987" s="74"/>
      <c r="E987" s="74"/>
      <c r="F987" s="74"/>
      <c r="G987" s="75"/>
      <c r="H987" s="75"/>
      <c r="I987" s="76"/>
      <c r="J987" s="77"/>
      <c r="K987" s="76"/>
      <c r="L987" s="76"/>
      <c r="M987" s="74"/>
      <c r="N987" s="74"/>
      <c r="O987" s="78"/>
      <c r="P987" s="78"/>
      <c r="Q987" s="78"/>
      <c r="R987" s="78"/>
      <c r="S987" s="79"/>
      <c r="T987" s="79"/>
      <c r="U987" s="79"/>
      <c r="V987" s="79"/>
      <c r="W987" s="79"/>
      <c r="X987" s="79"/>
      <c r="Y987" s="79"/>
      <c r="Z987" s="79"/>
      <c r="AA987" s="79"/>
    </row>
    <row r="988" spans="1:27" x14ac:dyDescent="0.2">
      <c r="A988" s="73"/>
      <c r="B988" s="74"/>
      <c r="C988" s="74"/>
      <c r="D988" s="74"/>
      <c r="E988" s="74"/>
      <c r="F988" s="74"/>
      <c r="G988" s="75"/>
      <c r="H988" s="75"/>
      <c r="I988" s="76"/>
      <c r="J988" s="77"/>
      <c r="K988" s="76"/>
      <c r="L988" s="76"/>
      <c r="M988" s="74"/>
      <c r="N988" s="74"/>
      <c r="O988" s="78"/>
      <c r="P988" s="78"/>
      <c r="Q988" s="78"/>
      <c r="R988" s="78"/>
      <c r="S988" s="79"/>
      <c r="T988" s="79"/>
      <c r="U988" s="79"/>
      <c r="V988" s="79"/>
      <c r="W988" s="79"/>
      <c r="X988" s="79"/>
      <c r="Y988" s="79"/>
      <c r="Z988" s="79"/>
      <c r="AA988" s="79"/>
    </row>
    <row r="989" spans="1:27" x14ac:dyDescent="0.2">
      <c r="A989" s="73"/>
      <c r="B989" s="74"/>
      <c r="C989" s="74"/>
      <c r="D989" s="74"/>
      <c r="E989" s="74"/>
      <c r="F989" s="74"/>
      <c r="G989" s="75"/>
      <c r="H989" s="75"/>
      <c r="I989" s="76"/>
      <c r="J989" s="77"/>
      <c r="K989" s="76"/>
      <c r="L989" s="76"/>
      <c r="M989" s="74"/>
      <c r="N989" s="74"/>
      <c r="O989" s="78"/>
      <c r="P989" s="78"/>
      <c r="Q989" s="78"/>
      <c r="R989" s="78"/>
      <c r="S989" s="79"/>
      <c r="T989" s="79"/>
      <c r="U989" s="79"/>
      <c r="V989" s="79"/>
      <c r="W989" s="79"/>
      <c r="X989" s="79"/>
      <c r="Y989" s="79"/>
      <c r="Z989" s="79"/>
      <c r="AA989" s="79"/>
    </row>
    <row r="990" spans="1:27" x14ac:dyDescent="0.2">
      <c r="A990" s="73"/>
      <c r="B990" s="74"/>
      <c r="C990" s="74"/>
      <c r="D990" s="74"/>
      <c r="E990" s="74"/>
      <c r="F990" s="74"/>
      <c r="G990" s="75"/>
      <c r="H990" s="75"/>
      <c r="I990" s="76"/>
      <c r="J990" s="77"/>
      <c r="K990" s="76"/>
      <c r="L990" s="76"/>
      <c r="M990" s="74"/>
      <c r="N990" s="74"/>
      <c r="O990" s="78"/>
      <c r="P990" s="78"/>
      <c r="Q990" s="78"/>
      <c r="R990" s="78"/>
      <c r="S990" s="79"/>
      <c r="T990" s="79"/>
      <c r="U990" s="79"/>
      <c r="V990" s="79"/>
      <c r="W990" s="79"/>
      <c r="X990" s="79"/>
      <c r="Y990" s="79"/>
      <c r="Z990" s="79"/>
      <c r="AA990" s="79"/>
    </row>
    <row r="991" spans="1:27" x14ac:dyDescent="0.2">
      <c r="A991" s="73"/>
      <c r="B991" s="74"/>
      <c r="C991" s="74"/>
      <c r="D991" s="74"/>
      <c r="E991" s="74"/>
      <c r="F991" s="74"/>
      <c r="G991" s="75"/>
      <c r="H991" s="75"/>
      <c r="I991" s="76"/>
      <c r="J991" s="77"/>
      <c r="K991" s="76"/>
      <c r="L991" s="76"/>
      <c r="M991" s="74"/>
      <c r="N991" s="74"/>
      <c r="O991" s="78"/>
      <c r="P991" s="78"/>
      <c r="Q991" s="78"/>
      <c r="R991" s="78"/>
      <c r="S991" s="79"/>
      <c r="T991" s="79"/>
      <c r="U991" s="79"/>
      <c r="V991" s="79"/>
      <c r="W991" s="79"/>
      <c r="X991" s="79"/>
      <c r="Y991" s="79"/>
      <c r="Z991" s="79"/>
      <c r="AA991" s="79"/>
    </row>
    <row r="992" spans="1:27" x14ac:dyDescent="0.2">
      <c r="A992" s="73"/>
      <c r="B992" s="74"/>
      <c r="C992" s="74"/>
      <c r="D992" s="74"/>
      <c r="E992" s="74"/>
      <c r="F992" s="74"/>
      <c r="G992" s="75"/>
      <c r="H992" s="75"/>
      <c r="I992" s="76"/>
      <c r="J992" s="77"/>
      <c r="K992" s="76"/>
      <c r="L992" s="76"/>
      <c r="M992" s="74"/>
      <c r="N992" s="74"/>
      <c r="O992" s="78"/>
      <c r="P992" s="78"/>
      <c r="Q992" s="78"/>
      <c r="R992" s="78"/>
      <c r="S992" s="79"/>
      <c r="T992" s="79"/>
      <c r="U992" s="79"/>
      <c r="V992" s="79"/>
      <c r="W992" s="79"/>
      <c r="X992" s="79"/>
      <c r="Y992" s="79"/>
      <c r="Z992" s="79"/>
      <c r="AA992" s="79"/>
    </row>
    <row r="993" spans="1:27" x14ac:dyDescent="0.2">
      <c r="A993" s="73"/>
      <c r="B993" s="74"/>
      <c r="C993" s="74"/>
      <c r="D993" s="74"/>
      <c r="E993" s="74"/>
      <c r="F993" s="74"/>
      <c r="G993" s="75"/>
      <c r="H993" s="75"/>
      <c r="I993" s="76"/>
      <c r="J993" s="77"/>
      <c r="K993" s="76"/>
      <c r="L993" s="76"/>
      <c r="M993" s="74"/>
      <c r="N993" s="74"/>
      <c r="O993" s="78"/>
      <c r="P993" s="78"/>
      <c r="Q993" s="78"/>
      <c r="R993" s="78"/>
      <c r="S993" s="79"/>
      <c r="T993" s="79"/>
      <c r="U993" s="79"/>
      <c r="V993" s="79"/>
      <c r="W993" s="79"/>
      <c r="X993" s="79"/>
      <c r="Y993" s="79"/>
      <c r="Z993" s="79"/>
      <c r="AA993" s="79"/>
    </row>
    <row r="994" spans="1:27" x14ac:dyDescent="0.2">
      <c r="A994" s="73"/>
      <c r="B994" s="74"/>
      <c r="C994" s="74"/>
      <c r="D994" s="74"/>
      <c r="E994" s="74"/>
      <c r="F994" s="74"/>
      <c r="G994" s="75"/>
      <c r="H994" s="75"/>
      <c r="I994" s="76"/>
      <c r="J994" s="77"/>
      <c r="K994" s="76"/>
      <c r="L994" s="76"/>
      <c r="M994" s="74"/>
      <c r="N994" s="74"/>
      <c r="O994" s="78"/>
      <c r="P994" s="78"/>
      <c r="Q994" s="78"/>
      <c r="R994" s="78"/>
      <c r="S994" s="79"/>
      <c r="T994" s="79"/>
      <c r="U994" s="79"/>
      <c r="V994" s="79"/>
      <c r="W994" s="79"/>
      <c r="X994" s="79"/>
      <c r="Y994" s="79"/>
      <c r="Z994" s="79"/>
      <c r="AA994" s="79"/>
    </row>
    <row r="995" spans="1:27" x14ac:dyDescent="0.2">
      <c r="A995" s="73"/>
      <c r="B995" s="74"/>
      <c r="C995" s="74"/>
      <c r="D995" s="74"/>
      <c r="E995" s="74"/>
      <c r="F995" s="74"/>
      <c r="G995" s="75"/>
      <c r="H995" s="75"/>
      <c r="I995" s="76"/>
      <c r="J995" s="77"/>
      <c r="K995" s="76"/>
      <c r="L995" s="76"/>
      <c r="M995" s="74"/>
      <c r="N995" s="74"/>
      <c r="O995" s="78"/>
      <c r="P995" s="78"/>
      <c r="Q995" s="78"/>
      <c r="R995" s="78"/>
      <c r="S995" s="79"/>
      <c r="T995" s="79"/>
      <c r="U995" s="79"/>
      <c r="V995" s="79"/>
      <c r="W995" s="79"/>
      <c r="X995" s="79"/>
      <c r="Y995" s="79"/>
      <c r="Z995" s="79"/>
      <c r="AA995" s="79"/>
    </row>
    <row r="996" spans="1:27" x14ac:dyDescent="0.2">
      <c r="A996" s="73"/>
      <c r="B996" s="74"/>
      <c r="C996" s="74"/>
      <c r="D996" s="74"/>
      <c r="E996" s="74"/>
      <c r="F996" s="74"/>
      <c r="G996" s="75"/>
      <c r="H996" s="75"/>
      <c r="I996" s="76"/>
      <c r="J996" s="77"/>
      <c r="K996" s="76"/>
      <c r="L996" s="76"/>
      <c r="M996" s="74"/>
      <c r="N996" s="74"/>
      <c r="O996" s="78"/>
      <c r="P996" s="78"/>
      <c r="Q996" s="78"/>
      <c r="R996" s="78"/>
      <c r="S996" s="79"/>
      <c r="T996" s="79"/>
      <c r="U996" s="79"/>
      <c r="V996" s="79"/>
      <c r="W996" s="79"/>
      <c r="X996" s="79"/>
      <c r="Y996" s="79"/>
      <c r="Z996" s="79"/>
      <c r="AA996" s="79"/>
    </row>
    <row r="997" spans="1:27" x14ac:dyDescent="0.2">
      <c r="A997" s="73"/>
      <c r="B997" s="74"/>
      <c r="C997" s="74"/>
      <c r="D997" s="74"/>
      <c r="E997" s="74"/>
      <c r="F997" s="74"/>
      <c r="G997" s="75"/>
      <c r="H997" s="75"/>
      <c r="I997" s="76"/>
      <c r="J997" s="77"/>
      <c r="K997" s="76"/>
      <c r="L997" s="76"/>
      <c r="M997" s="74"/>
      <c r="N997" s="74"/>
      <c r="O997" s="78"/>
      <c r="P997" s="78"/>
      <c r="Q997" s="78"/>
      <c r="R997" s="78"/>
      <c r="S997" s="79"/>
      <c r="T997" s="79"/>
      <c r="U997" s="79"/>
      <c r="V997" s="79"/>
      <c r="W997" s="79"/>
      <c r="X997" s="79"/>
      <c r="Y997" s="79"/>
      <c r="Z997" s="79"/>
      <c r="AA997" s="79"/>
    </row>
    <row r="998" spans="1:27" x14ac:dyDescent="0.2">
      <c r="A998" s="73"/>
      <c r="B998" s="74"/>
      <c r="C998" s="74"/>
      <c r="D998" s="74"/>
      <c r="E998" s="74"/>
      <c r="F998" s="74"/>
      <c r="G998" s="75"/>
      <c r="H998" s="75"/>
      <c r="I998" s="76"/>
      <c r="J998" s="77"/>
      <c r="K998" s="76"/>
      <c r="L998" s="76"/>
      <c r="M998" s="74"/>
      <c r="N998" s="74"/>
      <c r="O998" s="78"/>
      <c r="P998" s="78"/>
      <c r="Q998" s="78"/>
      <c r="R998" s="78"/>
      <c r="S998" s="79"/>
      <c r="T998" s="79"/>
      <c r="U998" s="79"/>
      <c r="V998" s="79"/>
      <c r="W998" s="79"/>
      <c r="X998" s="79"/>
      <c r="Y998" s="79"/>
      <c r="Z998" s="79"/>
      <c r="AA998" s="79"/>
    </row>
    <row r="999" spans="1:27" x14ac:dyDescent="0.2">
      <c r="A999" s="73"/>
      <c r="B999" s="74"/>
      <c r="C999" s="74"/>
      <c r="D999" s="74"/>
      <c r="E999" s="74"/>
      <c r="F999" s="74"/>
      <c r="G999" s="75"/>
      <c r="H999" s="75"/>
      <c r="I999" s="76"/>
      <c r="J999" s="77"/>
      <c r="K999" s="76"/>
      <c r="L999" s="76"/>
      <c r="M999" s="74"/>
      <c r="N999" s="74"/>
      <c r="O999" s="78"/>
      <c r="P999" s="78"/>
      <c r="Q999" s="78"/>
      <c r="R999" s="78"/>
      <c r="S999" s="79"/>
      <c r="T999" s="79"/>
      <c r="U999" s="79"/>
      <c r="V999" s="79"/>
      <c r="W999" s="79"/>
      <c r="X999" s="79"/>
      <c r="Y999" s="79"/>
      <c r="Z999" s="79"/>
      <c r="AA999" s="79"/>
    </row>
    <row r="1000" spans="1:27" x14ac:dyDescent="0.2">
      <c r="A1000" s="73"/>
      <c r="B1000" s="74"/>
      <c r="C1000" s="74"/>
      <c r="D1000" s="74"/>
      <c r="E1000" s="74"/>
      <c r="F1000" s="74"/>
      <c r="G1000" s="75"/>
      <c r="H1000" s="75"/>
      <c r="I1000" s="76"/>
      <c r="J1000" s="77"/>
      <c r="K1000" s="76"/>
      <c r="L1000" s="76"/>
      <c r="M1000" s="74"/>
      <c r="N1000" s="74"/>
      <c r="O1000" s="78"/>
      <c r="P1000" s="78"/>
      <c r="Q1000" s="78"/>
      <c r="R1000" s="78"/>
      <c r="S1000" s="79"/>
      <c r="T1000" s="79"/>
      <c r="U1000" s="79"/>
      <c r="V1000" s="79"/>
      <c r="W1000" s="79"/>
      <c r="X1000" s="79"/>
      <c r="Y1000" s="79"/>
      <c r="Z1000" s="79"/>
      <c r="AA1000" s="79"/>
    </row>
    <row r="1001" spans="1:27" x14ac:dyDescent="0.2">
      <c r="A1001" s="73"/>
      <c r="B1001" s="74"/>
      <c r="C1001" s="74"/>
      <c r="D1001" s="74"/>
      <c r="E1001" s="74"/>
      <c r="F1001" s="74"/>
      <c r="G1001" s="75"/>
      <c r="H1001" s="75"/>
      <c r="I1001" s="76"/>
      <c r="J1001" s="77"/>
      <c r="K1001" s="76"/>
      <c r="L1001" s="76"/>
      <c r="M1001" s="74"/>
      <c r="N1001" s="74"/>
      <c r="O1001" s="78"/>
      <c r="P1001" s="78"/>
      <c r="Q1001" s="78"/>
      <c r="R1001" s="78"/>
      <c r="S1001" s="79"/>
      <c r="T1001" s="79"/>
      <c r="U1001" s="79"/>
      <c r="V1001" s="79"/>
      <c r="W1001" s="79"/>
      <c r="X1001" s="79"/>
      <c r="Y1001" s="79"/>
      <c r="Z1001" s="79"/>
      <c r="AA1001" s="79"/>
    </row>
    <row r="1002" spans="1:27" x14ac:dyDescent="0.2">
      <c r="A1002" s="73"/>
      <c r="B1002" s="74"/>
      <c r="C1002" s="74"/>
      <c r="D1002" s="74"/>
      <c r="E1002" s="74"/>
      <c r="F1002" s="74"/>
      <c r="G1002" s="75"/>
      <c r="H1002" s="75"/>
      <c r="I1002" s="76"/>
      <c r="J1002" s="77"/>
      <c r="K1002" s="76"/>
      <c r="L1002" s="76"/>
      <c r="M1002" s="74"/>
      <c r="N1002" s="74"/>
      <c r="O1002" s="78"/>
      <c r="P1002" s="78"/>
      <c r="Q1002" s="78"/>
      <c r="R1002" s="78"/>
      <c r="S1002" s="79"/>
      <c r="T1002" s="79"/>
      <c r="U1002" s="79"/>
      <c r="V1002" s="79"/>
      <c r="W1002" s="79"/>
      <c r="X1002" s="79"/>
      <c r="Y1002" s="79"/>
      <c r="Z1002" s="79"/>
      <c r="AA1002" s="79"/>
    </row>
    <row r="1003" spans="1:27" x14ac:dyDescent="0.2">
      <c r="A1003" s="73"/>
      <c r="B1003" s="74"/>
      <c r="C1003" s="74"/>
      <c r="D1003" s="74"/>
      <c r="E1003" s="74"/>
      <c r="F1003" s="74"/>
      <c r="G1003" s="75"/>
      <c r="H1003" s="75"/>
      <c r="I1003" s="76"/>
      <c r="J1003" s="77"/>
      <c r="K1003" s="76"/>
      <c r="L1003" s="76"/>
      <c r="M1003" s="74"/>
      <c r="N1003" s="74"/>
      <c r="O1003" s="78"/>
      <c r="P1003" s="78"/>
      <c r="Q1003" s="78"/>
      <c r="R1003" s="78"/>
      <c r="S1003" s="79"/>
      <c r="T1003" s="79"/>
      <c r="U1003" s="79"/>
      <c r="V1003" s="79"/>
      <c r="W1003" s="79"/>
      <c r="X1003" s="79"/>
      <c r="Y1003" s="79"/>
      <c r="Z1003" s="79"/>
      <c r="AA1003" s="79"/>
    </row>
    <row r="1004" spans="1:27" x14ac:dyDescent="0.2">
      <c r="A1004" s="73"/>
      <c r="B1004" s="74"/>
      <c r="C1004" s="74"/>
      <c r="D1004" s="74"/>
      <c r="E1004" s="74"/>
      <c r="F1004" s="74"/>
      <c r="G1004" s="75"/>
      <c r="H1004" s="75"/>
      <c r="I1004" s="76"/>
      <c r="J1004" s="77"/>
      <c r="K1004" s="76"/>
      <c r="L1004" s="76"/>
      <c r="M1004" s="74"/>
      <c r="N1004" s="74"/>
      <c r="O1004" s="78"/>
      <c r="P1004" s="78"/>
      <c r="Q1004" s="78"/>
      <c r="R1004" s="78"/>
      <c r="S1004" s="79"/>
      <c r="T1004" s="79"/>
      <c r="U1004" s="79"/>
      <c r="V1004" s="79"/>
      <c r="W1004" s="79"/>
      <c r="X1004" s="79"/>
      <c r="Y1004" s="79"/>
      <c r="Z1004" s="79"/>
      <c r="AA1004" s="79"/>
    </row>
    <row r="1005" spans="1:27" x14ac:dyDescent="0.2">
      <c r="A1005" s="73"/>
      <c r="B1005" s="74"/>
      <c r="C1005" s="74"/>
      <c r="D1005" s="74"/>
      <c r="E1005" s="74"/>
      <c r="F1005" s="74"/>
      <c r="G1005" s="75"/>
      <c r="H1005" s="75"/>
      <c r="I1005" s="76"/>
      <c r="J1005" s="77"/>
      <c r="K1005" s="76"/>
      <c r="L1005" s="76"/>
      <c r="M1005" s="74"/>
      <c r="N1005" s="74"/>
      <c r="O1005" s="78"/>
      <c r="P1005" s="78"/>
      <c r="Q1005" s="78"/>
      <c r="R1005" s="78"/>
      <c r="S1005" s="79"/>
      <c r="T1005" s="79"/>
      <c r="U1005" s="79"/>
      <c r="V1005" s="79"/>
      <c r="W1005" s="79"/>
      <c r="X1005" s="79"/>
      <c r="Y1005" s="79"/>
      <c r="Z1005" s="79"/>
      <c r="AA1005" s="79"/>
    </row>
    <row r="1006" spans="1:27" x14ac:dyDescent="0.2">
      <c r="A1006" s="73"/>
      <c r="B1006" s="74"/>
      <c r="C1006" s="74"/>
      <c r="D1006" s="74"/>
      <c r="E1006" s="74"/>
      <c r="F1006" s="74"/>
      <c r="G1006" s="75"/>
      <c r="H1006" s="75"/>
      <c r="I1006" s="76"/>
      <c r="J1006" s="77"/>
      <c r="K1006" s="76"/>
      <c r="L1006" s="76"/>
      <c r="M1006" s="74"/>
      <c r="N1006" s="74"/>
      <c r="O1006" s="78"/>
      <c r="P1006" s="78"/>
      <c r="Q1006" s="78"/>
      <c r="R1006" s="78"/>
      <c r="S1006" s="79"/>
      <c r="T1006" s="79"/>
      <c r="U1006" s="79"/>
      <c r="V1006" s="79"/>
      <c r="W1006" s="79"/>
      <c r="X1006" s="79"/>
      <c r="Y1006" s="79"/>
      <c r="Z1006" s="79"/>
      <c r="AA1006" s="79"/>
    </row>
    <row r="1007" spans="1:27" x14ac:dyDescent="0.2">
      <c r="A1007" s="73"/>
      <c r="B1007" s="74"/>
      <c r="C1007" s="74"/>
      <c r="D1007" s="74"/>
      <c r="E1007" s="74"/>
      <c r="F1007" s="74"/>
      <c r="G1007" s="75"/>
      <c r="H1007" s="75"/>
      <c r="I1007" s="76"/>
      <c r="J1007" s="77"/>
      <c r="K1007" s="76"/>
      <c r="L1007" s="76"/>
      <c r="M1007" s="74"/>
      <c r="N1007" s="74"/>
      <c r="O1007" s="78"/>
      <c r="P1007" s="78"/>
      <c r="Q1007" s="78"/>
      <c r="R1007" s="78"/>
      <c r="S1007" s="79"/>
      <c r="T1007" s="79"/>
      <c r="U1007" s="79"/>
      <c r="V1007" s="79"/>
      <c r="W1007" s="79"/>
      <c r="X1007" s="79"/>
      <c r="Y1007" s="79"/>
      <c r="Z1007" s="79"/>
      <c r="AA1007" s="79"/>
    </row>
    <row r="1008" spans="1:27" x14ac:dyDescent="0.2">
      <c r="A1008" s="73"/>
      <c r="B1008" s="74"/>
      <c r="C1008" s="74"/>
      <c r="D1008" s="74"/>
      <c r="E1008" s="74"/>
      <c r="F1008" s="74"/>
      <c r="G1008" s="75"/>
      <c r="H1008" s="75"/>
      <c r="I1008" s="76"/>
      <c r="J1008" s="77"/>
      <c r="K1008" s="76"/>
      <c r="L1008" s="76"/>
      <c r="M1008" s="74"/>
      <c r="N1008" s="74"/>
      <c r="O1008" s="78"/>
      <c r="P1008" s="78"/>
      <c r="Q1008" s="78"/>
      <c r="R1008" s="78"/>
      <c r="S1008" s="79"/>
      <c r="T1008" s="79"/>
      <c r="U1008" s="79"/>
      <c r="V1008" s="79"/>
      <c r="W1008" s="79"/>
      <c r="X1008" s="79"/>
      <c r="Y1008" s="79"/>
      <c r="Z1008" s="79"/>
      <c r="AA1008" s="79"/>
    </row>
    <row r="1009" spans="1:27" x14ac:dyDescent="0.2">
      <c r="A1009" s="73"/>
      <c r="B1009" s="74"/>
      <c r="C1009" s="74"/>
      <c r="D1009" s="74"/>
      <c r="E1009" s="74"/>
      <c r="F1009" s="74"/>
      <c r="G1009" s="75"/>
      <c r="H1009" s="75"/>
      <c r="I1009" s="76"/>
      <c r="J1009" s="77"/>
      <c r="K1009" s="76"/>
      <c r="L1009" s="76"/>
      <c r="M1009" s="74"/>
      <c r="N1009" s="74"/>
      <c r="O1009" s="78"/>
      <c r="P1009" s="78"/>
      <c r="Q1009" s="78"/>
      <c r="R1009" s="78"/>
      <c r="S1009" s="79"/>
      <c r="T1009" s="79"/>
      <c r="U1009" s="79"/>
      <c r="V1009" s="79"/>
      <c r="W1009" s="79"/>
      <c r="X1009" s="79"/>
      <c r="Y1009" s="79"/>
      <c r="Z1009" s="79"/>
      <c r="AA1009" s="79"/>
    </row>
    <row r="1010" spans="1:27" x14ac:dyDescent="0.2">
      <c r="A1010" s="73"/>
      <c r="B1010" s="74"/>
      <c r="C1010" s="74"/>
      <c r="D1010" s="74"/>
      <c r="E1010" s="74"/>
      <c r="F1010" s="74"/>
      <c r="G1010" s="75"/>
      <c r="H1010" s="75"/>
      <c r="I1010" s="76"/>
      <c r="J1010" s="77"/>
      <c r="K1010" s="76"/>
      <c r="L1010" s="76"/>
      <c r="M1010" s="74"/>
      <c r="N1010" s="74"/>
      <c r="O1010" s="78"/>
      <c r="P1010" s="78"/>
      <c r="Q1010" s="78"/>
      <c r="R1010" s="78"/>
      <c r="S1010" s="79"/>
      <c r="T1010" s="79"/>
      <c r="U1010" s="79"/>
      <c r="V1010" s="79"/>
      <c r="W1010" s="79"/>
      <c r="X1010" s="79"/>
      <c r="Y1010" s="79"/>
      <c r="Z1010" s="79"/>
      <c r="AA1010" s="79"/>
    </row>
    <row r="1011" spans="1:27" x14ac:dyDescent="0.2">
      <c r="A1011" s="73"/>
      <c r="B1011" s="74"/>
      <c r="C1011" s="74"/>
      <c r="D1011" s="74"/>
      <c r="E1011" s="74"/>
      <c r="F1011" s="74"/>
      <c r="G1011" s="75"/>
      <c r="H1011" s="75"/>
      <c r="I1011" s="76"/>
      <c r="J1011" s="77"/>
      <c r="K1011" s="76"/>
      <c r="L1011" s="76"/>
      <c r="M1011" s="74"/>
      <c r="N1011" s="74"/>
      <c r="O1011" s="78"/>
      <c r="P1011" s="78"/>
      <c r="Q1011" s="78"/>
      <c r="R1011" s="78"/>
      <c r="S1011" s="79"/>
      <c r="T1011" s="79"/>
      <c r="U1011" s="79"/>
      <c r="V1011" s="79"/>
      <c r="W1011" s="79"/>
      <c r="X1011" s="79"/>
      <c r="Y1011" s="79"/>
      <c r="Z1011" s="79"/>
      <c r="AA1011" s="79"/>
    </row>
    <row r="1012" spans="1:27" x14ac:dyDescent="0.2">
      <c r="A1012" s="73"/>
      <c r="B1012" s="74"/>
      <c r="C1012" s="74"/>
      <c r="D1012" s="74"/>
      <c r="E1012" s="74"/>
      <c r="F1012" s="74"/>
      <c r="G1012" s="75"/>
      <c r="H1012" s="75"/>
      <c r="I1012" s="76"/>
      <c r="J1012" s="77"/>
      <c r="K1012" s="76"/>
      <c r="L1012" s="76"/>
      <c r="M1012" s="74"/>
      <c r="N1012" s="74"/>
      <c r="O1012" s="78"/>
      <c r="P1012" s="78"/>
      <c r="Q1012" s="78"/>
      <c r="R1012" s="78"/>
      <c r="S1012" s="79"/>
      <c r="T1012" s="79"/>
      <c r="U1012" s="79"/>
      <c r="V1012" s="79"/>
      <c r="W1012" s="79"/>
      <c r="X1012" s="79"/>
      <c r="Y1012" s="79"/>
      <c r="Z1012" s="79"/>
      <c r="AA1012" s="79"/>
    </row>
    <row r="1013" spans="1:27" x14ac:dyDescent="0.2">
      <c r="A1013" s="73"/>
      <c r="B1013" s="74"/>
      <c r="C1013" s="74"/>
      <c r="D1013" s="74"/>
      <c r="E1013" s="74"/>
      <c r="F1013" s="74"/>
      <c r="G1013" s="75"/>
      <c r="H1013" s="75"/>
      <c r="I1013" s="76"/>
      <c r="J1013" s="77"/>
      <c r="K1013" s="76"/>
      <c r="L1013" s="76"/>
      <c r="M1013" s="74"/>
      <c r="N1013" s="74"/>
      <c r="O1013" s="78"/>
      <c r="P1013" s="78"/>
      <c r="Q1013" s="78"/>
      <c r="R1013" s="78"/>
      <c r="S1013" s="79"/>
      <c r="T1013" s="79"/>
      <c r="U1013" s="79"/>
      <c r="V1013" s="79"/>
      <c r="W1013" s="79"/>
      <c r="X1013" s="79"/>
      <c r="Y1013" s="79"/>
      <c r="Z1013" s="79"/>
      <c r="AA1013" s="79"/>
    </row>
    <row r="1014" spans="1:27" x14ac:dyDescent="0.2">
      <c r="A1014" s="73"/>
      <c r="B1014" s="74"/>
      <c r="C1014" s="74"/>
      <c r="D1014" s="74"/>
      <c r="E1014" s="74"/>
      <c r="F1014" s="74"/>
      <c r="G1014" s="75"/>
      <c r="H1014" s="75"/>
      <c r="I1014" s="76"/>
      <c r="J1014" s="77"/>
      <c r="K1014" s="76"/>
      <c r="L1014" s="76"/>
      <c r="M1014" s="74"/>
      <c r="N1014" s="74"/>
      <c r="O1014" s="78"/>
      <c r="P1014" s="78"/>
      <c r="Q1014" s="78"/>
      <c r="R1014" s="78"/>
      <c r="S1014" s="79"/>
      <c r="T1014" s="79"/>
      <c r="U1014" s="79"/>
      <c r="V1014" s="79"/>
      <c r="W1014" s="79"/>
      <c r="X1014" s="79"/>
      <c r="Y1014" s="79"/>
      <c r="Z1014" s="79"/>
      <c r="AA1014" s="79"/>
    </row>
    <row r="1015" spans="1:27" x14ac:dyDescent="0.2">
      <c r="A1015" s="73"/>
      <c r="B1015" s="74"/>
      <c r="C1015" s="74"/>
      <c r="D1015" s="74"/>
      <c r="E1015" s="74"/>
      <c r="F1015" s="74"/>
      <c r="G1015" s="75"/>
      <c r="H1015" s="75"/>
      <c r="I1015" s="76"/>
      <c r="J1015" s="77"/>
      <c r="K1015" s="76"/>
      <c r="L1015" s="76"/>
      <c r="M1015" s="74"/>
      <c r="N1015" s="74"/>
      <c r="O1015" s="78"/>
      <c r="P1015" s="78"/>
      <c r="Q1015" s="78"/>
      <c r="R1015" s="78"/>
      <c r="S1015" s="79"/>
      <c r="T1015" s="79"/>
      <c r="U1015" s="79"/>
      <c r="V1015" s="79"/>
      <c r="W1015" s="79"/>
      <c r="X1015" s="79"/>
      <c r="Y1015" s="79"/>
      <c r="Z1015" s="79"/>
      <c r="AA1015" s="79"/>
    </row>
    <row r="1016" spans="1:27" x14ac:dyDescent="0.2">
      <c r="A1016" s="73"/>
      <c r="B1016" s="74"/>
      <c r="C1016" s="74"/>
      <c r="D1016" s="74"/>
      <c r="E1016" s="74"/>
      <c r="F1016" s="74"/>
      <c r="G1016" s="75"/>
      <c r="H1016" s="75"/>
      <c r="I1016" s="76"/>
      <c r="J1016" s="77"/>
      <c r="K1016" s="76"/>
      <c r="L1016" s="76"/>
      <c r="M1016" s="74"/>
      <c r="N1016" s="74"/>
      <c r="O1016" s="78"/>
      <c r="P1016" s="78"/>
      <c r="Q1016" s="78"/>
      <c r="R1016" s="78"/>
      <c r="S1016" s="79"/>
      <c r="T1016" s="79"/>
      <c r="U1016" s="79"/>
      <c r="V1016" s="79"/>
      <c r="W1016" s="79"/>
      <c r="X1016" s="79"/>
      <c r="Y1016" s="79"/>
      <c r="Z1016" s="79"/>
      <c r="AA1016" s="79"/>
    </row>
    <row r="1017" spans="1:27" x14ac:dyDescent="0.2">
      <c r="A1017" s="73"/>
      <c r="B1017" s="74"/>
      <c r="C1017" s="74"/>
      <c r="D1017" s="74"/>
      <c r="E1017" s="74"/>
      <c r="F1017" s="74"/>
      <c r="G1017" s="75"/>
      <c r="H1017" s="75"/>
      <c r="I1017" s="76"/>
      <c r="J1017" s="77"/>
      <c r="K1017" s="76"/>
      <c r="L1017" s="76"/>
      <c r="M1017" s="74"/>
      <c r="N1017" s="74"/>
      <c r="O1017" s="78"/>
      <c r="P1017" s="78"/>
      <c r="Q1017" s="78"/>
      <c r="R1017" s="78"/>
      <c r="S1017" s="79"/>
      <c r="T1017" s="79"/>
      <c r="U1017" s="79"/>
      <c r="V1017" s="79"/>
      <c r="W1017" s="79"/>
      <c r="X1017" s="79"/>
      <c r="Y1017" s="79"/>
      <c r="Z1017" s="79"/>
      <c r="AA1017" s="79"/>
    </row>
    <row r="1018" spans="1:27" x14ac:dyDescent="0.2">
      <c r="A1018" s="73"/>
      <c r="B1018" s="74"/>
      <c r="C1018" s="74"/>
      <c r="D1018" s="74"/>
      <c r="E1018" s="74"/>
      <c r="F1018" s="74"/>
      <c r="G1018" s="75"/>
      <c r="H1018" s="75"/>
      <c r="I1018" s="76"/>
      <c r="J1018" s="77"/>
      <c r="K1018" s="76"/>
      <c r="L1018" s="76"/>
      <c r="M1018" s="74"/>
      <c r="N1018" s="74"/>
      <c r="O1018" s="78"/>
      <c r="P1018" s="78"/>
      <c r="Q1018" s="78"/>
      <c r="R1018" s="78"/>
      <c r="S1018" s="79"/>
      <c r="T1018" s="79"/>
      <c r="U1018" s="79"/>
      <c r="V1018" s="79"/>
      <c r="W1018" s="79"/>
      <c r="X1018" s="79"/>
      <c r="Y1018" s="79"/>
      <c r="Z1018" s="79"/>
      <c r="AA1018" s="79"/>
    </row>
    <row r="1019" spans="1:27" x14ac:dyDescent="0.2">
      <c r="A1019" s="73"/>
      <c r="B1019" s="74"/>
      <c r="C1019" s="74"/>
      <c r="D1019" s="74"/>
      <c r="E1019" s="74"/>
      <c r="F1019" s="74"/>
      <c r="G1019" s="75"/>
      <c r="H1019" s="75"/>
      <c r="I1019" s="76"/>
      <c r="J1019" s="77"/>
      <c r="K1019" s="76"/>
      <c r="L1019" s="76"/>
      <c r="M1019" s="74"/>
      <c r="N1019" s="74"/>
      <c r="O1019" s="78"/>
      <c r="P1019" s="78"/>
      <c r="Q1019" s="78"/>
      <c r="R1019" s="78"/>
      <c r="S1019" s="79"/>
      <c r="T1019" s="79"/>
      <c r="U1019" s="79"/>
      <c r="V1019" s="79"/>
      <c r="W1019" s="79"/>
      <c r="X1019" s="79"/>
      <c r="Y1019" s="79"/>
      <c r="Z1019" s="79"/>
      <c r="AA1019" s="79"/>
    </row>
    <row r="1020" spans="1:27" x14ac:dyDescent="0.2">
      <c r="A1020" s="73"/>
      <c r="B1020" s="74"/>
      <c r="C1020" s="74"/>
      <c r="D1020" s="74"/>
      <c r="E1020" s="74"/>
      <c r="F1020" s="74"/>
      <c r="G1020" s="75"/>
      <c r="H1020" s="75"/>
      <c r="I1020" s="76"/>
      <c r="J1020" s="77"/>
      <c r="K1020" s="76"/>
      <c r="L1020" s="76"/>
      <c r="M1020" s="74"/>
      <c r="N1020" s="74"/>
      <c r="O1020" s="78"/>
      <c r="P1020" s="78"/>
      <c r="Q1020" s="78"/>
      <c r="R1020" s="78"/>
      <c r="S1020" s="79"/>
      <c r="T1020" s="79"/>
      <c r="U1020" s="79"/>
      <c r="V1020" s="79"/>
      <c r="W1020" s="79"/>
      <c r="X1020" s="79"/>
      <c r="Y1020" s="79"/>
      <c r="Z1020" s="79"/>
      <c r="AA1020" s="79"/>
    </row>
    <row r="1021" spans="1:27" x14ac:dyDescent="0.2">
      <c r="A1021" s="73"/>
      <c r="B1021" s="74"/>
      <c r="C1021" s="74"/>
      <c r="D1021" s="74"/>
      <c r="E1021" s="74"/>
      <c r="F1021" s="74"/>
      <c r="G1021" s="75"/>
      <c r="H1021" s="75"/>
      <c r="I1021" s="76"/>
      <c r="J1021" s="77"/>
      <c r="K1021" s="76"/>
      <c r="L1021" s="76"/>
      <c r="M1021" s="74"/>
      <c r="N1021" s="74"/>
      <c r="O1021" s="78"/>
      <c r="P1021" s="78"/>
      <c r="Q1021" s="78"/>
      <c r="R1021" s="78"/>
      <c r="S1021" s="79"/>
      <c r="T1021" s="79"/>
      <c r="U1021" s="79"/>
      <c r="V1021" s="79"/>
      <c r="W1021" s="79"/>
      <c r="X1021" s="79"/>
      <c r="Y1021" s="79"/>
      <c r="Z1021" s="79"/>
      <c r="AA1021" s="79"/>
    </row>
    <row r="1022" spans="1:27" x14ac:dyDescent="0.2">
      <c r="A1022" s="73"/>
      <c r="B1022" s="74"/>
      <c r="C1022" s="74"/>
      <c r="D1022" s="74"/>
      <c r="E1022" s="74"/>
      <c r="F1022" s="74"/>
      <c r="G1022" s="75"/>
      <c r="H1022" s="75"/>
      <c r="I1022" s="76"/>
      <c r="J1022" s="77"/>
      <c r="K1022" s="76"/>
      <c r="L1022" s="76"/>
      <c r="M1022" s="74"/>
      <c r="N1022" s="74"/>
      <c r="O1022" s="78"/>
      <c r="P1022" s="78"/>
      <c r="Q1022" s="78"/>
      <c r="R1022" s="78"/>
      <c r="S1022" s="79"/>
      <c r="T1022" s="79"/>
      <c r="U1022" s="79"/>
      <c r="V1022" s="79"/>
      <c r="W1022" s="79"/>
      <c r="X1022" s="79"/>
      <c r="Y1022" s="79"/>
      <c r="Z1022" s="79"/>
      <c r="AA1022" s="79"/>
    </row>
    <row r="1023" spans="1:27" x14ac:dyDescent="0.2">
      <c r="A1023" s="73"/>
      <c r="B1023" s="74"/>
      <c r="C1023" s="74"/>
      <c r="D1023" s="74"/>
      <c r="E1023" s="74"/>
      <c r="F1023" s="74"/>
      <c r="G1023" s="75"/>
      <c r="H1023" s="75"/>
      <c r="I1023" s="76"/>
      <c r="J1023" s="77"/>
      <c r="K1023" s="76"/>
      <c r="L1023" s="76"/>
      <c r="M1023" s="74"/>
      <c r="N1023" s="74"/>
      <c r="O1023" s="78"/>
      <c r="P1023" s="78"/>
      <c r="Q1023" s="78"/>
      <c r="R1023" s="78"/>
      <c r="S1023" s="79"/>
      <c r="T1023" s="79"/>
      <c r="U1023" s="79"/>
      <c r="V1023" s="79"/>
      <c r="W1023" s="79"/>
      <c r="X1023" s="79"/>
      <c r="Y1023" s="79"/>
      <c r="Z1023" s="79"/>
      <c r="AA1023" s="79"/>
    </row>
    <row r="1024" spans="1:27" x14ac:dyDescent="0.2">
      <c r="A1024" s="73"/>
      <c r="B1024" s="74"/>
      <c r="C1024" s="74"/>
      <c r="D1024" s="74"/>
      <c r="E1024" s="74"/>
      <c r="F1024" s="74"/>
      <c r="G1024" s="75"/>
      <c r="H1024" s="75"/>
      <c r="I1024" s="76"/>
      <c r="J1024" s="77"/>
      <c r="K1024" s="76"/>
      <c r="L1024" s="76"/>
      <c r="M1024" s="74"/>
      <c r="N1024" s="74"/>
      <c r="O1024" s="78"/>
      <c r="P1024" s="78"/>
      <c r="Q1024" s="78"/>
      <c r="R1024" s="78"/>
      <c r="S1024" s="79"/>
      <c r="T1024" s="79"/>
      <c r="U1024" s="79"/>
      <c r="V1024" s="79"/>
      <c r="W1024" s="79"/>
      <c r="X1024" s="79"/>
      <c r="Y1024" s="79"/>
      <c r="Z1024" s="79"/>
      <c r="AA1024" s="79"/>
    </row>
    <row r="1025" spans="1:27" x14ac:dyDescent="0.2">
      <c r="A1025" s="73"/>
      <c r="B1025" s="74"/>
      <c r="C1025" s="74"/>
      <c r="D1025" s="74"/>
      <c r="E1025" s="74"/>
      <c r="F1025" s="74"/>
      <c r="G1025" s="75"/>
      <c r="H1025" s="75"/>
      <c r="I1025" s="76"/>
      <c r="J1025" s="77"/>
      <c r="K1025" s="76"/>
      <c r="L1025" s="76"/>
      <c r="M1025" s="74"/>
      <c r="N1025" s="74"/>
      <c r="O1025" s="78"/>
      <c r="P1025" s="78"/>
      <c r="Q1025" s="78"/>
      <c r="R1025" s="78"/>
      <c r="S1025" s="79"/>
      <c r="T1025" s="79"/>
      <c r="U1025" s="79"/>
      <c r="V1025" s="79"/>
      <c r="W1025" s="79"/>
      <c r="X1025" s="79"/>
      <c r="Y1025" s="79"/>
      <c r="Z1025" s="79"/>
      <c r="AA1025" s="79"/>
    </row>
    <row r="1026" spans="1:27" x14ac:dyDescent="0.2">
      <c r="A1026" s="73"/>
      <c r="B1026" s="74"/>
      <c r="C1026" s="74"/>
      <c r="D1026" s="74"/>
      <c r="E1026" s="74"/>
      <c r="F1026" s="74"/>
      <c r="G1026" s="75"/>
      <c r="H1026" s="75"/>
      <c r="I1026" s="76"/>
      <c r="J1026" s="77"/>
      <c r="K1026" s="76"/>
      <c r="L1026" s="76"/>
      <c r="M1026" s="74"/>
      <c r="N1026" s="74"/>
      <c r="O1026" s="78"/>
      <c r="P1026" s="78"/>
      <c r="Q1026" s="78"/>
      <c r="R1026" s="78"/>
      <c r="S1026" s="79"/>
      <c r="T1026" s="79"/>
      <c r="U1026" s="79"/>
      <c r="V1026" s="79"/>
      <c r="W1026" s="79"/>
      <c r="X1026" s="79"/>
      <c r="Y1026" s="79"/>
      <c r="Z1026" s="79"/>
      <c r="AA1026" s="79"/>
    </row>
    <row r="1027" spans="1:27" x14ac:dyDescent="0.2">
      <c r="A1027" s="73"/>
      <c r="B1027" s="74"/>
      <c r="C1027" s="74"/>
      <c r="D1027" s="74"/>
      <c r="E1027" s="74"/>
      <c r="F1027" s="74"/>
      <c r="G1027" s="75"/>
      <c r="H1027" s="75"/>
      <c r="I1027" s="76"/>
      <c r="J1027" s="77"/>
      <c r="K1027" s="76"/>
      <c r="L1027" s="76"/>
      <c r="M1027" s="74"/>
      <c r="N1027" s="74"/>
      <c r="O1027" s="78"/>
      <c r="P1027" s="78"/>
      <c r="Q1027" s="78"/>
      <c r="R1027" s="78"/>
      <c r="S1027" s="79"/>
      <c r="T1027" s="79"/>
      <c r="U1027" s="79"/>
      <c r="V1027" s="79"/>
      <c r="W1027" s="79"/>
      <c r="X1027" s="79"/>
      <c r="Y1027" s="79"/>
      <c r="Z1027" s="79"/>
      <c r="AA1027" s="79"/>
    </row>
    <row r="1028" spans="1:27" x14ac:dyDescent="0.2">
      <c r="A1028" s="73"/>
      <c r="B1028" s="74"/>
      <c r="C1028" s="74"/>
      <c r="D1028" s="74"/>
      <c r="E1028" s="74"/>
      <c r="F1028" s="74"/>
      <c r="G1028" s="75"/>
      <c r="H1028" s="75"/>
      <c r="I1028" s="76"/>
      <c r="J1028" s="77"/>
      <c r="K1028" s="76"/>
      <c r="L1028" s="76"/>
      <c r="M1028" s="74"/>
      <c r="N1028" s="74"/>
      <c r="O1028" s="78"/>
      <c r="P1028" s="78"/>
      <c r="Q1028" s="78"/>
      <c r="R1028" s="78"/>
      <c r="S1028" s="79"/>
      <c r="T1028" s="79"/>
      <c r="U1028" s="79"/>
      <c r="V1028" s="79"/>
      <c r="W1028" s="79"/>
      <c r="X1028" s="79"/>
      <c r="Y1028" s="79"/>
      <c r="Z1028" s="79"/>
      <c r="AA1028" s="79"/>
    </row>
    <row r="1029" spans="1:27" x14ac:dyDescent="0.2">
      <c r="A1029" s="73"/>
      <c r="B1029" s="74"/>
      <c r="C1029" s="74"/>
      <c r="D1029" s="74"/>
      <c r="E1029" s="74"/>
      <c r="F1029" s="74"/>
      <c r="G1029" s="75"/>
      <c r="H1029" s="75"/>
      <c r="I1029" s="76"/>
      <c r="J1029" s="77"/>
      <c r="K1029" s="76"/>
      <c r="L1029" s="76"/>
      <c r="M1029" s="74"/>
      <c r="N1029" s="74"/>
      <c r="O1029" s="78"/>
      <c r="P1029" s="78"/>
      <c r="Q1029" s="78"/>
      <c r="R1029" s="78"/>
      <c r="S1029" s="79"/>
      <c r="T1029" s="79"/>
      <c r="U1029" s="79"/>
      <c r="V1029" s="79"/>
      <c r="W1029" s="79"/>
      <c r="X1029" s="79"/>
      <c r="Y1029" s="79"/>
      <c r="Z1029" s="79"/>
      <c r="AA1029" s="79"/>
    </row>
    <row r="1030" spans="1:27" x14ac:dyDescent="0.2">
      <c r="A1030" s="73"/>
      <c r="B1030" s="74"/>
      <c r="C1030" s="74"/>
      <c r="D1030" s="74"/>
      <c r="E1030" s="74"/>
      <c r="F1030" s="74"/>
      <c r="G1030" s="75"/>
      <c r="H1030" s="75"/>
      <c r="I1030" s="76"/>
      <c r="J1030" s="77"/>
      <c r="K1030" s="76"/>
      <c r="L1030" s="76"/>
      <c r="M1030" s="74"/>
      <c r="N1030" s="74"/>
      <c r="O1030" s="78"/>
      <c r="P1030" s="78"/>
      <c r="Q1030" s="78"/>
      <c r="R1030" s="78"/>
      <c r="S1030" s="79"/>
      <c r="T1030" s="79"/>
      <c r="U1030" s="79"/>
      <c r="V1030" s="79"/>
      <c r="W1030" s="79"/>
      <c r="X1030" s="79"/>
      <c r="Y1030" s="79"/>
      <c r="Z1030" s="79"/>
      <c r="AA1030" s="79"/>
    </row>
    <row r="1031" spans="1:27" x14ac:dyDescent="0.2">
      <c r="A1031" s="73"/>
      <c r="B1031" s="74"/>
      <c r="C1031" s="74"/>
      <c r="D1031" s="74"/>
      <c r="E1031" s="74"/>
      <c r="F1031" s="74"/>
      <c r="G1031" s="75"/>
      <c r="H1031" s="75"/>
      <c r="I1031" s="76"/>
      <c r="J1031" s="77"/>
      <c r="K1031" s="76"/>
      <c r="L1031" s="76"/>
      <c r="M1031" s="74"/>
      <c r="N1031" s="74"/>
      <c r="O1031" s="78"/>
      <c r="P1031" s="78"/>
      <c r="Q1031" s="78"/>
      <c r="R1031" s="78"/>
      <c r="S1031" s="79"/>
      <c r="T1031" s="79"/>
      <c r="U1031" s="79"/>
      <c r="V1031" s="79"/>
      <c r="W1031" s="79"/>
      <c r="X1031" s="79"/>
      <c r="Y1031" s="79"/>
      <c r="Z1031" s="79"/>
      <c r="AA1031" s="79"/>
    </row>
    <row r="1032" spans="1:27" x14ac:dyDescent="0.2">
      <c r="A1032" s="73"/>
      <c r="B1032" s="74"/>
      <c r="C1032" s="74"/>
      <c r="D1032" s="74"/>
      <c r="E1032" s="74"/>
      <c r="F1032" s="74"/>
      <c r="G1032" s="75"/>
      <c r="H1032" s="75"/>
      <c r="I1032" s="76"/>
      <c r="J1032" s="77"/>
      <c r="K1032" s="76"/>
      <c r="L1032" s="76"/>
      <c r="M1032" s="74"/>
      <c r="N1032" s="74"/>
      <c r="O1032" s="78"/>
      <c r="P1032" s="78"/>
      <c r="Q1032" s="78"/>
      <c r="R1032" s="78"/>
      <c r="S1032" s="79"/>
      <c r="T1032" s="79"/>
      <c r="U1032" s="79"/>
      <c r="V1032" s="79"/>
      <c r="W1032" s="79"/>
      <c r="X1032" s="79"/>
      <c r="Y1032" s="79"/>
      <c r="Z1032" s="79"/>
      <c r="AA1032" s="79"/>
    </row>
    <row r="1033" spans="1:27" x14ac:dyDescent="0.2">
      <c r="A1033" s="73"/>
      <c r="B1033" s="74"/>
      <c r="C1033" s="74"/>
      <c r="D1033" s="74"/>
      <c r="E1033" s="74"/>
      <c r="F1033" s="74"/>
      <c r="G1033" s="75"/>
      <c r="H1033" s="75"/>
      <c r="I1033" s="76"/>
      <c r="J1033" s="77"/>
      <c r="K1033" s="76"/>
      <c r="L1033" s="76"/>
      <c r="M1033" s="74"/>
      <c r="N1033" s="74"/>
      <c r="O1033" s="78"/>
      <c r="P1033" s="78"/>
      <c r="Q1033" s="78"/>
      <c r="R1033" s="78"/>
      <c r="S1033" s="79"/>
      <c r="T1033" s="79"/>
      <c r="U1033" s="79"/>
      <c r="V1033" s="79"/>
      <c r="W1033" s="79"/>
      <c r="X1033" s="79"/>
      <c r="Y1033" s="79"/>
      <c r="Z1033" s="79"/>
      <c r="AA1033" s="79"/>
    </row>
    <row r="1034" spans="1:27" x14ac:dyDescent="0.2">
      <c r="A1034" s="73"/>
      <c r="B1034" s="74"/>
      <c r="C1034" s="74"/>
      <c r="D1034" s="74"/>
      <c r="E1034" s="74"/>
      <c r="F1034" s="74"/>
      <c r="G1034" s="75"/>
      <c r="H1034" s="75"/>
      <c r="I1034" s="76"/>
      <c r="J1034" s="77"/>
      <c r="K1034" s="76"/>
      <c r="L1034" s="76"/>
      <c r="M1034" s="74"/>
      <c r="N1034" s="74"/>
      <c r="O1034" s="78"/>
      <c r="P1034" s="78"/>
      <c r="Q1034" s="78"/>
      <c r="R1034" s="78"/>
      <c r="S1034" s="79"/>
      <c r="T1034" s="79"/>
      <c r="U1034" s="79"/>
      <c r="V1034" s="79"/>
      <c r="W1034" s="79"/>
      <c r="X1034" s="79"/>
      <c r="Y1034" s="79"/>
      <c r="Z1034" s="79"/>
      <c r="AA1034" s="79"/>
    </row>
    <row r="1035" spans="1:27" x14ac:dyDescent="0.2">
      <c r="A1035" s="73"/>
      <c r="B1035" s="74"/>
      <c r="C1035" s="74"/>
      <c r="D1035" s="74"/>
      <c r="E1035" s="74"/>
      <c r="F1035" s="74"/>
      <c r="G1035" s="75"/>
      <c r="H1035" s="75"/>
      <c r="I1035" s="76"/>
      <c r="J1035" s="77"/>
      <c r="K1035" s="76"/>
      <c r="L1035" s="76"/>
      <c r="M1035" s="74"/>
      <c r="N1035" s="74"/>
      <c r="O1035" s="78"/>
      <c r="P1035" s="78"/>
      <c r="Q1035" s="78"/>
      <c r="R1035" s="78"/>
      <c r="S1035" s="79"/>
      <c r="T1035" s="79"/>
      <c r="U1035" s="79"/>
      <c r="V1035" s="79"/>
      <c r="W1035" s="79"/>
      <c r="X1035" s="79"/>
      <c r="Y1035" s="79"/>
      <c r="Z1035" s="79"/>
      <c r="AA1035" s="79"/>
    </row>
    <row r="1036" spans="1:27" x14ac:dyDescent="0.2">
      <c r="A1036" s="73"/>
      <c r="B1036" s="74"/>
      <c r="C1036" s="74"/>
      <c r="D1036" s="74"/>
      <c r="E1036" s="74"/>
      <c r="F1036" s="74"/>
      <c r="G1036" s="75"/>
      <c r="H1036" s="75"/>
      <c r="I1036" s="76"/>
      <c r="J1036" s="77"/>
      <c r="K1036" s="76"/>
      <c r="L1036" s="76"/>
      <c r="M1036" s="74"/>
      <c r="N1036" s="74"/>
      <c r="O1036" s="78"/>
      <c r="P1036" s="78"/>
      <c r="Q1036" s="78"/>
      <c r="R1036" s="78"/>
      <c r="S1036" s="79"/>
      <c r="T1036" s="79"/>
      <c r="U1036" s="79"/>
      <c r="V1036" s="79"/>
      <c r="W1036" s="79"/>
      <c r="X1036" s="79"/>
      <c r="Y1036" s="79"/>
      <c r="Z1036" s="79"/>
      <c r="AA1036" s="79"/>
    </row>
    <row r="1037" spans="1:27" x14ac:dyDescent="0.2">
      <c r="A1037" s="73"/>
      <c r="B1037" s="74"/>
      <c r="C1037" s="74"/>
      <c r="D1037" s="74"/>
      <c r="E1037" s="74"/>
      <c r="F1037" s="74"/>
      <c r="G1037" s="75"/>
      <c r="H1037" s="75"/>
      <c r="I1037" s="76"/>
      <c r="J1037" s="77"/>
      <c r="K1037" s="76"/>
      <c r="L1037" s="76"/>
      <c r="M1037" s="74"/>
      <c r="N1037" s="74"/>
      <c r="O1037" s="78"/>
      <c r="P1037" s="78"/>
      <c r="Q1037" s="78"/>
      <c r="R1037" s="78"/>
      <c r="S1037" s="79"/>
      <c r="T1037" s="79"/>
      <c r="U1037" s="79"/>
      <c r="V1037" s="79"/>
      <c r="W1037" s="79"/>
      <c r="X1037" s="79"/>
      <c r="Y1037" s="79"/>
      <c r="Z1037" s="79"/>
      <c r="AA1037" s="79"/>
    </row>
    <row r="1038" spans="1:27" x14ac:dyDescent="0.2">
      <c r="A1038" s="73"/>
      <c r="B1038" s="74"/>
      <c r="C1038" s="74"/>
      <c r="D1038" s="74"/>
      <c r="E1038" s="74"/>
      <c r="F1038" s="74"/>
      <c r="G1038" s="75"/>
      <c r="H1038" s="75"/>
      <c r="I1038" s="76"/>
      <c r="J1038" s="77"/>
      <c r="K1038" s="76"/>
      <c r="L1038" s="76"/>
      <c r="M1038" s="74"/>
      <c r="N1038" s="74"/>
      <c r="O1038" s="78"/>
      <c r="P1038" s="78"/>
      <c r="Q1038" s="78"/>
      <c r="R1038" s="78"/>
      <c r="S1038" s="79"/>
      <c r="T1038" s="79"/>
      <c r="U1038" s="79"/>
      <c r="V1038" s="79"/>
      <c r="W1038" s="79"/>
      <c r="X1038" s="79"/>
      <c r="Y1038" s="79"/>
      <c r="Z1038" s="79"/>
      <c r="AA1038" s="79"/>
    </row>
    <row r="1039" spans="1:27" x14ac:dyDescent="0.2">
      <c r="A1039" s="73"/>
      <c r="B1039" s="74"/>
      <c r="C1039" s="74"/>
      <c r="D1039" s="74"/>
      <c r="E1039" s="74"/>
      <c r="F1039" s="74"/>
      <c r="G1039" s="75"/>
      <c r="H1039" s="75"/>
      <c r="I1039" s="76"/>
      <c r="J1039" s="77"/>
      <c r="K1039" s="76"/>
      <c r="L1039" s="76"/>
      <c r="M1039" s="74"/>
      <c r="N1039" s="74"/>
      <c r="O1039" s="78"/>
      <c r="P1039" s="78"/>
      <c r="Q1039" s="78"/>
      <c r="R1039" s="78"/>
      <c r="S1039" s="79"/>
      <c r="T1039" s="79"/>
      <c r="U1039" s="79"/>
      <c r="V1039" s="79"/>
      <c r="W1039" s="79"/>
      <c r="X1039" s="79"/>
      <c r="Y1039" s="79"/>
      <c r="Z1039" s="79"/>
      <c r="AA1039" s="79"/>
    </row>
    <row r="1040" spans="1:27" x14ac:dyDescent="0.2">
      <c r="A1040" s="73"/>
      <c r="B1040" s="74"/>
      <c r="C1040" s="74"/>
      <c r="D1040" s="74"/>
      <c r="E1040" s="74"/>
      <c r="F1040" s="74"/>
      <c r="G1040" s="75"/>
      <c r="H1040" s="75"/>
      <c r="I1040" s="76"/>
      <c r="J1040" s="77"/>
      <c r="K1040" s="76"/>
      <c r="L1040" s="76"/>
      <c r="M1040" s="74"/>
      <c r="N1040" s="74"/>
      <c r="O1040" s="78"/>
      <c r="P1040" s="78"/>
      <c r="Q1040" s="78"/>
      <c r="R1040" s="78"/>
      <c r="S1040" s="79"/>
      <c r="T1040" s="79"/>
      <c r="U1040" s="79"/>
      <c r="V1040" s="79"/>
      <c r="W1040" s="79"/>
      <c r="X1040" s="79"/>
      <c r="Y1040" s="79"/>
      <c r="Z1040" s="79"/>
      <c r="AA1040" s="79"/>
    </row>
    <row r="1041" spans="1:27" x14ac:dyDescent="0.2">
      <c r="A1041" s="73"/>
      <c r="B1041" s="74"/>
      <c r="C1041" s="74"/>
      <c r="D1041" s="74"/>
      <c r="E1041" s="74"/>
      <c r="F1041" s="74"/>
      <c r="G1041" s="75"/>
      <c r="H1041" s="75"/>
      <c r="I1041" s="76"/>
      <c r="J1041" s="77"/>
      <c r="K1041" s="76"/>
      <c r="L1041" s="76"/>
      <c r="M1041" s="74"/>
      <c r="N1041" s="74"/>
      <c r="O1041" s="78"/>
      <c r="P1041" s="78"/>
      <c r="Q1041" s="78"/>
      <c r="R1041" s="78"/>
      <c r="S1041" s="79"/>
      <c r="T1041" s="79"/>
      <c r="U1041" s="79"/>
      <c r="V1041" s="79"/>
      <c r="W1041" s="79"/>
      <c r="X1041" s="79"/>
      <c r="Y1041" s="79"/>
      <c r="Z1041" s="79"/>
      <c r="AA1041" s="79"/>
    </row>
    <row r="1042" spans="1:27" x14ac:dyDescent="0.2">
      <c r="A1042" s="73"/>
      <c r="B1042" s="74"/>
      <c r="C1042" s="74"/>
      <c r="D1042" s="74"/>
      <c r="E1042" s="74"/>
      <c r="F1042" s="74"/>
      <c r="G1042" s="75"/>
      <c r="H1042" s="75"/>
      <c r="I1042" s="76"/>
      <c r="J1042" s="77"/>
      <c r="K1042" s="76"/>
      <c r="L1042" s="76"/>
      <c r="M1042" s="74"/>
      <c r="N1042" s="74"/>
      <c r="O1042" s="78"/>
      <c r="P1042" s="78"/>
      <c r="Q1042" s="78"/>
      <c r="R1042" s="78"/>
      <c r="S1042" s="79"/>
      <c r="T1042" s="79"/>
      <c r="U1042" s="79"/>
      <c r="V1042" s="79"/>
      <c r="W1042" s="79"/>
      <c r="X1042" s="79"/>
      <c r="Y1042" s="79"/>
      <c r="Z1042" s="79"/>
      <c r="AA1042" s="79"/>
    </row>
    <row r="1043" spans="1:27" x14ac:dyDescent="0.2">
      <c r="A1043" s="73"/>
      <c r="B1043" s="74"/>
      <c r="C1043" s="74"/>
      <c r="D1043" s="74"/>
      <c r="E1043" s="74"/>
      <c r="F1043" s="74"/>
      <c r="G1043" s="75"/>
      <c r="H1043" s="75"/>
      <c r="I1043" s="76"/>
      <c r="J1043" s="77"/>
      <c r="K1043" s="76"/>
      <c r="L1043" s="76"/>
      <c r="M1043" s="74"/>
      <c r="N1043" s="74"/>
      <c r="O1043" s="78"/>
      <c r="P1043" s="78"/>
      <c r="Q1043" s="78"/>
      <c r="R1043" s="78"/>
      <c r="S1043" s="79"/>
      <c r="T1043" s="79"/>
      <c r="U1043" s="79"/>
      <c r="V1043" s="79"/>
      <c r="W1043" s="79"/>
      <c r="X1043" s="79"/>
      <c r="Y1043" s="79"/>
      <c r="Z1043" s="79"/>
      <c r="AA1043" s="79"/>
    </row>
    <row r="1044" spans="1:27" x14ac:dyDescent="0.2">
      <c r="A1044" s="73"/>
      <c r="B1044" s="74"/>
      <c r="C1044" s="74"/>
      <c r="D1044" s="74"/>
      <c r="E1044" s="74"/>
      <c r="F1044" s="74"/>
      <c r="G1044" s="75"/>
      <c r="H1044" s="75"/>
      <c r="I1044" s="76"/>
      <c r="J1044" s="77"/>
      <c r="K1044" s="76"/>
      <c r="L1044" s="76"/>
      <c r="M1044" s="74"/>
      <c r="N1044" s="74"/>
      <c r="O1044" s="78"/>
      <c r="P1044" s="78"/>
      <c r="Q1044" s="78"/>
      <c r="R1044" s="78"/>
      <c r="S1044" s="79"/>
      <c r="T1044" s="79"/>
      <c r="U1044" s="79"/>
      <c r="V1044" s="79"/>
      <c r="W1044" s="79"/>
      <c r="X1044" s="79"/>
      <c r="Y1044" s="79"/>
      <c r="Z1044" s="79"/>
      <c r="AA1044" s="79"/>
    </row>
    <row r="1045" spans="1:27" x14ac:dyDescent="0.2">
      <c r="A1045" s="73"/>
      <c r="B1045" s="74"/>
      <c r="C1045" s="74"/>
      <c r="D1045" s="74"/>
      <c r="E1045" s="74"/>
      <c r="F1045" s="74"/>
      <c r="G1045" s="75"/>
      <c r="H1045" s="75"/>
      <c r="I1045" s="76"/>
      <c r="J1045" s="77"/>
      <c r="K1045" s="76"/>
      <c r="L1045" s="76"/>
      <c r="M1045" s="74"/>
      <c r="N1045" s="74"/>
      <c r="O1045" s="78"/>
      <c r="P1045" s="78"/>
      <c r="Q1045" s="78"/>
      <c r="R1045" s="78"/>
      <c r="S1045" s="79"/>
      <c r="T1045" s="79"/>
      <c r="U1045" s="79"/>
      <c r="V1045" s="79"/>
      <c r="W1045" s="79"/>
      <c r="X1045" s="79"/>
      <c r="Y1045" s="79"/>
      <c r="Z1045" s="79"/>
      <c r="AA1045" s="79"/>
    </row>
    <row r="1046" spans="1:27" x14ac:dyDescent="0.2">
      <c r="A1046" s="73"/>
      <c r="B1046" s="74"/>
      <c r="C1046" s="74"/>
      <c r="D1046" s="74"/>
      <c r="E1046" s="74"/>
      <c r="F1046" s="74"/>
      <c r="G1046" s="75"/>
      <c r="H1046" s="75"/>
      <c r="I1046" s="76"/>
      <c r="J1046" s="77"/>
      <c r="K1046" s="76"/>
      <c r="L1046" s="76"/>
      <c r="M1046" s="74"/>
      <c r="N1046" s="74"/>
      <c r="O1046" s="78"/>
      <c r="P1046" s="78"/>
      <c r="Q1046" s="78"/>
      <c r="R1046" s="78"/>
      <c r="S1046" s="79"/>
      <c r="T1046" s="79"/>
      <c r="U1046" s="79"/>
      <c r="V1046" s="79"/>
      <c r="W1046" s="79"/>
      <c r="X1046" s="79"/>
      <c r="Y1046" s="79"/>
      <c r="Z1046" s="79"/>
      <c r="AA1046" s="79"/>
    </row>
    <row r="1047" spans="1:27" x14ac:dyDescent="0.2">
      <c r="A1047" s="73"/>
      <c r="B1047" s="74"/>
      <c r="C1047" s="74"/>
      <c r="D1047" s="74"/>
      <c r="E1047" s="74"/>
      <c r="F1047" s="74"/>
      <c r="G1047" s="75"/>
      <c r="H1047" s="75"/>
      <c r="I1047" s="76"/>
      <c r="J1047" s="77"/>
      <c r="K1047" s="76"/>
      <c r="L1047" s="76"/>
      <c r="M1047" s="74"/>
      <c r="N1047" s="74"/>
      <c r="O1047" s="78"/>
      <c r="P1047" s="78"/>
      <c r="Q1047" s="78"/>
      <c r="R1047" s="78"/>
      <c r="S1047" s="79"/>
      <c r="T1047" s="79"/>
      <c r="U1047" s="79"/>
      <c r="V1047" s="79"/>
      <c r="W1047" s="79"/>
      <c r="X1047" s="79"/>
      <c r="Y1047" s="79"/>
      <c r="Z1047" s="79"/>
      <c r="AA1047" s="79"/>
    </row>
    <row r="1048" spans="1:27" x14ac:dyDescent="0.2">
      <c r="A1048" s="73"/>
      <c r="B1048" s="74"/>
      <c r="C1048" s="74"/>
      <c r="D1048" s="74"/>
      <c r="E1048" s="74"/>
      <c r="F1048" s="74"/>
      <c r="G1048" s="75"/>
      <c r="H1048" s="75"/>
      <c r="I1048" s="76"/>
      <c r="J1048" s="77"/>
      <c r="K1048" s="76"/>
      <c r="L1048" s="76"/>
      <c r="M1048" s="74"/>
      <c r="N1048" s="74"/>
      <c r="O1048" s="78"/>
      <c r="P1048" s="78"/>
      <c r="Q1048" s="78"/>
      <c r="R1048" s="78"/>
      <c r="S1048" s="79"/>
      <c r="T1048" s="79"/>
      <c r="U1048" s="79"/>
      <c r="V1048" s="79"/>
      <c r="W1048" s="79"/>
      <c r="X1048" s="79"/>
      <c r="Y1048" s="79"/>
      <c r="Z1048" s="79"/>
      <c r="AA1048" s="79"/>
    </row>
    <row r="1049" spans="1:27" x14ac:dyDescent="0.2">
      <c r="A1049" s="73"/>
      <c r="B1049" s="74"/>
      <c r="C1049" s="74"/>
      <c r="D1049" s="74"/>
      <c r="E1049" s="74"/>
      <c r="F1049" s="74"/>
      <c r="G1049" s="75"/>
      <c r="H1049" s="75"/>
      <c r="I1049" s="76"/>
      <c r="J1049" s="77"/>
      <c r="K1049" s="76"/>
      <c r="L1049" s="76"/>
      <c r="M1049" s="74"/>
      <c r="N1049" s="74"/>
      <c r="O1049" s="78"/>
      <c r="P1049" s="78"/>
      <c r="Q1049" s="78"/>
      <c r="R1049" s="78"/>
      <c r="S1049" s="79"/>
      <c r="T1049" s="79"/>
      <c r="U1049" s="79"/>
      <c r="V1049" s="79"/>
      <c r="W1049" s="79"/>
      <c r="X1049" s="79"/>
      <c r="Y1049" s="79"/>
      <c r="Z1049" s="79"/>
      <c r="AA1049" s="79"/>
    </row>
    <row r="1050" spans="1:27" x14ac:dyDescent="0.2">
      <c r="A1050" s="73"/>
      <c r="B1050" s="74"/>
      <c r="C1050" s="74"/>
      <c r="D1050" s="74"/>
      <c r="E1050" s="74"/>
      <c r="F1050" s="74"/>
      <c r="G1050" s="75"/>
      <c r="H1050" s="75"/>
      <c r="I1050" s="76"/>
      <c r="J1050" s="77"/>
      <c r="K1050" s="76"/>
      <c r="L1050" s="76"/>
      <c r="M1050" s="74"/>
      <c r="N1050" s="74"/>
      <c r="O1050" s="78"/>
      <c r="P1050" s="78"/>
      <c r="Q1050" s="78"/>
      <c r="R1050" s="78"/>
      <c r="S1050" s="79"/>
      <c r="T1050" s="79"/>
      <c r="U1050" s="79"/>
      <c r="V1050" s="79"/>
      <c r="W1050" s="79"/>
      <c r="X1050" s="79"/>
      <c r="Y1050" s="79"/>
      <c r="Z1050" s="79"/>
      <c r="AA1050" s="79"/>
    </row>
    <row r="1051" spans="1:27" x14ac:dyDescent="0.2">
      <c r="A1051" s="73"/>
      <c r="B1051" s="74"/>
      <c r="C1051" s="74"/>
      <c r="D1051" s="74"/>
      <c r="E1051" s="74"/>
      <c r="F1051" s="74"/>
      <c r="G1051" s="75"/>
      <c r="H1051" s="75"/>
      <c r="I1051" s="76"/>
      <c r="J1051" s="77"/>
      <c r="K1051" s="76"/>
      <c r="L1051" s="76"/>
      <c r="M1051" s="74"/>
      <c r="N1051" s="74"/>
      <c r="O1051" s="78"/>
      <c r="P1051" s="78"/>
      <c r="Q1051" s="78"/>
      <c r="R1051" s="78"/>
      <c r="S1051" s="79"/>
      <c r="T1051" s="79"/>
      <c r="U1051" s="79"/>
      <c r="V1051" s="79"/>
      <c r="W1051" s="79"/>
      <c r="X1051" s="79"/>
      <c r="Y1051" s="79"/>
      <c r="Z1051" s="79"/>
      <c r="AA1051" s="79"/>
    </row>
    <row r="1052" spans="1:27" x14ac:dyDescent="0.2">
      <c r="A1052" s="73"/>
      <c r="B1052" s="74"/>
      <c r="C1052" s="74"/>
      <c r="D1052" s="74"/>
      <c r="E1052" s="74"/>
      <c r="F1052" s="74"/>
      <c r="G1052" s="75"/>
      <c r="H1052" s="75"/>
      <c r="I1052" s="76"/>
      <c r="J1052" s="77"/>
      <c r="K1052" s="76"/>
      <c r="L1052" s="76"/>
      <c r="M1052" s="74"/>
      <c r="N1052" s="74"/>
      <c r="O1052" s="78"/>
      <c r="P1052" s="78"/>
      <c r="Q1052" s="78"/>
      <c r="R1052" s="78"/>
      <c r="S1052" s="79"/>
      <c r="T1052" s="79"/>
      <c r="U1052" s="79"/>
      <c r="V1052" s="79"/>
      <c r="W1052" s="79"/>
      <c r="X1052" s="79"/>
      <c r="Y1052" s="79"/>
      <c r="Z1052" s="79"/>
      <c r="AA1052" s="79"/>
    </row>
    <row r="1053" spans="1:27" x14ac:dyDescent="0.2">
      <c r="A1053" s="73"/>
      <c r="B1053" s="74"/>
      <c r="C1053" s="74"/>
      <c r="D1053" s="74"/>
      <c r="E1053" s="74"/>
      <c r="F1053" s="74"/>
      <c r="G1053" s="75"/>
      <c r="H1053" s="75"/>
      <c r="I1053" s="76"/>
      <c r="J1053" s="77"/>
      <c r="K1053" s="76"/>
      <c r="L1053" s="76"/>
      <c r="M1053" s="74"/>
      <c r="N1053" s="74"/>
      <c r="O1053" s="78"/>
      <c r="P1053" s="78"/>
      <c r="Q1053" s="78"/>
      <c r="R1053" s="78"/>
      <c r="S1053" s="79"/>
      <c r="T1053" s="79"/>
      <c r="U1053" s="79"/>
      <c r="V1053" s="79"/>
      <c r="W1053" s="79"/>
      <c r="X1053" s="79"/>
      <c r="Y1053" s="79"/>
      <c r="Z1053" s="79"/>
      <c r="AA1053" s="79"/>
    </row>
    <row r="1054" spans="1:27" x14ac:dyDescent="0.2">
      <c r="A1054" s="73"/>
      <c r="B1054" s="74"/>
      <c r="C1054" s="74"/>
      <c r="D1054" s="74"/>
      <c r="E1054" s="74"/>
      <c r="F1054" s="74"/>
      <c r="G1054" s="75"/>
      <c r="H1054" s="75"/>
      <c r="I1054" s="76"/>
      <c r="J1054" s="77"/>
      <c r="K1054" s="76"/>
      <c r="L1054" s="76"/>
      <c r="M1054" s="74"/>
      <c r="N1054" s="74"/>
      <c r="O1054" s="78"/>
      <c r="P1054" s="78"/>
      <c r="Q1054" s="78"/>
      <c r="R1054" s="78"/>
      <c r="S1054" s="79"/>
      <c r="T1054" s="79"/>
      <c r="U1054" s="79"/>
      <c r="V1054" s="79"/>
      <c r="W1054" s="79"/>
      <c r="X1054" s="79"/>
      <c r="Y1054" s="79"/>
      <c r="Z1054" s="79"/>
      <c r="AA1054" s="79"/>
    </row>
    <row r="1055" spans="1:27" x14ac:dyDescent="0.2">
      <c r="A1055" s="73"/>
      <c r="B1055" s="74"/>
      <c r="C1055" s="74"/>
      <c r="D1055" s="74"/>
      <c r="E1055" s="74"/>
      <c r="F1055" s="74"/>
      <c r="G1055" s="75"/>
      <c r="H1055" s="75"/>
      <c r="I1055" s="76"/>
      <c r="J1055" s="77"/>
      <c r="K1055" s="76"/>
      <c r="L1055" s="76"/>
      <c r="M1055" s="74"/>
      <c r="N1055" s="74"/>
      <c r="O1055" s="78"/>
      <c r="P1055" s="78"/>
      <c r="Q1055" s="78"/>
      <c r="R1055" s="78"/>
      <c r="S1055" s="79"/>
      <c r="T1055" s="79"/>
      <c r="U1055" s="79"/>
      <c r="V1055" s="79"/>
      <c r="W1055" s="79"/>
      <c r="X1055" s="79"/>
      <c r="Y1055" s="79"/>
      <c r="Z1055" s="79"/>
      <c r="AA1055" s="79"/>
    </row>
    <row r="1056" spans="1:27" x14ac:dyDescent="0.2">
      <c r="A1056" s="73"/>
      <c r="B1056" s="74"/>
      <c r="C1056" s="74"/>
      <c r="D1056" s="74"/>
      <c r="E1056" s="74"/>
      <c r="F1056" s="74"/>
      <c r="G1056" s="75"/>
      <c r="H1056" s="75"/>
      <c r="I1056" s="76"/>
      <c r="J1056" s="77"/>
      <c r="K1056" s="76"/>
      <c r="L1056" s="76"/>
      <c r="M1056" s="74"/>
      <c r="N1056" s="74"/>
      <c r="O1056" s="78"/>
      <c r="P1056" s="78"/>
      <c r="Q1056" s="78"/>
      <c r="R1056" s="78"/>
      <c r="S1056" s="79"/>
      <c r="T1056" s="79"/>
      <c r="U1056" s="79"/>
      <c r="V1056" s="79"/>
      <c r="W1056" s="79"/>
      <c r="X1056" s="79"/>
      <c r="Y1056" s="79"/>
      <c r="Z1056" s="79"/>
      <c r="AA1056" s="79"/>
    </row>
    <row r="1057" spans="1:27" x14ac:dyDescent="0.2">
      <c r="A1057" s="73"/>
      <c r="B1057" s="74"/>
      <c r="C1057" s="74"/>
      <c r="D1057" s="74"/>
      <c r="E1057" s="74"/>
      <c r="F1057" s="74"/>
      <c r="G1057" s="75"/>
      <c r="H1057" s="75"/>
      <c r="I1057" s="76"/>
      <c r="J1057" s="77"/>
      <c r="K1057" s="76"/>
      <c r="L1057" s="76"/>
      <c r="M1057" s="74"/>
      <c r="N1057" s="74"/>
      <c r="O1057" s="78"/>
      <c r="P1057" s="78"/>
      <c r="Q1057" s="78"/>
      <c r="R1057" s="78"/>
      <c r="S1057" s="79"/>
      <c r="T1057" s="79"/>
      <c r="U1057" s="79"/>
      <c r="V1057" s="79"/>
      <c r="W1057" s="79"/>
      <c r="X1057" s="79"/>
      <c r="Y1057" s="79"/>
      <c r="Z1057" s="79"/>
      <c r="AA1057" s="79"/>
    </row>
    <row r="1058" spans="1:27" x14ac:dyDescent="0.2">
      <c r="A1058" s="73"/>
      <c r="B1058" s="74"/>
      <c r="C1058" s="74"/>
      <c r="D1058" s="74"/>
      <c r="E1058" s="74"/>
      <c r="F1058" s="74"/>
      <c r="G1058" s="75"/>
      <c r="H1058" s="75"/>
      <c r="I1058" s="76"/>
      <c r="J1058" s="77"/>
      <c r="K1058" s="76"/>
      <c r="L1058" s="76"/>
      <c r="M1058" s="74"/>
      <c r="N1058" s="74"/>
      <c r="O1058" s="78"/>
      <c r="P1058" s="78"/>
      <c r="Q1058" s="78"/>
      <c r="R1058" s="78"/>
      <c r="S1058" s="79"/>
      <c r="T1058" s="79"/>
      <c r="U1058" s="79"/>
      <c r="V1058" s="79"/>
      <c r="W1058" s="79"/>
      <c r="X1058" s="79"/>
      <c r="Y1058" s="79"/>
      <c r="Z1058" s="79"/>
      <c r="AA1058" s="79"/>
    </row>
    <row r="1059" spans="1:27" x14ac:dyDescent="0.2">
      <c r="A1059" s="73"/>
      <c r="B1059" s="74"/>
      <c r="C1059" s="74"/>
      <c r="D1059" s="74"/>
      <c r="E1059" s="74"/>
      <c r="F1059" s="74"/>
      <c r="G1059" s="75"/>
      <c r="H1059" s="75"/>
      <c r="I1059" s="76"/>
      <c r="J1059" s="77"/>
      <c r="K1059" s="76"/>
      <c r="L1059" s="76"/>
      <c r="M1059" s="74"/>
      <c r="N1059" s="74"/>
      <c r="O1059" s="78"/>
      <c r="P1059" s="78"/>
      <c r="Q1059" s="78"/>
      <c r="R1059" s="78"/>
      <c r="S1059" s="79"/>
      <c r="T1059" s="79"/>
      <c r="U1059" s="79"/>
      <c r="V1059" s="79"/>
      <c r="W1059" s="79"/>
      <c r="X1059" s="79"/>
      <c r="Y1059" s="79"/>
      <c r="Z1059" s="79"/>
      <c r="AA1059" s="79"/>
    </row>
    <row r="1060" spans="1:27" x14ac:dyDescent="0.2">
      <c r="A1060" s="73"/>
      <c r="B1060" s="74"/>
      <c r="C1060" s="74"/>
      <c r="D1060" s="74"/>
      <c r="E1060" s="74"/>
      <c r="F1060" s="74"/>
      <c r="G1060" s="75"/>
      <c r="H1060" s="75"/>
      <c r="I1060" s="76"/>
      <c r="J1060" s="77"/>
      <c r="K1060" s="76"/>
      <c r="L1060" s="76"/>
      <c r="M1060" s="74"/>
      <c r="N1060" s="74"/>
      <c r="O1060" s="78"/>
      <c r="P1060" s="78"/>
      <c r="Q1060" s="78"/>
      <c r="R1060" s="78"/>
      <c r="S1060" s="79"/>
      <c r="T1060" s="79"/>
      <c r="U1060" s="79"/>
      <c r="V1060" s="79"/>
      <c r="W1060" s="79"/>
      <c r="X1060" s="79"/>
      <c r="Y1060" s="79"/>
      <c r="Z1060" s="79"/>
      <c r="AA1060" s="79"/>
    </row>
    <row r="1061" spans="1:27" x14ac:dyDescent="0.2">
      <c r="A1061" s="73"/>
      <c r="B1061" s="74"/>
      <c r="C1061" s="74"/>
      <c r="D1061" s="74"/>
      <c r="E1061" s="74"/>
      <c r="F1061" s="74"/>
      <c r="G1061" s="75"/>
      <c r="H1061" s="75"/>
      <c r="I1061" s="76"/>
      <c r="J1061" s="77"/>
      <c r="K1061" s="76"/>
      <c r="L1061" s="76"/>
      <c r="M1061" s="74"/>
      <c r="N1061" s="74"/>
      <c r="O1061" s="78"/>
      <c r="P1061" s="78"/>
      <c r="Q1061" s="78"/>
      <c r="R1061" s="78"/>
      <c r="S1061" s="79"/>
      <c r="T1061" s="79"/>
      <c r="U1061" s="79"/>
      <c r="V1061" s="79"/>
      <c r="W1061" s="79"/>
      <c r="X1061" s="79"/>
      <c r="Y1061" s="79"/>
      <c r="Z1061" s="79"/>
      <c r="AA1061" s="79"/>
    </row>
    <row r="1062" spans="1:27" x14ac:dyDescent="0.2">
      <c r="A1062" s="73"/>
      <c r="B1062" s="74"/>
      <c r="C1062" s="74"/>
      <c r="D1062" s="74"/>
      <c r="E1062" s="74"/>
      <c r="F1062" s="74"/>
      <c r="G1062" s="75"/>
      <c r="H1062" s="75"/>
      <c r="I1062" s="76"/>
      <c r="J1062" s="77"/>
      <c r="K1062" s="76"/>
      <c r="L1062" s="76"/>
      <c r="M1062" s="74"/>
      <c r="N1062" s="74"/>
      <c r="O1062" s="78"/>
      <c r="P1062" s="78"/>
      <c r="Q1062" s="78"/>
      <c r="R1062" s="78"/>
      <c r="S1062" s="79"/>
      <c r="T1062" s="79"/>
      <c r="U1062" s="79"/>
      <c r="V1062" s="79"/>
      <c r="W1062" s="79"/>
      <c r="X1062" s="79"/>
      <c r="Y1062" s="79"/>
      <c r="Z1062" s="79"/>
      <c r="AA1062" s="79"/>
    </row>
    <row r="1063" spans="1:27" x14ac:dyDescent="0.2">
      <c r="A1063" s="73"/>
      <c r="B1063" s="74"/>
      <c r="C1063" s="74"/>
      <c r="D1063" s="74"/>
      <c r="E1063" s="74"/>
      <c r="F1063" s="74"/>
      <c r="G1063" s="75"/>
      <c r="H1063" s="75"/>
      <c r="I1063" s="76"/>
      <c r="J1063" s="77"/>
      <c r="K1063" s="76"/>
      <c r="L1063" s="76"/>
      <c r="M1063" s="74"/>
      <c r="N1063" s="74"/>
      <c r="O1063" s="78"/>
      <c r="P1063" s="78"/>
      <c r="Q1063" s="78"/>
      <c r="R1063" s="78"/>
      <c r="S1063" s="79"/>
      <c r="T1063" s="79"/>
      <c r="U1063" s="79"/>
      <c r="V1063" s="79"/>
      <c r="W1063" s="79"/>
      <c r="X1063" s="79"/>
      <c r="Y1063" s="79"/>
      <c r="Z1063" s="79"/>
      <c r="AA1063" s="79"/>
    </row>
    <row r="1064" spans="1:27" x14ac:dyDescent="0.2">
      <c r="A1064" s="73"/>
      <c r="B1064" s="74"/>
      <c r="C1064" s="74"/>
      <c r="D1064" s="74"/>
      <c r="E1064" s="74"/>
      <c r="F1064" s="74"/>
      <c r="G1064" s="75"/>
      <c r="H1064" s="75"/>
      <c r="I1064" s="76"/>
      <c r="J1064" s="77"/>
      <c r="K1064" s="76"/>
      <c r="L1064" s="76"/>
      <c r="M1064" s="74"/>
      <c r="N1064" s="74"/>
      <c r="O1064" s="78"/>
      <c r="P1064" s="78"/>
      <c r="Q1064" s="78"/>
      <c r="R1064" s="78"/>
      <c r="S1064" s="79"/>
      <c r="T1064" s="79"/>
      <c r="U1064" s="79"/>
      <c r="V1064" s="79"/>
      <c r="W1064" s="79"/>
      <c r="X1064" s="79"/>
      <c r="Y1064" s="79"/>
      <c r="Z1064" s="79"/>
      <c r="AA1064" s="79"/>
    </row>
    <row r="1065" spans="1:27" x14ac:dyDescent="0.2">
      <c r="A1065" s="73"/>
      <c r="B1065" s="74"/>
      <c r="C1065" s="74"/>
      <c r="D1065" s="74"/>
      <c r="E1065" s="74"/>
      <c r="F1065" s="74"/>
      <c r="G1065" s="75"/>
      <c r="H1065" s="75"/>
      <c r="I1065" s="76"/>
      <c r="J1065" s="77"/>
      <c r="K1065" s="76"/>
      <c r="L1065" s="76"/>
      <c r="M1065" s="74"/>
      <c r="N1065" s="74"/>
      <c r="O1065" s="78"/>
      <c r="P1065" s="78"/>
      <c r="Q1065" s="78"/>
      <c r="R1065" s="78"/>
      <c r="S1065" s="79"/>
      <c r="T1065" s="79"/>
      <c r="U1065" s="79"/>
      <c r="V1065" s="79"/>
      <c r="W1065" s="79"/>
      <c r="X1065" s="79"/>
      <c r="Y1065" s="79"/>
      <c r="Z1065" s="79"/>
      <c r="AA1065" s="79"/>
    </row>
    <row r="1066" spans="1:27" x14ac:dyDescent="0.2">
      <c r="A1066" s="73"/>
      <c r="B1066" s="74"/>
      <c r="C1066" s="74"/>
      <c r="D1066" s="74"/>
      <c r="E1066" s="74"/>
      <c r="F1066" s="74"/>
      <c r="G1066" s="75"/>
      <c r="H1066" s="75"/>
      <c r="I1066" s="76"/>
      <c r="J1066" s="77"/>
      <c r="K1066" s="76"/>
      <c r="L1066" s="76"/>
      <c r="M1066" s="74"/>
      <c r="N1066" s="74"/>
      <c r="O1066" s="78"/>
      <c r="P1066" s="78"/>
      <c r="Q1066" s="78"/>
      <c r="R1066" s="78"/>
      <c r="S1066" s="79"/>
      <c r="T1066" s="79"/>
      <c r="U1066" s="79"/>
      <c r="V1066" s="79"/>
      <c r="W1066" s="79"/>
      <c r="X1066" s="79"/>
      <c r="Y1066" s="79"/>
      <c r="Z1066" s="79"/>
      <c r="AA1066" s="79"/>
    </row>
    <row r="1067" spans="1:27" x14ac:dyDescent="0.2">
      <c r="A1067" s="73"/>
      <c r="B1067" s="74"/>
      <c r="C1067" s="74"/>
      <c r="D1067" s="74"/>
      <c r="E1067" s="74"/>
      <c r="F1067" s="74"/>
      <c r="G1067" s="75"/>
      <c r="H1067" s="75"/>
      <c r="I1067" s="76"/>
      <c r="J1067" s="77"/>
      <c r="K1067" s="76"/>
      <c r="L1067" s="76"/>
      <c r="M1067" s="74"/>
      <c r="N1067" s="74"/>
      <c r="O1067" s="78"/>
      <c r="P1067" s="78"/>
      <c r="Q1067" s="78"/>
      <c r="R1067" s="78"/>
      <c r="S1067" s="79"/>
      <c r="T1067" s="79"/>
      <c r="U1067" s="79"/>
      <c r="V1067" s="79"/>
      <c r="W1067" s="79"/>
      <c r="X1067" s="79"/>
      <c r="Y1067" s="79"/>
      <c r="Z1067" s="79"/>
      <c r="AA1067" s="79"/>
    </row>
    <row r="1068" spans="1:27" x14ac:dyDescent="0.2">
      <c r="A1068" s="73"/>
      <c r="B1068" s="74"/>
      <c r="C1068" s="74"/>
      <c r="D1068" s="74"/>
      <c r="E1068" s="74"/>
      <c r="F1068" s="74"/>
      <c r="G1068" s="75"/>
      <c r="H1068" s="75"/>
      <c r="I1068" s="76"/>
      <c r="J1068" s="77"/>
      <c r="K1068" s="76"/>
      <c r="L1068" s="76"/>
      <c r="M1068" s="74"/>
      <c r="N1068" s="74"/>
      <c r="O1068" s="78"/>
      <c r="P1068" s="78"/>
      <c r="Q1068" s="78"/>
      <c r="R1068" s="78"/>
      <c r="S1068" s="79"/>
      <c r="T1068" s="79"/>
      <c r="U1068" s="79"/>
      <c r="V1068" s="79"/>
      <c r="W1068" s="79"/>
      <c r="X1068" s="79"/>
      <c r="Y1068" s="79"/>
      <c r="Z1068" s="79"/>
      <c r="AA1068" s="79"/>
    </row>
    <row r="1069" spans="1:27" x14ac:dyDescent="0.2">
      <c r="A1069" s="73"/>
      <c r="B1069" s="74"/>
      <c r="C1069" s="74"/>
      <c r="D1069" s="74"/>
      <c r="E1069" s="74"/>
      <c r="F1069" s="74"/>
      <c r="G1069" s="75"/>
      <c r="H1069" s="75"/>
      <c r="I1069" s="76"/>
      <c r="J1069" s="77"/>
      <c r="K1069" s="76"/>
      <c r="L1069" s="76"/>
      <c r="M1069" s="74"/>
      <c r="N1069" s="74"/>
      <c r="O1069" s="78"/>
      <c r="P1069" s="78"/>
      <c r="Q1069" s="78"/>
      <c r="R1069" s="78"/>
      <c r="S1069" s="79"/>
      <c r="T1069" s="79"/>
      <c r="U1069" s="79"/>
      <c r="V1069" s="79"/>
      <c r="W1069" s="79"/>
      <c r="X1069" s="79"/>
      <c r="Y1069" s="79"/>
      <c r="Z1069" s="79"/>
      <c r="AA1069" s="79"/>
    </row>
    <row r="1070" spans="1:27" x14ac:dyDescent="0.2">
      <c r="A1070" s="73"/>
      <c r="B1070" s="74"/>
      <c r="C1070" s="74"/>
      <c r="D1070" s="74"/>
      <c r="E1070" s="74"/>
      <c r="F1070" s="74"/>
      <c r="G1070" s="75"/>
      <c r="H1070" s="75"/>
      <c r="I1070" s="76"/>
      <c r="J1070" s="77"/>
      <c r="K1070" s="76"/>
      <c r="L1070" s="76"/>
      <c r="M1070" s="74"/>
      <c r="N1070" s="74"/>
      <c r="O1070" s="78"/>
      <c r="P1070" s="78"/>
      <c r="Q1070" s="78"/>
      <c r="R1070" s="78"/>
      <c r="S1070" s="79"/>
      <c r="T1070" s="79"/>
      <c r="U1070" s="79"/>
      <c r="V1070" s="79"/>
      <c r="W1070" s="79"/>
      <c r="X1070" s="79"/>
      <c r="Y1070" s="79"/>
      <c r="Z1070" s="79"/>
      <c r="AA1070" s="79"/>
    </row>
    <row r="1071" spans="1:27" x14ac:dyDescent="0.2">
      <c r="A1071" s="73"/>
      <c r="B1071" s="74"/>
      <c r="C1071" s="74"/>
      <c r="D1071" s="74"/>
      <c r="E1071" s="74"/>
      <c r="F1071" s="74"/>
      <c r="G1071" s="75"/>
      <c r="H1071" s="75"/>
      <c r="I1071" s="76"/>
      <c r="J1071" s="77"/>
      <c r="K1071" s="76"/>
      <c r="L1071" s="76"/>
      <c r="M1071" s="74"/>
      <c r="N1071" s="74"/>
      <c r="O1071" s="78"/>
      <c r="P1071" s="78"/>
      <c r="Q1071" s="78"/>
      <c r="R1071" s="78"/>
      <c r="S1071" s="79"/>
      <c r="T1071" s="79"/>
      <c r="U1071" s="79"/>
      <c r="V1071" s="79"/>
      <c r="W1071" s="79"/>
      <c r="X1071" s="79"/>
      <c r="Y1071" s="79"/>
      <c r="Z1071" s="79"/>
      <c r="AA1071" s="79"/>
    </row>
    <row r="1072" spans="1:27" x14ac:dyDescent="0.2">
      <c r="A1072" s="73"/>
      <c r="B1072" s="74"/>
      <c r="C1072" s="74"/>
      <c r="D1072" s="74"/>
      <c r="E1072" s="74"/>
      <c r="F1072" s="74"/>
      <c r="G1072" s="75"/>
      <c r="H1072" s="75"/>
      <c r="I1072" s="76"/>
      <c r="J1072" s="77"/>
      <c r="K1072" s="76"/>
      <c r="L1072" s="76"/>
      <c r="M1072" s="74"/>
      <c r="N1072" s="74"/>
      <c r="O1072" s="78"/>
      <c r="P1072" s="78"/>
      <c r="Q1072" s="78"/>
      <c r="R1072" s="78"/>
      <c r="S1072" s="79"/>
      <c r="T1072" s="79"/>
      <c r="U1072" s="79"/>
      <c r="V1072" s="79"/>
      <c r="W1072" s="79"/>
      <c r="X1072" s="79"/>
      <c r="Y1072" s="79"/>
      <c r="Z1072" s="79"/>
      <c r="AA1072" s="79"/>
    </row>
    <row r="1073" spans="1:27" x14ac:dyDescent="0.2">
      <c r="A1073" s="73"/>
      <c r="B1073" s="74"/>
      <c r="C1073" s="74"/>
      <c r="D1073" s="74"/>
      <c r="E1073" s="74"/>
      <c r="F1073" s="74"/>
      <c r="G1073" s="75"/>
      <c r="H1073" s="75"/>
      <c r="I1073" s="76"/>
      <c r="J1073" s="77"/>
      <c r="K1073" s="76"/>
      <c r="L1073" s="76"/>
      <c r="M1073" s="74"/>
      <c r="N1073" s="74"/>
      <c r="O1073" s="78"/>
      <c r="P1073" s="78"/>
      <c r="Q1073" s="78"/>
      <c r="R1073" s="78"/>
      <c r="S1073" s="79"/>
      <c r="T1073" s="79"/>
      <c r="U1073" s="79"/>
      <c r="V1073" s="79"/>
      <c r="W1073" s="79"/>
      <c r="X1073" s="79"/>
      <c r="Y1073" s="79"/>
      <c r="Z1073" s="79"/>
      <c r="AA1073" s="79"/>
    </row>
    <row r="1074" spans="1:27" x14ac:dyDescent="0.2">
      <c r="A1074" s="73"/>
      <c r="B1074" s="74"/>
      <c r="C1074" s="74"/>
      <c r="D1074" s="74"/>
      <c r="E1074" s="74"/>
      <c r="F1074" s="74"/>
      <c r="G1074" s="75"/>
      <c r="H1074" s="75"/>
      <c r="I1074" s="76"/>
      <c r="J1074" s="77"/>
      <c r="K1074" s="76"/>
      <c r="L1074" s="76"/>
      <c r="M1074" s="74"/>
      <c r="N1074" s="74"/>
      <c r="O1074" s="78"/>
      <c r="P1074" s="78"/>
      <c r="Q1074" s="78"/>
      <c r="R1074" s="78"/>
      <c r="S1074" s="79"/>
      <c r="T1074" s="79"/>
      <c r="U1074" s="79"/>
      <c r="V1074" s="79"/>
      <c r="W1074" s="79"/>
      <c r="X1074" s="79"/>
      <c r="Y1074" s="79"/>
      <c r="Z1074" s="79"/>
      <c r="AA1074" s="79"/>
    </row>
    <row r="1075" spans="1:27" x14ac:dyDescent="0.2">
      <c r="A1075" s="73"/>
      <c r="B1075" s="74"/>
      <c r="C1075" s="74"/>
      <c r="D1075" s="74"/>
      <c r="E1075" s="74"/>
      <c r="F1075" s="74"/>
      <c r="G1075" s="75"/>
      <c r="H1075" s="75"/>
      <c r="I1075" s="76"/>
      <c r="J1075" s="77"/>
      <c r="K1075" s="76"/>
      <c r="L1075" s="76"/>
      <c r="M1075" s="74"/>
      <c r="N1075" s="74"/>
      <c r="O1075" s="78"/>
      <c r="P1075" s="78"/>
      <c r="Q1075" s="78"/>
      <c r="R1075" s="78"/>
      <c r="S1075" s="79"/>
      <c r="T1075" s="79"/>
      <c r="U1075" s="79"/>
      <c r="V1075" s="79"/>
      <c r="W1075" s="79"/>
      <c r="X1075" s="79"/>
      <c r="Y1075" s="79"/>
      <c r="Z1075" s="79"/>
      <c r="AA1075" s="79"/>
    </row>
    <row r="1076" spans="1:27" x14ac:dyDescent="0.2">
      <c r="A1076" s="73"/>
      <c r="B1076" s="74"/>
      <c r="C1076" s="74"/>
      <c r="D1076" s="74"/>
      <c r="E1076" s="74"/>
      <c r="F1076" s="74"/>
      <c r="G1076" s="75"/>
      <c r="H1076" s="75"/>
      <c r="I1076" s="76"/>
      <c r="J1076" s="77"/>
      <c r="K1076" s="76"/>
      <c r="L1076" s="76"/>
      <c r="M1076" s="74"/>
      <c r="N1076" s="74"/>
      <c r="O1076" s="78"/>
      <c r="P1076" s="78"/>
      <c r="Q1076" s="78"/>
      <c r="R1076" s="78"/>
      <c r="S1076" s="79"/>
      <c r="T1076" s="79"/>
      <c r="U1076" s="79"/>
      <c r="V1076" s="79"/>
      <c r="W1076" s="79"/>
      <c r="X1076" s="79"/>
      <c r="Y1076" s="79"/>
      <c r="Z1076" s="79"/>
      <c r="AA1076" s="79"/>
    </row>
    <row r="1077" spans="1:27" x14ac:dyDescent="0.2">
      <c r="A1077" s="73"/>
      <c r="B1077" s="74"/>
      <c r="C1077" s="74"/>
      <c r="D1077" s="74"/>
      <c r="E1077" s="74"/>
      <c r="F1077" s="74"/>
      <c r="G1077" s="75"/>
      <c r="H1077" s="75"/>
      <c r="I1077" s="76"/>
      <c r="J1077" s="77"/>
      <c r="K1077" s="76"/>
      <c r="L1077" s="76"/>
      <c r="M1077" s="74"/>
      <c r="N1077" s="74"/>
      <c r="O1077" s="78"/>
      <c r="P1077" s="78"/>
      <c r="Q1077" s="78"/>
      <c r="R1077" s="78"/>
      <c r="S1077" s="79"/>
      <c r="T1077" s="79"/>
      <c r="U1077" s="79"/>
      <c r="V1077" s="79"/>
      <c r="W1077" s="79"/>
      <c r="X1077" s="79"/>
      <c r="Y1077" s="79"/>
      <c r="Z1077" s="79"/>
      <c r="AA1077" s="79"/>
    </row>
    <row r="1078" spans="1:27" x14ac:dyDescent="0.2">
      <c r="A1078" s="73"/>
      <c r="B1078" s="74"/>
      <c r="C1078" s="74"/>
      <c r="D1078" s="74"/>
      <c r="E1078" s="74"/>
      <c r="F1078" s="74"/>
      <c r="G1078" s="75"/>
      <c r="H1078" s="75"/>
      <c r="I1078" s="76"/>
      <c r="J1078" s="77"/>
      <c r="K1078" s="76"/>
      <c r="L1078" s="76"/>
      <c r="M1078" s="74"/>
      <c r="N1078" s="74"/>
      <c r="O1078" s="78"/>
      <c r="P1078" s="78"/>
      <c r="Q1078" s="78"/>
      <c r="R1078" s="78"/>
      <c r="S1078" s="79"/>
      <c r="T1078" s="79"/>
      <c r="U1078" s="79"/>
      <c r="V1078" s="79"/>
      <c r="W1078" s="79"/>
      <c r="X1078" s="79"/>
      <c r="Y1078" s="79"/>
      <c r="Z1078" s="79"/>
      <c r="AA1078" s="79"/>
    </row>
    <row r="1079" spans="1:27" x14ac:dyDescent="0.2">
      <c r="A1079" s="73"/>
      <c r="B1079" s="74"/>
      <c r="C1079" s="74"/>
      <c r="D1079" s="74"/>
      <c r="E1079" s="74"/>
      <c r="F1079" s="74"/>
      <c r="G1079" s="75"/>
      <c r="H1079" s="75"/>
      <c r="I1079" s="76"/>
      <c r="J1079" s="77"/>
      <c r="K1079" s="76"/>
      <c r="L1079" s="76"/>
      <c r="M1079" s="74"/>
      <c r="N1079" s="74"/>
      <c r="O1079" s="78"/>
      <c r="P1079" s="78"/>
      <c r="Q1079" s="78"/>
      <c r="R1079" s="78"/>
      <c r="S1079" s="79"/>
      <c r="T1079" s="79"/>
      <c r="U1079" s="79"/>
      <c r="V1079" s="79"/>
      <c r="W1079" s="79"/>
      <c r="X1079" s="79"/>
      <c r="Y1079" s="79"/>
      <c r="Z1079" s="79"/>
      <c r="AA1079" s="79"/>
    </row>
    <row r="1080" spans="1:27" x14ac:dyDescent="0.2">
      <c r="A1080" s="73"/>
      <c r="B1080" s="74"/>
      <c r="C1080" s="74"/>
      <c r="D1080" s="74"/>
      <c r="E1080" s="74"/>
      <c r="F1080" s="74"/>
      <c r="G1080" s="75"/>
      <c r="H1080" s="75"/>
      <c r="I1080" s="76"/>
      <c r="J1080" s="77"/>
      <c r="K1080" s="76"/>
      <c r="L1080" s="76"/>
      <c r="M1080" s="74"/>
      <c r="N1080" s="74"/>
      <c r="O1080" s="78"/>
      <c r="P1080" s="78"/>
      <c r="Q1080" s="78"/>
      <c r="R1080" s="78"/>
      <c r="S1080" s="79"/>
      <c r="T1080" s="79"/>
      <c r="U1080" s="79"/>
      <c r="V1080" s="79"/>
      <c r="W1080" s="79"/>
      <c r="X1080" s="79"/>
      <c r="Y1080" s="79"/>
      <c r="Z1080" s="79"/>
      <c r="AA1080" s="79"/>
    </row>
    <row r="1081" spans="1:27" x14ac:dyDescent="0.2">
      <c r="A1081" s="73"/>
      <c r="B1081" s="74"/>
      <c r="C1081" s="74"/>
      <c r="D1081" s="74"/>
      <c r="E1081" s="74"/>
      <c r="F1081" s="74"/>
      <c r="G1081" s="75"/>
      <c r="H1081" s="75"/>
      <c r="I1081" s="76"/>
      <c r="J1081" s="77"/>
      <c r="K1081" s="76"/>
      <c r="L1081" s="76"/>
      <c r="M1081" s="74"/>
      <c r="N1081" s="74"/>
      <c r="O1081" s="78"/>
      <c r="P1081" s="78"/>
      <c r="Q1081" s="78"/>
      <c r="R1081" s="78"/>
      <c r="S1081" s="79"/>
      <c r="T1081" s="79"/>
      <c r="U1081" s="79"/>
      <c r="V1081" s="79"/>
      <c r="W1081" s="79"/>
      <c r="X1081" s="79"/>
      <c r="Y1081" s="79"/>
      <c r="Z1081" s="79"/>
      <c r="AA1081" s="79"/>
    </row>
    <row r="1082" spans="1:27" x14ac:dyDescent="0.2">
      <c r="A1082" s="73"/>
      <c r="B1082" s="74"/>
      <c r="C1082" s="74"/>
      <c r="D1082" s="74"/>
      <c r="E1082" s="74"/>
      <c r="F1082" s="74"/>
      <c r="G1082" s="75"/>
      <c r="H1082" s="75"/>
      <c r="I1082" s="76"/>
      <c r="J1082" s="77"/>
      <c r="K1082" s="76"/>
      <c r="L1082" s="76"/>
      <c r="M1082" s="74"/>
      <c r="N1082" s="74"/>
      <c r="O1082" s="78"/>
      <c r="P1082" s="78"/>
      <c r="Q1082" s="78"/>
      <c r="R1082" s="78"/>
      <c r="S1082" s="79"/>
      <c r="T1082" s="79"/>
      <c r="U1082" s="79"/>
      <c r="V1082" s="79"/>
      <c r="W1082" s="79"/>
      <c r="X1082" s="79"/>
      <c r="Y1082" s="79"/>
      <c r="Z1082" s="79"/>
      <c r="AA1082" s="79"/>
    </row>
    <row r="1083" spans="1:27" x14ac:dyDescent="0.2">
      <c r="A1083" s="73"/>
      <c r="B1083" s="74"/>
      <c r="C1083" s="74"/>
      <c r="D1083" s="74"/>
      <c r="E1083" s="74"/>
      <c r="F1083" s="74"/>
      <c r="G1083" s="75"/>
      <c r="H1083" s="75"/>
      <c r="I1083" s="76"/>
      <c r="J1083" s="77"/>
      <c r="K1083" s="76"/>
      <c r="L1083" s="76"/>
      <c r="M1083" s="74"/>
      <c r="N1083" s="74"/>
      <c r="O1083" s="78"/>
      <c r="P1083" s="78"/>
      <c r="Q1083" s="78"/>
      <c r="R1083" s="78"/>
      <c r="S1083" s="79"/>
      <c r="T1083" s="79"/>
      <c r="U1083" s="79"/>
      <c r="V1083" s="79"/>
      <c r="W1083" s="79"/>
      <c r="X1083" s="79"/>
      <c r="Y1083" s="79"/>
      <c r="Z1083" s="79"/>
      <c r="AA1083" s="79"/>
    </row>
    <row r="1084" spans="1:27" x14ac:dyDescent="0.2">
      <c r="A1084" s="73"/>
      <c r="B1084" s="74"/>
      <c r="C1084" s="74"/>
      <c r="D1084" s="74"/>
      <c r="E1084" s="74"/>
      <c r="F1084" s="74"/>
      <c r="G1084" s="75"/>
      <c r="H1084" s="75"/>
      <c r="I1084" s="76"/>
      <c r="J1084" s="77"/>
      <c r="K1084" s="76"/>
      <c r="L1084" s="76"/>
      <c r="M1084" s="74"/>
      <c r="N1084" s="74"/>
      <c r="O1084" s="78"/>
      <c r="P1084" s="78"/>
      <c r="Q1084" s="78"/>
      <c r="R1084" s="78"/>
      <c r="S1084" s="79"/>
      <c r="T1084" s="79"/>
      <c r="U1084" s="79"/>
      <c r="V1084" s="79"/>
      <c r="W1084" s="79"/>
      <c r="X1084" s="79"/>
      <c r="Y1084" s="79"/>
      <c r="Z1084" s="79"/>
      <c r="AA1084" s="79"/>
    </row>
    <row r="1085" spans="1:27" x14ac:dyDescent="0.2">
      <c r="A1085" s="73"/>
      <c r="B1085" s="74"/>
      <c r="C1085" s="74"/>
      <c r="D1085" s="74"/>
      <c r="E1085" s="74"/>
      <c r="F1085" s="74"/>
      <c r="G1085" s="75"/>
      <c r="H1085" s="75"/>
      <c r="I1085" s="76"/>
      <c r="J1085" s="77"/>
      <c r="K1085" s="76"/>
      <c r="L1085" s="76"/>
      <c r="M1085" s="74"/>
      <c r="N1085" s="74"/>
      <c r="O1085" s="78"/>
      <c r="P1085" s="78"/>
      <c r="Q1085" s="78"/>
      <c r="R1085" s="78"/>
      <c r="S1085" s="79"/>
      <c r="T1085" s="79"/>
      <c r="U1085" s="79"/>
      <c r="V1085" s="79"/>
      <c r="W1085" s="79"/>
      <c r="X1085" s="79"/>
      <c r="Y1085" s="79"/>
      <c r="Z1085" s="79"/>
      <c r="AA1085" s="79"/>
    </row>
    <row r="1086" spans="1:27" x14ac:dyDescent="0.2">
      <c r="A1086" s="73"/>
      <c r="B1086" s="74"/>
      <c r="C1086" s="74"/>
      <c r="D1086" s="74"/>
      <c r="E1086" s="74"/>
      <c r="F1086" s="74"/>
      <c r="G1086" s="75"/>
      <c r="H1086" s="75"/>
      <c r="I1086" s="76"/>
      <c r="J1086" s="77"/>
      <c r="K1086" s="76"/>
      <c r="L1086" s="76"/>
      <c r="M1086" s="74"/>
      <c r="N1086" s="74"/>
      <c r="O1086" s="78"/>
      <c r="P1086" s="78"/>
      <c r="Q1086" s="78"/>
      <c r="R1086" s="78"/>
      <c r="S1086" s="79"/>
      <c r="T1086" s="79"/>
      <c r="U1086" s="79"/>
      <c r="V1086" s="79"/>
      <c r="W1086" s="79"/>
      <c r="X1086" s="79"/>
      <c r="Y1086" s="79"/>
      <c r="Z1086" s="79"/>
      <c r="AA1086" s="79"/>
    </row>
    <row r="1087" spans="1:27" x14ac:dyDescent="0.2">
      <c r="A1087" s="73"/>
      <c r="B1087" s="74"/>
      <c r="C1087" s="74"/>
      <c r="D1087" s="74"/>
      <c r="E1087" s="74"/>
      <c r="F1087" s="74"/>
      <c r="G1087" s="75"/>
      <c r="H1087" s="75"/>
      <c r="I1087" s="76"/>
      <c r="J1087" s="77"/>
      <c r="K1087" s="76"/>
      <c r="L1087" s="76"/>
      <c r="M1087" s="74"/>
      <c r="N1087" s="74"/>
      <c r="O1087" s="78"/>
      <c r="P1087" s="78"/>
      <c r="Q1087" s="78"/>
      <c r="R1087" s="78"/>
      <c r="S1087" s="79"/>
      <c r="T1087" s="79"/>
      <c r="U1087" s="79"/>
      <c r="V1087" s="79"/>
      <c r="W1087" s="79"/>
      <c r="X1087" s="79"/>
      <c r="Y1087" s="79"/>
      <c r="Z1087" s="79"/>
      <c r="AA1087" s="79"/>
    </row>
    <row r="1088" spans="1:27" x14ac:dyDescent="0.2">
      <c r="A1088" s="73"/>
      <c r="B1088" s="74"/>
      <c r="C1088" s="74"/>
      <c r="D1088" s="74"/>
      <c r="E1088" s="74"/>
      <c r="F1088" s="74"/>
      <c r="G1088" s="75"/>
      <c r="H1088" s="75"/>
      <c r="I1088" s="76"/>
      <c r="J1088" s="77"/>
      <c r="K1088" s="76"/>
      <c r="L1088" s="76"/>
      <c r="M1088" s="74"/>
      <c r="N1088" s="74"/>
      <c r="O1088" s="78"/>
      <c r="P1088" s="78"/>
      <c r="Q1088" s="78"/>
      <c r="R1088" s="78"/>
      <c r="S1088" s="79"/>
      <c r="T1088" s="79"/>
      <c r="U1088" s="79"/>
      <c r="V1088" s="79"/>
      <c r="W1088" s="79"/>
      <c r="X1088" s="79"/>
      <c r="Y1088" s="79"/>
      <c r="Z1088" s="79"/>
      <c r="AA1088" s="79"/>
    </row>
    <row r="1089" spans="1:27" x14ac:dyDescent="0.2">
      <c r="A1089" s="73"/>
      <c r="B1089" s="74"/>
      <c r="C1089" s="74"/>
      <c r="D1089" s="74"/>
      <c r="E1089" s="74"/>
      <c r="F1089" s="74"/>
      <c r="G1089" s="75"/>
      <c r="H1089" s="75"/>
      <c r="I1089" s="76"/>
      <c r="J1089" s="77"/>
      <c r="K1089" s="76"/>
      <c r="L1089" s="76"/>
      <c r="M1089" s="74"/>
      <c r="N1089" s="74"/>
      <c r="O1089" s="78"/>
      <c r="P1089" s="78"/>
      <c r="Q1089" s="78"/>
      <c r="R1089" s="78"/>
      <c r="S1089" s="79"/>
      <c r="T1089" s="79"/>
      <c r="U1089" s="79"/>
      <c r="V1089" s="79"/>
      <c r="W1089" s="79"/>
      <c r="X1089" s="79"/>
      <c r="Y1089" s="79"/>
      <c r="Z1089" s="79"/>
      <c r="AA1089" s="79"/>
    </row>
    <row r="1090" spans="1:27" x14ac:dyDescent="0.2">
      <c r="A1090" s="73"/>
      <c r="B1090" s="74"/>
      <c r="C1090" s="74"/>
      <c r="D1090" s="74"/>
      <c r="E1090" s="74"/>
      <c r="F1090" s="74"/>
      <c r="G1090" s="75"/>
      <c r="H1090" s="75"/>
      <c r="I1090" s="76"/>
      <c r="J1090" s="77"/>
      <c r="K1090" s="76"/>
      <c r="L1090" s="76"/>
      <c r="M1090" s="74"/>
      <c r="N1090" s="74"/>
      <c r="O1090" s="78"/>
      <c r="P1090" s="78"/>
      <c r="Q1090" s="78"/>
      <c r="R1090" s="78"/>
      <c r="S1090" s="79"/>
      <c r="T1090" s="79"/>
      <c r="U1090" s="79"/>
      <c r="V1090" s="79"/>
      <c r="W1090" s="79"/>
      <c r="X1090" s="79"/>
      <c r="Y1090" s="79"/>
      <c r="Z1090" s="79"/>
      <c r="AA1090" s="79"/>
    </row>
    <row r="1091" spans="1:27" x14ac:dyDescent="0.2">
      <c r="A1091" s="73"/>
      <c r="B1091" s="74"/>
      <c r="C1091" s="74"/>
      <c r="D1091" s="74"/>
      <c r="E1091" s="74"/>
      <c r="F1091" s="74"/>
      <c r="G1091" s="75"/>
      <c r="H1091" s="75"/>
      <c r="I1091" s="76"/>
      <c r="J1091" s="77"/>
      <c r="K1091" s="76"/>
      <c r="L1091" s="76"/>
      <c r="M1091" s="74"/>
      <c r="N1091" s="74"/>
      <c r="O1091" s="78"/>
      <c r="P1091" s="78"/>
      <c r="Q1091" s="78"/>
      <c r="R1091" s="78"/>
      <c r="S1091" s="79"/>
      <c r="T1091" s="79"/>
      <c r="U1091" s="79"/>
      <c r="V1091" s="79"/>
      <c r="W1091" s="79"/>
      <c r="X1091" s="79"/>
      <c r="Y1091" s="79"/>
      <c r="Z1091" s="79"/>
      <c r="AA1091" s="79"/>
    </row>
    <row r="1092" spans="1:27" x14ac:dyDescent="0.2">
      <c r="A1092" s="73"/>
      <c r="B1092" s="74"/>
      <c r="C1092" s="74"/>
      <c r="D1092" s="74"/>
      <c r="E1092" s="74"/>
      <c r="F1092" s="74"/>
      <c r="G1092" s="75"/>
      <c r="H1092" s="75"/>
      <c r="I1092" s="76"/>
      <c r="J1092" s="77"/>
      <c r="K1092" s="76"/>
      <c r="L1092" s="76"/>
      <c r="M1092" s="74"/>
      <c r="N1092" s="74"/>
      <c r="O1092" s="78"/>
      <c r="P1092" s="78"/>
      <c r="Q1092" s="78"/>
      <c r="R1092" s="78"/>
      <c r="S1092" s="79"/>
      <c r="T1092" s="79"/>
      <c r="U1092" s="79"/>
      <c r="V1092" s="79"/>
      <c r="W1092" s="79"/>
      <c r="X1092" s="79"/>
      <c r="Y1092" s="79"/>
      <c r="Z1092" s="79"/>
      <c r="AA1092" s="79"/>
    </row>
    <row r="1093" spans="1:27" x14ac:dyDescent="0.2">
      <c r="A1093" s="73"/>
      <c r="B1093" s="74"/>
      <c r="C1093" s="74"/>
      <c r="D1093" s="74"/>
      <c r="E1093" s="74"/>
      <c r="F1093" s="74"/>
      <c r="G1093" s="75"/>
      <c r="H1093" s="75"/>
      <c r="I1093" s="76"/>
      <c r="J1093" s="77"/>
      <c r="K1093" s="76"/>
      <c r="L1093" s="76"/>
      <c r="M1093" s="74"/>
      <c r="N1093" s="74"/>
      <c r="O1093" s="78"/>
      <c r="P1093" s="78"/>
      <c r="Q1093" s="78"/>
      <c r="R1093" s="78"/>
      <c r="S1093" s="79"/>
      <c r="T1093" s="79"/>
      <c r="U1093" s="79"/>
      <c r="V1093" s="79"/>
      <c r="W1093" s="79"/>
      <c r="X1093" s="79"/>
      <c r="Y1093" s="79"/>
      <c r="Z1093" s="79"/>
      <c r="AA1093" s="79"/>
    </row>
    <row r="1094" spans="1:27" x14ac:dyDescent="0.2">
      <c r="A1094" s="73"/>
      <c r="B1094" s="74"/>
      <c r="C1094" s="74"/>
      <c r="D1094" s="74"/>
      <c r="E1094" s="74"/>
      <c r="F1094" s="74"/>
      <c r="G1094" s="75"/>
      <c r="H1094" s="75"/>
      <c r="I1094" s="76"/>
      <c r="J1094" s="77"/>
      <c r="K1094" s="76"/>
      <c r="L1094" s="76"/>
      <c r="M1094" s="74"/>
      <c r="N1094" s="74"/>
      <c r="O1094" s="78"/>
      <c r="P1094" s="78"/>
      <c r="Q1094" s="78"/>
      <c r="R1094" s="78"/>
      <c r="S1094" s="79"/>
      <c r="T1094" s="79"/>
      <c r="U1094" s="79"/>
      <c r="V1094" s="79"/>
      <c r="W1094" s="79"/>
      <c r="X1094" s="79"/>
      <c r="Y1094" s="79"/>
      <c r="Z1094" s="79"/>
      <c r="AA1094" s="79"/>
    </row>
    <row r="1095" spans="1:27" x14ac:dyDescent="0.2">
      <c r="A1095" s="73"/>
      <c r="B1095" s="74"/>
      <c r="C1095" s="74"/>
      <c r="D1095" s="74"/>
      <c r="E1095" s="74"/>
      <c r="F1095" s="74"/>
      <c r="G1095" s="75"/>
      <c r="H1095" s="75"/>
      <c r="I1095" s="76"/>
      <c r="J1095" s="77"/>
      <c r="K1095" s="76"/>
      <c r="L1095" s="76"/>
      <c r="M1095" s="74"/>
      <c r="N1095" s="74"/>
      <c r="O1095" s="78"/>
      <c r="P1095" s="78"/>
      <c r="Q1095" s="78"/>
      <c r="R1095" s="78"/>
      <c r="S1095" s="79"/>
      <c r="T1095" s="79"/>
      <c r="U1095" s="79"/>
      <c r="V1095" s="79"/>
      <c r="W1095" s="79"/>
      <c r="X1095" s="79"/>
      <c r="Y1095" s="79"/>
      <c r="Z1095" s="79"/>
      <c r="AA1095" s="79"/>
    </row>
    <row r="1096" spans="1:27" x14ac:dyDescent="0.2">
      <c r="A1096" s="73"/>
      <c r="B1096" s="74"/>
      <c r="C1096" s="74"/>
      <c r="D1096" s="74"/>
      <c r="E1096" s="74"/>
      <c r="F1096" s="74"/>
      <c r="G1096" s="75"/>
      <c r="H1096" s="75"/>
      <c r="I1096" s="76"/>
      <c r="J1096" s="77"/>
      <c r="K1096" s="76"/>
      <c r="L1096" s="76"/>
      <c r="M1096" s="74"/>
      <c r="N1096" s="74"/>
      <c r="O1096" s="78"/>
      <c r="P1096" s="78"/>
      <c r="Q1096" s="78"/>
      <c r="R1096" s="78"/>
      <c r="S1096" s="79"/>
      <c r="T1096" s="79"/>
      <c r="U1096" s="79"/>
      <c r="V1096" s="79"/>
      <c r="W1096" s="79"/>
      <c r="X1096" s="79"/>
      <c r="Y1096" s="79"/>
      <c r="Z1096" s="79"/>
      <c r="AA1096" s="79"/>
    </row>
    <row r="1097" spans="1:27" x14ac:dyDescent="0.2">
      <c r="A1097" s="73"/>
      <c r="B1097" s="74"/>
      <c r="C1097" s="74"/>
      <c r="D1097" s="74"/>
      <c r="E1097" s="74"/>
      <c r="F1097" s="74"/>
      <c r="G1097" s="75"/>
      <c r="H1097" s="75"/>
      <c r="I1097" s="76"/>
      <c r="J1097" s="77"/>
      <c r="K1097" s="76"/>
      <c r="L1097" s="76"/>
      <c r="M1097" s="74"/>
      <c r="N1097" s="74"/>
      <c r="O1097" s="78"/>
      <c r="P1097" s="78"/>
      <c r="Q1097" s="78"/>
      <c r="R1097" s="78"/>
      <c r="S1097" s="79"/>
      <c r="T1097" s="79"/>
      <c r="U1097" s="79"/>
      <c r="V1097" s="79"/>
      <c r="W1097" s="79"/>
      <c r="X1097" s="79"/>
      <c r="Y1097" s="79"/>
      <c r="Z1097" s="79"/>
      <c r="AA1097" s="79"/>
    </row>
    <row r="1098" spans="1:27" x14ac:dyDescent="0.2">
      <c r="A1098" s="73"/>
      <c r="B1098" s="74"/>
      <c r="C1098" s="74"/>
      <c r="D1098" s="74"/>
      <c r="E1098" s="74"/>
      <c r="F1098" s="74"/>
      <c r="G1098" s="75"/>
      <c r="H1098" s="75"/>
      <c r="I1098" s="76"/>
      <c r="J1098" s="77"/>
      <c r="K1098" s="76"/>
      <c r="L1098" s="76"/>
      <c r="M1098" s="74"/>
      <c r="N1098" s="74"/>
      <c r="O1098" s="78"/>
      <c r="P1098" s="78"/>
      <c r="Q1098" s="78"/>
      <c r="R1098" s="78"/>
      <c r="S1098" s="79"/>
      <c r="T1098" s="79"/>
      <c r="U1098" s="79"/>
      <c r="V1098" s="79"/>
      <c r="W1098" s="79"/>
      <c r="X1098" s="79"/>
      <c r="Y1098" s="79"/>
      <c r="Z1098" s="79"/>
      <c r="AA1098" s="79"/>
    </row>
    <row r="1099" spans="1:27" x14ac:dyDescent="0.2">
      <c r="A1099" s="73"/>
      <c r="B1099" s="74"/>
      <c r="C1099" s="74"/>
      <c r="D1099" s="74"/>
      <c r="E1099" s="74"/>
      <c r="F1099" s="74"/>
      <c r="G1099" s="75"/>
      <c r="H1099" s="75"/>
      <c r="I1099" s="76"/>
      <c r="J1099" s="77"/>
      <c r="K1099" s="76"/>
      <c r="L1099" s="76"/>
      <c r="M1099" s="74"/>
      <c r="N1099" s="74"/>
      <c r="O1099" s="78"/>
      <c r="P1099" s="78"/>
      <c r="Q1099" s="78"/>
      <c r="R1099" s="78"/>
      <c r="S1099" s="79"/>
      <c r="T1099" s="79"/>
      <c r="U1099" s="79"/>
      <c r="V1099" s="79"/>
      <c r="W1099" s="79"/>
      <c r="X1099" s="79"/>
      <c r="Y1099" s="79"/>
      <c r="Z1099" s="79"/>
      <c r="AA1099" s="79"/>
    </row>
    <row r="1100" spans="1:27" x14ac:dyDescent="0.2">
      <c r="A1100" s="73"/>
      <c r="B1100" s="74"/>
      <c r="C1100" s="74"/>
      <c r="D1100" s="74"/>
      <c r="E1100" s="74"/>
      <c r="F1100" s="74"/>
      <c r="G1100" s="75"/>
      <c r="H1100" s="75"/>
      <c r="I1100" s="76"/>
      <c r="J1100" s="77"/>
      <c r="K1100" s="76"/>
      <c r="L1100" s="76"/>
      <c r="M1100" s="74"/>
      <c r="N1100" s="74"/>
      <c r="O1100" s="78"/>
      <c r="P1100" s="78"/>
      <c r="Q1100" s="78"/>
      <c r="R1100" s="78"/>
      <c r="S1100" s="79"/>
      <c r="T1100" s="79"/>
      <c r="U1100" s="79"/>
      <c r="V1100" s="79"/>
      <c r="W1100" s="79"/>
      <c r="X1100" s="79"/>
      <c r="Y1100" s="79"/>
      <c r="Z1100" s="79"/>
      <c r="AA1100" s="79"/>
    </row>
    <row r="1101" spans="1:27" x14ac:dyDescent="0.2">
      <c r="A1101" s="73"/>
      <c r="B1101" s="74"/>
      <c r="C1101" s="74"/>
      <c r="D1101" s="74"/>
      <c r="E1101" s="74"/>
      <c r="F1101" s="74"/>
      <c r="G1101" s="75"/>
      <c r="H1101" s="75"/>
      <c r="I1101" s="76"/>
      <c r="J1101" s="77"/>
      <c r="K1101" s="76"/>
      <c r="L1101" s="76"/>
      <c r="M1101" s="74"/>
      <c r="N1101" s="74"/>
      <c r="O1101" s="78"/>
      <c r="P1101" s="78"/>
      <c r="Q1101" s="78"/>
      <c r="R1101" s="78"/>
      <c r="S1101" s="79"/>
      <c r="T1101" s="79"/>
      <c r="U1101" s="79"/>
      <c r="V1101" s="79"/>
      <c r="W1101" s="79"/>
      <c r="X1101" s="79"/>
      <c r="Y1101" s="79"/>
      <c r="Z1101" s="79"/>
      <c r="AA1101" s="79"/>
    </row>
    <row r="1102" spans="1:27" x14ac:dyDescent="0.2">
      <c r="A1102" s="73"/>
      <c r="B1102" s="74"/>
      <c r="C1102" s="74"/>
      <c r="D1102" s="74"/>
      <c r="E1102" s="74"/>
      <c r="F1102" s="74"/>
      <c r="G1102" s="75"/>
      <c r="H1102" s="75"/>
      <c r="I1102" s="76"/>
      <c r="J1102" s="77"/>
      <c r="K1102" s="76"/>
      <c r="L1102" s="76"/>
      <c r="M1102" s="74"/>
      <c r="N1102" s="74"/>
      <c r="O1102" s="78"/>
      <c r="P1102" s="78"/>
      <c r="Q1102" s="78"/>
      <c r="R1102" s="78"/>
      <c r="S1102" s="79"/>
      <c r="T1102" s="79"/>
      <c r="U1102" s="79"/>
      <c r="V1102" s="79"/>
      <c r="W1102" s="79"/>
      <c r="X1102" s="79"/>
      <c r="Y1102" s="79"/>
      <c r="Z1102" s="79"/>
      <c r="AA1102" s="79"/>
    </row>
    <row r="1103" spans="1:27" x14ac:dyDescent="0.2">
      <c r="A1103" s="73"/>
      <c r="B1103" s="74"/>
      <c r="C1103" s="74"/>
      <c r="D1103" s="74"/>
      <c r="E1103" s="74"/>
      <c r="F1103" s="74"/>
      <c r="G1103" s="75"/>
      <c r="H1103" s="75"/>
      <c r="I1103" s="76"/>
      <c r="J1103" s="77"/>
      <c r="K1103" s="76"/>
      <c r="L1103" s="76"/>
      <c r="M1103" s="74"/>
      <c r="N1103" s="74"/>
      <c r="O1103" s="78"/>
      <c r="P1103" s="78"/>
      <c r="Q1103" s="78"/>
      <c r="R1103" s="78"/>
      <c r="S1103" s="79"/>
      <c r="T1103" s="79"/>
      <c r="U1103" s="79"/>
      <c r="V1103" s="79"/>
      <c r="W1103" s="79"/>
      <c r="X1103" s="79"/>
      <c r="Y1103" s="79"/>
      <c r="Z1103" s="79"/>
      <c r="AA1103" s="79"/>
    </row>
    <row r="1104" spans="1:27" x14ac:dyDescent="0.2">
      <c r="A1104" s="73"/>
      <c r="B1104" s="74"/>
      <c r="C1104" s="74"/>
      <c r="D1104" s="74"/>
      <c r="E1104" s="74"/>
      <c r="F1104" s="74"/>
      <c r="G1104" s="75"/>
      <c r="H1104" s="75"/>
      <c r="I1104" s="76"/>
      <c r="J1104" s="77"/>
      <c r="K1104" s="76"/>
      <c r="L1104" s="76"/>
      <c r="M1104" s="74"/>
      <c r="N1104" s="74"/>
      <c r="O1104" s="78"/>
      <c r="P1104" s="78"/>
      <c r="Q1104" s="78"/>
      <c r="R1104" s="78"/>
      <c r="S1104" s="79"/>
      <c r="T1104" s="79"/>
      <c r="U1104" s="79"/>
      <c r="V1104" s="79"/>
      <c r="W1104" s="79"/>
      <c r="X1104" s="79"/>
      <c r="Y1104" s="79"/>
      <c r="Z1104" s="79"/>
      <c r="AA1104" s="79"/>
    </row>
    <row r="1105" spans="1:27" x14ac:dyDescent="0.2">
      <c r="A1105" s="73"/>
      <c r="B1105" s="74"/>
      <c r="C1105" s="74"/>
      <c r="D1105" s="74"/>
      <c r="E1105" s="74"/>
      <c r="F1105" s="74"/>
      <c r="G1105" s="75"/>
      <c r="H1105" s="75"/>
      <c r="I1105" s="76"/>
      <c r="J1105" s="77"/>
      <c r="K1105" s="76"/>
      <c r="L1105" s="76"/>
      <c r="M1105" s="74"/>
      <c r="N1105" s="74"/>
      <c r="O1105" s="78"/>
      <c r="P1105" s="78"/>
      <c r="Q1105" s="78"/>
      <c r="R1105" s="78"/>
      <c r="S1105" s="79"/>
      <c r="T1105" s="79"/>
      <c r="U1105" s="79"/>
      <c r="V1105" s="79"/>
      <c r="W1105" s="79"/>
      <c r="X1105" s="79"/>
      <c r="Y1105" s="79"/>
      <c r="Z1105" s="79"/>
      <c r="AA1105" s="79"/>
    </row>
    <row r="1106" spans="1:27" x14ac:dyDescent="0.2">
      <c r="A1106" s="73"/>
      <c r="B1106" s="74"/>
      <c r="C1106" s="74"/>
      <c r="D1106" s="74"/>
      <c r="E1106" s="74"/>
      <c r="F1106" s="74"/>
      <c r="G1106" s="75"/>
      <c r="H1106" s="75"/>
      <c r="I1106" s="76"/>
      <c r="J1106" s="77"/>
      <c r="K1106" s="76"/>
      <c r="L1106" s="76"/>
      <c r="M1106" s="74"/>
      <c r="N1106" s="74"/>
      <c r="O1106" s="78"/>
      <c r="P1106" s="78"/>
      <c r="Q1106" s="78"/>
      <c r="R1106" s="78"/>
      <c r="S1106" s="79"/>
      <c r="T1106" s="79"/>
      <c r="U1106" s="79"/>
      <c r="V1106" s="79"/>
      <c r="W1106" s="79"/>
      <c r="X1106" s="79"/>
      <c r="Y1106" s="79"/>
      <c r="Z1106" s="79"/>
      <c r="AA1106" s="79"/>
    </row>
    <row r="1107" spans="1:27" x14ac:dyDescent="0.2">
      <c r="A1107" s="73"/>
      <c r="B1107" s="74"/>
      <c r="C1107" s="74"/>
      <c r="D1107" s="74"/>
      <c r="E1107" s="74"/>
      <c r="F1107" s="74"/>
      <c r="G1107" s="75"/>
      <c r="H1107" s="75"/>
      <c r="I1107" s="76"/>
      <c r="J1107" s="77"/>
      <c r="K1107" s="76"/>
      <c r="L1107" s="76"/>
      <c r="M1107" s="74"/>
      <c r="N1107" s="74"/>
      <c r="O1107" s="78"/>
      <c r="P1107" s="78"/>
      <c r="Q1107" s="78"/>
      <c r="R1107" s="78"/>
      <c r="S1107" s="79"/>
      <c r="T1107" s="79"/>
      <c r="U1107" s="79"/>
      <c r="V1107" s="79"/>
      <c r="W1107" s="79"/>
      <c r="X1107" s="79"/>
      <c r="Y1107" s="79"/>
      <c r="Z1107" s="79"/>
      <c r="AA1107" s="79"/>
    </row>
    <row r="1108" spans="1:27" x14ac:dyDescent="0.2">
      <c r="A1108" s="73"/>
      <c r="B1108" s="74"/>
      <c r="C1108" s="74"/>
      <c r="D1108" s="74"/>
      <c r="E1108" s="74"/>
      <c r="F1108" s="74"/>
      <c r="G1108" s="75"/>
      <c r="H1108" s="75"/>
      <c r="I1108" s="76"/>
      <c r="J1108" s="77"/>
      <c r="K1108" s="76"/>
      <c r="L1108" s="76"/>
      <c r="M1108" s="74"/>
      <c r="N1108" s="74"/>
      <c r="O1108" s="78"/>
      <c r="P1108" s="78"/>
      <c r="Q1108" s="78"/>
      <c r="R1108" s="78"/>
      <c r="S1108" s="79"/>
      <c r="T1108" s="79"/>
      <c r="U1108" s="79"/>
      <c r="V1108" s="79"/>
      <c r="W1108" s="79"/>
      <c r="X1108" s="79"/>
      <c r="Y1108" s="79"/>
      <c r="Z1108" s="79"/>
      <c r="AA1108" s="79"/>
    </row>
    <row r="1109" spans="1:27" x14ac:dyDescent="0.2">
      <c r="A1109" s="73"/>
      <c r="B1109" s="74"/>
      <c r="C1109" s="74"/>
      <c r="D1109" s="74"/>
      <c r="E1109" s="74"/>
      <c r="F1109" s="74"/>
      <c r="G1109" s="75"/>
      <c r="H1109" s="75"/>
      <c r="I1109" s="76"/>
      <c r="J1109" s="77"/>
      <c r="K1109" s="76"/>
      <c r="L1109" s="76"/>
      <c r="M1109" s="74"/>
      <c r="N1109" s="74"/>
      <c r="O1109" s="78"/>
      <c r="P1109" s="78"/>
      <c r="Q1109" s="78"/>
      <c r="R1109" s="78"/>
      <c r="S1109" s="79"/>
      <c r="T1109" s="79"/>
      <c r="U1109" s="79"/>
      <c r="V1109" s="79"/>
      <c r="W1109" s="79"/>
      <c r="X1109" s="79"/>
      <c r="Y1109" s="79"/>
      <c r="Z1109" s="79"/>
      <c r="AA1109" s="79"/>
    </row>
    <row r="1110" spans="1:27" x14ac:dyDescent="0.2">
      <c r="A1110" s="73"/>
      <c r="B1110" s="74"/>
      <c r="C1110" s="74"/>
      <c r="D1110" s="74"/>
      <c r="E1110" s="74"/>
      <c r="F1110" s="74"/>
      <c r="G1110" s="75"/>
      <c r="H1110" s="75"/>
      <c r="I1110" s="76"/>
      <c r="J1110" s="77"/>
      <c r="K1110" s="76"/>
      <c r="L1110" s="76"/>
      <c r="M1110" s="74"/>
      <c r="N1110" s="74"/>
      <c r="O1110" s="78"/>
      <c r="P1110" s="78"/>
      <c r="Q1110" s="78"/>
      <c r="R1110" s="78"/>
      <c r="S1110" s="79"/>
      <c r="T1110" s="79"/>
      <c r="U1110" s="79"/>
      <c r="V1110" s="79"/>
      <c r="W1110" s="79"/>
      <c r="X1110" s="79"/>
      <c r="Y1110" s="79"/>
      <c r="Z1110" s="79"/>
      <c r="AA1110" s="79"/>
    </row>
    <row r="1111" spans="1:27" x14ac:dyDescent="0.2">
      <c r="A1111" s="73"/>
      <c r="B1111" s="74"/>
      <c r="C1111" s="74"/>
      <c r="D1111" s="74"/>
      <c r="E1111" s="74"/>
      <c r="F1111" s="74"/>
      <c r="G1111" s="75"/>
      <c r="H1111" s="75"/>
      <c r="I1111" s="76"/>
      <c r="J1111" s="77"/>
      <c r="K1111" s="76"/>
      <c r="L1111" s="76"/>
      <c r="M1111" s="74"/>
      <c r="N1111" s="74"/>
      <c r="O1111" s="78"/>
      <c r="P1111" s="78"/>
      <c r="Q1111" s="78"/>
      <c r="R1111" s="78"/>
      <c r="S1111" s="79"/>
      <c r="T1111" s="79"/>
      <c r="U1111" s="79"/>
      <c r="V1111" s="79"/>
      <c r="W1111" s="79"/>
      <c r="X1111" s="79"/>
      <c r="Y1111" s="79"/>
      <c r="Z1111" s="79"/>
      <c r="AA1111" s="79"/>
    </row>
    <row r="1112" spans="1:27" x14ac:dyDescent="0.2">
      <c r="A1112" s="73"/>
      <c r="B1112" s="74"/>
      <c r="C1112" s="74"/>
      <c r="D1112" s="74"/>
      <c r="E1112" s="74"/>
      <c r="F1112" s="74"/>
      <c r="G1112" s="75"/>
      <c r="H1112" s="75"/>
      <c r="I1112" s="76"/>
      <c r="J1112" s="77"/>
      <c r="K1112" s="76"/>
      <c r="L1112" s="76"/>
      <c r="M1112" s="74"/>
      <c r="N1112" s="74"/>
      <c r="O1112" s="78"/>
      <c r="P1112" s="78"/>
      <c r="Q1112" s="78"/>
      <c r="R1112" s="78"/>
      <c r="S1112" s="79"/>
      <c r="T1112" s="79"/>
      <c r="U1112" s="79"/>
      <c r="V1112" s="79"/>
      <c r="W1112" s="79"/>
      <c r="X1112" s="79"/>
      <c r="Y1112" s="79"/>
      <c r="Z1112" s="79"/>
      <c r="AA1112" s="79"/>
    </row>
    <row r="1113" spans="1:27" x14ac:dyDescent="0.2">
      <c r="A1113" s="73"/>
      <c r="B1113" s="74"/>
      <c r="C1113" s="74"/>
      <c r="D1113" s="74"/>
      <c r="E1113" s="74"/>
      <c r="F1113" s="74"/>
      <c r="G1113" s="75"/>
      <c r="H1113" s="75"/>
      <c r="I1113" s="76"/>
      <c r="J1113" s="77"/>
      <c r="K1113" s="76"/>
      <c r="L1113" s="76"/>
      <c r="M1113" s="74"/>
      <c r="N1113" s="74"/>
      <c r="O1113" s="78"/>
      <c r="P1113" s="78"/>
      <c r="Q1113" s="78"/>
      <c r="R1113" s="78"/>
      <c r="S1113" s="79"/>
      <c r="T1113" s="79"/>
      <c r="U1113" s="79"/>
      <c r="V1113" s="79"/>
      <c r="W1113" s="79"/>
      <c r="X1113" s="79"/>
      <c r="Y1113" s="79"/>
      <c r="Z1113" s="79"/>
      <c r="AA1113" s="79"/>
    </row>
    <row r="1114" spans="1:27" x14ac:dyDescent="0.2">
      <c r="A1114" s="73"/>
      <c r="B1114" s="74"/>
      <c r="C1114" s="74"/>
      <c r="D1114" s="74"/>
      <c r="E1114" s="74"/>
      <c r="F1114" s="74"/>
      <c r="G1114" s="75"/>
      <c r="H1114" s="75"/>
      <c r="I1114" s="76"/>
      <c r="J1114" s="77"/>
      <c r="K1114" s="76"/>
      <c r="L1114" s="76"/>
      <c r="M1114" s="74"/>
      <c r="N1114" s="74"/>
      <c r="O1114" s="78"/>
      <c r="P1114" s="78"/>
      <c r="Q1114" s="78"/>
      <c r="R1114" s="78"/>
      <c r="S1114" s="79"/>
      <c r="T1114" s="79"/>
      <c r="U1114" s="79"/>
      <c r="V1114" s="79"/>
      <c r="W1114" s="79"/>
      <c r="X1114" s="79"/>
      <c r="Y1114" s="79"/>
      <c r="Z1114" s="79"/>
      <c r="AA1114" s="79"/>
    </row>
    <row r="1115" spans="1:27" x14ac:dyDescent="0.2">
      <c r="A1115" s="73"/>
      <c r="B1115" s="74"/>
      <c r="C1115" s="74"/>
      <c r="D1115" s="74"/>
      <c r="E1115" s="74"/>
      <c r="F1115" s="74"/>
      <c r="G1115" s="75"/>
      <c r="H1115" s="75"/>
      <c r="I1115" s="76"/>
      <c r="J1115" s="77"/>
      <c r="K1115" s="76"/>
      <c r="L1115" s="76"/>
      <c r="M1115" s="74"/>
      <c r="N1115" s="74"/>
      <c r="O1115" s="78"/>
      <c r="P1115" s="78"/>
      <c r="Q1115" s="78"/>
      <c r="R1115" s="78"/>
      <c r="S1115" s="79"/>
      <c r="T1115" s="79"/>
      <c r="U1115" s="79"/>
      <c r="V1115" s="79"/>
      <c r="W1115" s="79"/>
      <c r="X1115" s="79"/>
      <c r="Y1115" s="79"/>
      <c r="Z1115" s="79"/>
      <c r="AA1115" s="79"/>
    </row>
    <row r="1116" spans="1:27" x14ac:dyDescent="0.2">
      <c r="A1116" s="73"/>
      <c r="B1116" s="74"/>
      <c r="C1116" s="74"/>
      <c r="D1116" s="74"/>
      <c r="E1116" s="74"/>
      <c r="F1116" s="74"/>
      <c r="G1116" s="75"/>
      <c r="H1116" s="75"/>
      <c r="I1116" s="76"/>
      <c r="J1116" s="77"/>
      <c r="K1116" s="76"/>
      <c r="L1116" s="76"/>
      <c r="M1116" s="74"/>
      <c r="N1116" s="74"/>
      <c r="O1116" s="78"/>
      <c r="P1116" s="78"/>
      <c r="Q1116" s="78"/>
      <c r="R1116" s="78"/>
      <c r="S1116" s="79"/>
      <c r="T1116" s="79"/>
      <c r="U1116" s="79"/>
      <c r="V1116" s="79"/>
      <c r="W1116" s="79"/>
      <c r="X1116" s="79"/>
      <c r="Y1116" s="79"/>
      <c r="Z1116" s="79"/>
      <c r="AA1116" s="79"/>
    </row>
    <row r="1117" spans="1:27" x14ac:dyDescent="0.2">
      <c r="A1117" s="73"/>
      <c r="B1117" s="74"/>
      <c r="C1117" s="74"/>
      <c r="D1117" s="74"/>
      <c r="E1117" s="74"/>
      <c r="F1117" s="74"/>
      <c r="G1117" s="75"/>
      <c r="H1117" s="75"/>
      <c r="I1117" s="76"/>
      <c r="J1117" s="77"/>
      <c r="K1117" s="76"/>
      <c r="L1117" s="76"/>
      <c r="M1117" s="74"/>
      <c r="N1117" s="74"/>
      <c r="O1117" s="78"/>
      <c r="P1117" s="78"/>
      <c r="Q1117" s="78"/>
      <c r="R1117" s="78"/>
      <c r="S1117" s="79"/>
      <c r="T1117" s="79"/>
      <c r="U1117" s="79"/>
      <c r="V1117" s="79"/>
      <c r="W1117" s="79"/>
      <c r="X1117" s="79"/>
      <c r="Y1117" s="79"/>
      <c r="Z1117" s="79"/>
      <c r="AA1117" s="79"/>
    </row>
    <row r="1118" spans="1:27" x14ac:dyDescent="0.2">
      <c r="A1118" s="73"/>
      <c r="B1118" s="74"/>
      <c r="C1118" s="74"/>
      <c r="D1118" s="74"/>
      <c r="E1118" s="74"/>
      <c r="F1118" s="74"/>
      <c r="G1118" s="75"/>
      <c r="H1118" s="75"/>
      <c r="I1118" s="76"/>
      <c r="J1118" s="77"/>
      <c r="K1118" s="76"/>
      <c r="L1118" s="76"/>
      <c r="M1118" s="74"/>
      <c r="N1118" s="74"/>
      <c r="O1118" s="78"/>
      <c r="P1118" s="78"/>
      <c r="Q1118" s="78"/>
      <c r="R1118" s="78"/>
      <c r="S1118" s="79"/>
      <c r="T1118" s="79"/>
      <c r="U1118" s="79"/>
      <c r="V1118" s="79"/>
      <c r="W1118" s="79"/>
      <c r="X1118" s="79"/>
      <c r="Y1118" s="79"/>
      <c r="Z1118" s="79"/>
      <c r="AA1118" s="79"/>
    </row>
    <row r="1119" spans="1:27" x14ac:dyDescent="0.2">
      <c r="A1119" s="73"/>
      <c r="B1119" s="74"/>
      <c r="C1119" s="74"/>
      <c r="D1119" s="74"/>
      <c r="E1119" s="74"/>
      <c r="F1119" s="74"/>
      <c r="G1119" s="75"/>
      <c r="H1119" s="75"/>
      <c r="I1119" s="76"/>
      <c r="J1119" s="77"/>
      <c r="K1119" s="76"/>
      <c r="L1119" s="76"/>
      <c r="M1119" s="74"/>
      <c r="N1119" s="74"/>
      <c r="O1119" s="78"/>
      <c r="P1119" s="78"/>
      <c r="Q1119" s="78"/>
      <c r="R1119" s="78"/>
      <c r="S1119" s="79"/>
      <c r="T1119" s="79"/>
      <c r="U1119" s="79"/>
      <c r="V1119" s="79"/>
      <c r="W1119" s="79"/>
      <c r="X1119" s="79"/>
      <c r="Y1119" s="79"/>
      <c r="Z1119" s="79"/>
      <c r="AA1119" s="79"/>
    </row>
    <row r="1120" spans="1:27" x14ac:dyDescent="0.2">
      <c r="A1120" s="73"/>
      <c r="B1120" s="74"/>
      <c r="C1120" s="74"/>
      <c r="D1120" s="74"/>
      <c r="E1120" s="74"/>
      <c r="F1120" s="74"/>
      <c r="G1120" s="75"/>
      <c r="H1120" s="75"/>
      <c r="I1120" s="76"/>
      <c r="J1120" s="77"/>
      <c r="K1120" s="76"/>
      <c r="L1120" s="76"/>
      <c r="M1120" s="74"/>
      <c r="N1120" s="74"/>
      <c r="O1120" s="78"/>
      <c r="P1120" s="78"/>
      <c r="Q1120" s="78"/>
      <c r="R1120" s="78"/>
      <c r="S1120" s="79"/>
      <c r="T1120" s="79"/>
      <c r="U1120" s="79"/>
      <c r="V1120" s="79"/>
      <c r="W1120" s="79"/>
      <c r="X1120" s="79"/>
      <c r="Y1120" s="79"/>
      <c r="Z1120" s="79"/>
      <c r="AA1120" s="79"/>
    </row>
    <row r="1121" spans="1:27" x14ac:dyDescent="0.2">
      <c r="A1121" s="73"/>
      <c r="B1121" s="74"/>
      <c r="C1121" s="74"/>
      <c r="D1121" s="74"/>
      <c r="E1121" s="74"/>
      <c r="F1121" s="74"/>
      <c r="G1121" s="75"/>
      <c r="H1121" s="75"/>
      <c r="I1121" s="76"/>
      <c r="J1121" s="77"/>
      <c r="K1121" s="76"/>
      <c r="L1121" s="76"/>
      <c r="M1121" s="74"/>
      <c r="N1121" s="74"/>
      <c r="O1121" s="78"/>
      <c r="P1121" s="78"/>
      <c r="Q1121" s="78"/>
      <c r="R1121" s="78"/>
      <c r="S1121" s="79"/>
      <c r="T1121" s="79"/>
      <c r="U1121" s="79"/>
      <c r="V1121" s="79"/>
      <c r="W1121" s="79"/>
      <c r="X1121" s="79"/>
      <c r="Y1121" s="79"/>
      <c r="Z1121" s="79"/>
      <c r="AA1121" s="79"/>
    </row>
    <row r="1122" spans="1:27" x14ac:dyDescent="0.2">
      <c r="A1122" s="73"/>
      <c r="B1122" s="74"/>
      <c r="C1122" s="74"/>
      <c r="D1122" s="74"/>
      <c r="E1122" s="74"/>
      <c r="F1122" s="74"/>
      <c r="G1122" s="75"/>
      <c r="H1122" s="75"/>
      <c r="I1122" s="76"/>
      <c r="J1122" s="77"/>
      <c r="K1122" s="76"/>
      <c r="L1122" s="76"/>
      <c r="M1122" s="74"/>
      <c r="N1122" s="74"/>
      <c r="O1122" s="78"/>
      <c r="P1122" s="78"/>
      <c r="Q1122" s="78"/>
      <c r="R1122" s="78"/>
      <c r="S1122" s="79"/>
      <c r="T1122" s="79"/>
      <c r="U1122" s="79"/>
      <c r="V1122" s="79"/>
      <c r="W1122" s="79"/>
      <c r="X1122" s="79"/>
      <c r="Y1122" s="79"/>
      <c r="Z1122" s="79"/>
      <c r="AA1122" s="79"/>
    </row>
    <row r="1123" spans="1:27" x14ac:dyDescent="0.2">
      <c r="A1123" s="73"/>
      <c r="B1123" s="74"/>
      <c r="C1123" s="74"/>
      <c r="D1123" s="74"/>
      <c r="E1123" s="74"/>
      <c r="F1123" s="74"/>
      <c r="G1123" s="75"/>
      <c r="H1123" s="75"/>
      <c r="I1123" s="76"/>
      <c r="J1123" s="77"/>
      <c r="K1123" s="76"/>
      <c r="L1123" s="76"/>
      <c r="M1123" s="74"/>
      <c r="N1123" s="74"/>
      <c r="O1123" s="78"/>
      <c r="P1123" s="78"/>
      <c r="Q1123" s="78"/>
      <c r="R1123" s="78"/>
      <c r="S1123" s="79"/>
      <c r="T1123" s="79"/>
      <c r="U1123" s="79"/>
      <c r="V1123" s="79"/>
      <c r="W1123" s="79"/>
      <c r="X1123" s="79"/>
      <c r="Y1123" s="79"/>
      <c r="Z1123" s="79"/>
      <c r="AA1123" s="79"/>
    </row>
    <row r="1124" spans="1:27" x14ac:dyDescent="0.2">
      <c r="A1124" s="73"/>
      <c r="B1124" s="74"/>
      <c r="C1124" s="74"/>
      <c r="D1124" s="74"/>
      <c r="E1124" s="74"/>
      <c r="F1124" s="74"/>
      <c r="G1124" s="75"/>
      <c r="H1124" s="75"/>
      <c r="I1124" s="76"/>
      <c r="J1124" s="77"/>
      <c r="K1124" s="76"/>
      <c r="L1124" s="76"/>
      <c r="M1124" s="74"/>
      <c r="N1124" s="74"/>
      <c r="O1124" s="78"/>
      <c r="P1124" s="78"/>
      <c r="Q1124" s="78"/>
      <c r="R1124" s="78"/>
      <c r="S1124" s="79"/>
      <c r="T1124" s="79"/>
      <c r="U1124" s="79"/>
      <c r="V1124" s="79"/>
      <c r="W1124" s="79"/>
      <c r="X1124" s="79"/>
      <c r="Y1124" s="79"/>
      <c r="Z1124" s="79"/>
      <c r="AA1124" s="79"/>
    </row>
    <row r="1125" spans="1:27" x14ac:dyDescent="0.2">
      <c r="A1125" s="73"/>
      <c r="B1125" s="74"/>
      <c r="C1125" s="74"/>
      <c r="D1125" s="74"/>
      <c r="E1125" s="74"/>
      <c r="F1125" s="74"/>
      <c r="G1125" s="75"/>
      <c r="H1125" s="75"/>
      <c r="I1125" s="76"/>
      <c r="J1125" s="77"/>
      <c r="K1125" s="76"/>
      <c r="L1125" s="76"/>
      <c r="M1125" s="74"/>
      <c r="N1125" s="74"/>
      <c r="O1125" s="78"/>
      <c r="P1125" s="78"/>
      <c r="Q1125" s="78"/>
      <c r="R1125" s="78"/>
      <c r="S1125" s="79"/>
      <c r="T1125" s="79"/>
      <c r="U1125" s="79"/>
      <c r="V1125" s="79"/>
      <c r="W1125" s="79"/>
      <c r="X1125" s="79"/>
      <c r="Y1125" s="79"/>
      <c r="Z1125" s="79"/>
      <c r="AA1125" s="79"/>
    </row>
    <row r="1126" spans="1:27" x14ac:dyDescent="0.2">
      <c r="A1126" s="73"/>
      <c r="B1126" s="74"/>
      <c r="C1126" s="74"/>
      <c r="D1126" s="74"/>
      <c r="E1126" s="74"/>
      <c r="F1126" s="74"/>
      <c r="G1126" s="75"/>
      <c r="H1126" s="75"/>
      <c r="I1126" s="76"/>
      <c r="J1126" s="77"/>
      <c r="K1126" s="76"/>
      <c r="L1126" s="76"/>
      <c r="M1126" s="74"/>
      <c r="N1126" s="74"/>
      <c r="O1126" s="78"/>
      <c r="P1126" s="78"/>
      <c r="Q1126" s="78"/>
      <c r="R1126" s="78"/>
      <c r="S1126" s="79"/>
      <c r="T1126" s="79"/>
      <c r="U1126" s="79"/>
      <c r="V1126" s="79"/>
      <c r="W1126" s="79"/>
      <c r="X1126" s="79"/>
      <c r="Y1126" s="79"/>
      <c r="Z1126" s="79"/>
      <c r="AA1126" s="79"/>
    </row>
    <row r="1127" spans="1:27" x14ac:dyDescent="0.2">
      <c r="A1127" s="73"/>
      <c r="B1127" s="74"/>
      <c r="C1127" s="74"/>
      <c r="D1127" s="74"/>
      <c r="E1127" s="74"/>
      <c r="F1127" s="74"/>
      <c r="G1127" s="75"/>
      <c r="H1127" s="75"/>
      <c r="I1127" s="76"/>
      <c r="J1127" s="77"/>
      <c r="K1127" s="76"/>
      <c r="L1127" s="76"/>
      <c r="M1127" s="74"/>
      <c r="N1127" s="74"/>
      <c r="O1127" s="78"/>
      <c r="P1127" s="78"/>
      <c r="Q1127" s="78"/>
      <c r="R1127" s="78"/>
      <c r="S1127" s="79"/>
      <c r="T1127" s="79"/>
      <c r="U1127" s="79"/>
      <c r="V1127" s="79"/>
      <c r="W1127" s="79"/>
      <c r="X1127" s="79"/>
      <c r="Y1127" s="79"/>
      <c r="Z1127" s="79"/>
      <c r="AA1127" s="79"/>
    </row>
    <row r="1128" spans="1:27" x14ac:dyDescent="0.2">
      <c r="A1128" s="73"/>
      <c r="B1128" s="74"/>
      <c r="C1128" s="74"/>
      <c r="D1128" s="74"/>
      <c r="E1128" s="74"/>
      <c r="F1128" s="74"/>
      <c r="G1128" s="75"/>
      <c r="H1128" s="75"/>
      <c r="I1128" s="76"/>
      <c r="J1128" s="77"/>
      <c r="K1128" s="76"/>
      <c r="L1128" s="76"/>
      <c r="M1128" s="74"/>
      <c r="N1128" s="74"/>
      <c r="O1128" s="78"/>
      <c r="P1128" s="78"/>
      <c r="Q1128" s="78"/>
      <c r="R1128" s="78"/>
      <c r="S1128" s="79"/>
      <c r="T1128" s="79"/>
      <c r="U1128" s="79"/>
      <c r="V1128" s="79"/>
      <c r="W1128" s="79"/>
      <c r="X1128" s="79"/>
      <c r="Y1128" s="79"/>
      <c r="Z1128" s="79"/>
      <c r="AA1128" s="79"/>
    </row>
    <row r="1129" spans="1:27" x14ac:dyDescent="0.2">
      <c r="A1129" s="73"/>
      <c r="B1129" s="74"/>
      <c r="C1129" s="74"/>
      <c r="D1129" s="74"/>
      <c r="E1129" s="74"/>
      <c r="F1129" s="74"/>
      <c r="G1129" s="75"/>
      <c r="H1129" s="75"/>
      <c r="I1129" s="76"/>
      <c r="J1129" s="77"/>
      <c r="K1129" s="76"/>
      <c r="L1129" s="76"/>
      <c r="M1129" s="74"/>
      <c r="N1129" s="74"/>
      <c r="O1129" s="78"/>
      <c r="P1129" s="78"/>
      <c r="Q1129" s="78"/>
      <c r="R1129" s="78"/>
      <c r="S1129" s="79"/>
      <c r="T1129" s="79"/>
      <c r="U1129" s="79"/>
      <c r="V1129" s="79"/>
      <c r="W1129" s="79"/>
      <c r="X1129" s="79"/>
      <c r="Y1129" s="79"/>
      <c r="Z1129" s="79"/>
      <c r="AA1129" s="79"/>
    </row>
    <row r="1130" spans="1:27" x14ac:dyDescent="0.2">
      <c r="A1130" s="73"/>
      <c r="B1130" s="74"/>
      <c r="C1130" s="74"/>
      <c r="D1130" s="74"/>
      <c r="E1130" s="74"/>
      <c r="F1130" s="74"/>
      <c r="G1130" s="75"/>
      <c r="H1130" s="75"/>
      <c r="I1130" s="76"/>
      <c r="J1130" s="77"/>
      <c r="K1130" s="76"/>
      <c r="L1130" s="76"/>
      <c r="M1130" s="74"/>
      <c r="N1130" s="74"/>
      <c r="O1130" s="78"/>
      <c r="P1130" s="78"/>
      <c r="Q1130" s="78"/>
      <c r="R1130" s="78"/>
      <c r="S1130" s="79"/>
      <c r="T1130" s="79"/>
      <c r="U1130" s="79"/>
      <c r="V1130" s="79"/>
      <c r="W1130" s="79"/>
      <c r="X1130" s="79"/>
      <c r="Y1130" s="79"/>
      <c r="Z1130" s="79"/>
      <c r="AA1130" s="79"/>
    </row>
    <row r="1131" spans="1:27" x14ac:dyDescent="0.2">
      <c r="A1131" s="73"/>
      <c r="B1131" s="74"/>
      <c r="C1131" s="74"/>
      <c r="D1131" s="74"/>
      <c r="E1131" s="74"/>
      <c r="F1131" s="74"/>
      <c r="G1131" s="75"/>
      <c r="H1131" s="75"/>
      <c r="I1131" s="76"/>
      <c r="J1131" s="77"/>
      <c r="K1131" s="76"/>
      <c r="L1131" s="76"/>
      <c r="M1131" s="74"/>
      <c r="N1131" s="74"/>
      <c r="O1131" s="78"/>
      <c r="P1131" s="78"/>
      <c r="Q1131" s="78"/>
      <c r="R1131" s="78"/>
      <c r="S1131" s="79"/>
      <c r="T1131" s="79"/>
      <c r="U1131" s="79"/>
      <c r="V1131" s="79"/>
      <c r="W1131" s="79"/>
      <c r="X1131" s="79"/>
      <c r="Y1131" s="79"/>
      <c r="Z1131" s="79"/>
      <c r="AA1131" s="79"/>
    </row>
    <row r="1132" spans="1:27" x14ac:dyDescent="0.2">
      <c r="A1132" s="73"/>
      <c r="B1132" s="74"/>
      <c r="C1132" s="74"/>
      <c r="D1132" s="74"/>
      <c r="E1132" s="74"/>
      <c r="F1132" s="74"/>
      <c r="G1132" s="75"/>
      <c r="H1132" s="75"/>
      <c r="I1132" s="76"/>
      <c r="J1132" s="77"/>
      <c r="K1132" s="76"/>
      <c r="L1132" s="76"/>
      <c r="M1132" s="74"/>
      <c r="N1132" s="74"/>
      <c r="O1132" s="78"/>
      <c r="P1132" s="78"/>
      <c r="Q1132" s="78"/>
      <c r="R1132" s="78"/>
      <c r="S1132" s="79"/>
      <c r="T1132" s="79"/>
      <c r="U1132" s="79"/>
      <c r="V1132" s="79"/>
      <c r="W1132" s="79"/>
      <c r="X1132" s="79"/>
      <c r="Y1132" s="79"/>
      <c r="Z1132" s="79"/>
      <c r="AA1132" s="79"/>
    </row>
    <row r="1133" spans="1:27" x14ac:dyDescent="0.2">
      <c r="A1133" s="73"/>
      <c r="B1133" s="74"/>
      <c r="C1133" s="74"/>
      <c r="D1133" s="74"/>
      <c r="E1133" s="74"/>
      <c r="F1133" s="74"/>
      <c r="G1133" s="75"/>
      <c r="H1133" s="75"/>
      <c r="I1133" s="76"/>
      <c r="J1133" s="77"/>
      <c r="K1133" s="76"/>
      <c r="L1133" s="76"/>
      <c r="M1133" s="74"/>
      <c r="N1133" s="74"/>
      <c r="O1133" s="78"/>
      <c r="P1133" s="78"/>
      <c r="Q1133" s="78"/>
      <c r="R1133" s="78"/>
      <c r="S1133" s="79"/>
      <c r="T1133" s="79"/>
      <c r="U1133" s="79"/>
      <c r="V1133" s="79"/>
      <c r="W1133" s="79"/>
      <c r="X1133" s="79"/>
      <c r="Y1133" s="79"/>
      <c r="Z1133" s="79"/>
      <c r="AA1133" s="79"/>
    </row>
    <row r="1134" spans="1:27" x14ac:dyDescent="0.2">
      <c r="A1134" s="73"/>
      <c r="B1134" s="74"/>
      <c r="C1134" s="74"/>
      <c r="D1134" s="74"/>
      <c r="E1134" s="74"/>
      <c r="F1134" s="74"/>
      <c r="G1134" s="75"/>
      <c r="H1134" s="75"/>
      <c r="I1134" s="76"/>
      <c r="J1134" s="77"/>
      <c r="K1134" s="76"/>
      <c r="L1134" s="76"/>
      <c r="M1134" s="74"/>
      <c r="N1134" s="74"/>
      <c r="O1134" s="78"/>
      <c r="P1134" s="78"/>
      <c r="Q1134" s="78"/>
      <c r="R1134" s="78"/>
      <c r="S1134" s="79"/>
      <c r="T1134" s="79"/>
      <c r="U1134" s="79"/>
      <c r="V1134" s="79"/>
      <c r="W1134" s="79"/>
      <c r="X1134" s="79"/>
      <c r="Y1134" s="79"/>
      <c r="Z1134" s="79"/>
      <c r="AA1134" s="79"/>
    </row>
    <row r="1135" spans="1:27" x14ac:dyDescent="0.2">
      <c r="A1135" s="73"/>
      <c r="B1135" s="74"/>
      <c r="C1135" s="74"/>
      <c r="D1135" s="74"/>
      <c r="E1135" s="74"/>
      <c r="F1135" s="74"/>
      <c r="G1135" s="75"/>
      <c r="H1135" s="75"/>
      <c r="I1135" s="76"/>
      <c r="J1135" s="77"/>
      <c r="K1135" s="76"/>
      <c r="L1135" s="76"/>
      <c r="M1135" s="74"/>
      <c r="N1135" s="74"/>
      <c r="O1135" s="78"/>
      <c r="P1135" s="78"/>
      <c r="Q1135" s="78"/>
      <c r="R1135" s="78"/>
      <c r="S1135" s="79"/>
      <c r="T1135" s="79"/>
      <c r="U1135" s="79"/>
      <c r="V1135" s="79"/>
      <c r="W1135" s="79"/>
      <c r="X1135" s="79"/>
      <c r="Y1135" s="79"/>
      <c r="Z1135" s="79"/>
      <c r="AA1135" s="79"/>
    </row>
    <row r="1136" spans="1:27" x14ac:dyDescent="0.2">
      <c r="A1136" s="73"/>
      <c r="B1136" s="74"/>
      <c r="C1136" s="74"/>
      <c r="D1136" s="74"/>
      <c r="E1136" s="74"/>
      <c r="F1136" s="74"/>
      <c r="G1136" s="75"/>
      <c r="H1136" s="75"/>
      <c r="I1136" s="76"/>
      <c r="J1136" s="77"/>
      <c r="K1136" s="76"/>
      <c r="L1136" s="76"/>
      <c r="M1136" s="74"/>
      <c r="N1136" s="74"/>
      <c r="O1136" s="78"/>
      <c r="P1136" s="78"/>
      <c r="Q1136" s="78"/>
      <c r="R1136" s="78"/>
      <c r="S1136" s="79"/>
      <c r="T1136" s="79"/>
      <c r="U1136" s="79"/>
      <c r="V1136" s="79"/>
      <c r="W1136" s="79"/>
      <c r="X1136" s="79"/>
      <c r="Y1136" s="79"/>
      <c r="Z1136" s="79"/>
      <c r="AA1136" s="79"/>
    </row>
    <row r="1137" spans="1:27" x14ac:dyDescent="0.2">
      <c r="A1137" s="73"/>
      <c r="B1137" s="74"/>
      <c r="C1137" s="74"/>
      <c r="D1137" s="74"/>
      <c r="E1137" s="74"/>
      <c r="F1137" s="74"/>
      <c r="G1137" s="75"/>
      <c r="H1137" s="75"/>
      <c r="I1137" s="76"/>
      <c r="J1137" s="77"/>
      <c r="K1137" s="76"/>
      <c r="L1137" s="76"/>
      <c r="M1137" s="74"/>
      <c r="N1137" s="74"/>
      <c r="O1137" s="78"/>
      <c r="P1137" s="78"/>
      <c r="Q1137" s="78"/>
      <c r="R1137" s="78"/>
      <c r="S1137" s="79"/>
      <c r="T1137" s="79"/>
      <c r="U1137" s="79"/>
      <c r="V1137" s="79"/>
      <c r="W1137" s="79"/>
      <c r="X1137" s="79"/>
      <c r="Y1137" s="79"/>
      <c r="Z1137" s="79"/>
      <c r="AA1137" s="79"/>
    </row>
    <row r="1138" spans="1:27" x14ac:dyDescent="0.2">
      <c r="A1138" s="73"/>
      <c r="B1138" s="74"/>
      <c r="C1138" s="74"/>
      <c r="D1138" s="74"/>
      <c r="E1138" s="74"/>
      <c r="F1138" s="74"/>
      <c r="G1138" s="75"/>
      <c r="H1138" s="75"/>
      <c r="I1138" s="76"/>
      <c r="J1138" s="77"/>
      <c r="K1138" s="76"/>
      <c r="L1138" s="76"/>
      <c r="M1138" s="74"/>
      <c r="N1138" s="74"/>
      <c r="O1138" s="78"/>
      <c r="P1138" s="78"/>
      <c r="Q1138" s="78"/>
      <c r="R1138" s="78"/>
      <c r="S1138" s="79"/>
      <c r="T1138" s="79"/>
      <c r="U1138" s="79"/>
      <c r="V1138" s="79"/>
      <c r="W1138" s="79"/>
      <c r="X1138" s="79"/>
      <c r="Y1138" s="79"/>
      <c r="Z1138" s="79"/>
      <c r="AA1138" s="79"/>
    </row>
    <row r="1139" spans="1:27" x14ac:dyDescent="0.2">
      <c r="A1139" s="73"/>
      <c r="B1139" s="74"/>
      <c r="C1139" s="74"/>
      <c r="D1139" s="74"/>
      <c r="E1139" s="74"/>
      <c r="F1139" s="74"/>
      <c r="G1139" s="75"/>
      <c r="H1139" s="75"/>
      <c r="I1139" s="76"/>
      <c r="J1139" s="77"/>
      <c r="K1139" s="76"/>
      <c r="L1139" s="76"/>
      <c r="M1139" s="74"/>
      <c r="N1139" s="74"/>
      <c r="O1139" s="78"/>
      <c r="P1139" s="78"/>
      <c r="Q1139" s="78"/>
      <c r="R1139" s="78"/>
      <c r="S1139" s="79"/>
      <c r="T1139" s="79"/>
      <c r="U1139" s="79"/>
      <c r="V1139" s="79"/>
      <c r="W1139" s="79"/>
      <c r="X1139" s="79"/>
      <c r="Y1139" s="79"/>
      <c r="Z1139" s="79"/>
      <c r="AA1139" s="79"/>
    </row>
    <row r="1140" spans="1:27" x14ac:dyDescent="0.2">
      <c r="A1140" s="73"/>
      <c r="B1140" s="74"/>
      <c r="C1140" s="74"/>
      <c r="D1140" s="74"/>
      <c r="E1140" s="74"/>
      <c r="F1140" s="74"/>
      <c r="G1140" s="75"/>
      <c r="H1140" s="75"/>
      <c r="I1140" s="76"/>
      <c r="J1140" s="77"/>
      <c r="K1140" s="76"/>
      <c r="L1140" s="76"/>
      <c r="M1140" s="74"/>
      <c r="N1140" s="74"/>
      <c r="O1140" s="78"/>
      <c r="P1140" s="78"/>
      <c r="Q1140" s="78"/>
      <c r="R1140" s="78"/>
      <c r="S1140" s="79"/>
      <c r="T1140" s="79"/>
      <c r="U1140" s="79"/>
      <c r="V1140" s="79"/>
      <c r="W1140" s="79"/>
      <c r="X1140" s="79"/>
      <c r="Y1140" s="79"/>
      <c r="Z1140" s="79"/>
      <c r="AA1140" s="79"/>
    </row>
    <row r="1141" spans="1:27" x14ac:dyDescent="0.2">
      <c r="A1141" s="73"/>
      <c r="B1141" s="74"/>
      <c r="C1141" s="74"/>
      <c r="D1141" s="74"/>
      <c r="E1141" s="74"/>
      <c r="F1141" s="74"/>
      <c r="G1141" s="75"/>
      <c r="H1141" s="75"/>
      <c r="I1141" s="76"/>
      <c r="J1141" s="77"/>
      <c r="K1141" s="76"/>
      <c r="L1141" s="76"/>
      <c r="M1141" s="74"/>
      <c r="N1141" s="74"/>
      <c r="O1141" s="78"/>
      <c r="P1141" s="78"/>
      <c r="Q1141" s="78"/>
      <c r="R1141" s="78"/>
      <c r="S1141" s="79"/>
      <c r="T1141" s="79"/>
      <c r="U1141" s="79"/>
      <c r="V1141" s="79"/>
      <c r="W1141" s="79"/>
      <c r="X1141" s="79"/>
      <c r="Y1141" s="79"/>
      <c r="Z1141" s="79"/>
      <c r="AA1141" s="79"/>
    </row>
    <row r="1142" spans="1:27" x14ac:dyDescent="0.2">
      <c r="A1142" s="73"/>
      <c r="B1142" s="74"/>
      <c r="C1142" s="74"/>
      <c r="D1142" s="74"/>
      <c r="E1142" s="74"/>
      <c r="F1142" s="74"/>
      <c r="G1142" s="75"/>
      <c r="H1142" s="75"/>
      <c r="I1142" s="76"/>
      <c r="J1142" s="77"/>
      <c r="K1142" s="76"/>
      <c r="L1142" s="76"/>
      <c r="M1142" s="74"/>
      <c r="N1142" s="74"/>
      <c r="O1142" s="78"/>
      <c r="P1142" s="78"/>
      <c r="Q1142" s="78"/>
      <c r="R1142" s="78"/>
      <c r="S1142" s="79"/>
      <c r="T1142" s="79"/>
      <c r="U1142" s="79"/>
      <c r="V1142" s="79"/>
      <c r="W1142" s="79"/>
      <c r="X1142" s="79"/>
      <c r="Y1142" s="79"/>
      <c r="Z1142" s="79"/>
      <c r="AA1142" s="79"/>
    </row>
    <row r="1143" spans="1:27" x14ac:dyDescent="0.2">
      <c r="A1143" s="73"/>
      <c r="B1143" s="74"/>
      <c r="C1143" s="74"/>
      <c r="D1143" s="74"/>
      <c r="E1143" s="74"/>
      <c r="F1143" s="74"/>
      <c r="G1143" s="75"/>
      <c r="H1143" s="75"/>
      <c r="I1143" s="76"/>
      <c r="J1143" s="77"/>
      <c r="K1143" s="76"/>
      <c r="L1143" s="76"/>
      <c r="M1143" s="74"/>
      <c r="N1143" s="74"/>
      <c r="O1143" s="78"/>
      <c r="P1143" s="78"/>
      <c r="Q1143" s="78"/>
      <c r="R1143" s="78"/>
      <c r="S1143" s="79"/>
      <c r="T1143" s="79"/>
      <c r="U1143" s="79"/>
      <c r="V1143" s="79"/>
      <c r="W1143" s="79"/>
      <c r="X1143" s="79"/>
      <c r="Y1143" s="79"/>
      <c r="Z1143" s="79"/>
      <c r="AA1143" s="79"/>
    </row>
    <row r="1144" spans="1:27" x14ac:dyDescent="0.2">
      <c r="A1144" s="73"/>
      <c r="B1144" s="74"/>
      <c r="C1144" s="74"/>
      <c r="D1144" s="74"/>
      <c r="E1144" s="74"/>
      <c r="F1144" s="74"/>
      <c r="G1144" s="75"/>
      <c r="H1144" s="75"/>
      <c r="I1144" s="76"/>
      <c r="J1144" s="77"/>
      <c r="K1144" s="76"/>
      <c r="L1144" s="76"/>
      <c r="M1144" s="74"/>
      <c r="N1144" s="74"/>
      <c r="O1144" s="78"/>
      <c r="P1144" s="78"/>
      <c r="Q1144" s="78"/>
      <c r="R1144" s="78"/>
      <c r="S1144" s="79"/>
      <c r="T1144" s="79"/>
      <c r="U1144" s="79"/>
      <c r="V1144" s="79"/>
      <c r="W1144" s="79"/>
      <c r="X1144" s="79"/>
      <c r="Y1144" s="79"/>
      <c r="Z1144" s="79"/>
      <c r="AA1144" s="79"/>
    </row>
    <row r="1145" spans="1:27" x14ac:dyDescent="0.2">
      <c r="A1145" s="73"/>
      <c r="B1145" s="74"/>
      <c r="C1145" s="74"/>
      <c r="D1145" s="74"/>
      <c r="E1145" s="74"/>
      <c r="F1145" s="74"/>
      <c r="G1145" s="75"/>
      <c r="H1145" s="75"/>
      <c r="I1145" s="76"/>
      <c r="J1145" s="77"/>
      <c r="K1145" s="76"/>
      <c r="L1145" s="76"/>
      <c r="M1145" s="74"/>
      <c r="N1145" s="74"/>
      <c r="O1145" s="78"/>
      <c r="P1145" s="78"/>
      <c r="Q1145" s="78"/>
      <c r="R1145" s="78"/>
      <c r="S1145" s="79"/>
      <c r="T1145" s="79"/>
      <c r="U1145" s="79"/>
      <c r="V1145" s="79"/>
      <c r="W1145" s="79"/>
      <c r="X1145" s="79"/>
      <c r="Y1145" s="79"/>
      <c r="Z1145" s="79"/>
      <c r="AA1145" s="79"/>
    </row>
    <row r="1146" spans="1:27" x14ac:dyDescent="0.2">
      <c r="A1146" s="73"/>
      <c r="B1146" s="74"/>
      <c r="C1146" s="74"/>
      <c r="D1146" s="74"/>
      <c r="E1146" s="74"/>
      <c r="F1146" s="74"/>
      <c r="G1146" s="75"/>
      <c r="H1146" s="75"/>
      <c r="I1146" s="76"/>
      <c r="J1146" s="77"/>
      <c r="K1146" s="76"/>
      <c r="L1146" s="76"/>
      <c r="M1146" s="74"/>
      <c r="N1146" s="74"/>
      <c r="O1146" s="78"/>
      <c r="P1146" s="78"/>
      <c r="Q1146" s="78"/>
      <c r="R1146" s="78"/>
      <c r="S1146" s="79"/>
      <c r="T1146" s="79"/>
      <c r="U1146" s="79"/>
      <c r="V1146" s="79"/>
      <c r="W1146" s="79"/>
      <c r="X1146" s="79"/>
      <c r="Y1146" s="79"/>
      <c r="Z1146" s="79"/>
      <c r="AA1146" s="79"/>
    </row>
    <row r="1147" spans="1:27" x14ac:dyDescent="0.2">
      <c r="A1147" s="73"/>
      <c r="B1147" s="74"/>
      <c r="C1147" s="74"/>
      <c r="D1147" s="74"/>
      <c r="E1147" s="74"/>
      <c r="F1147" s="74"/>
      <c r="G1147" s="75"/>
      <c r="H1147" s="75"/>
      <c r="I1147" s="76"/>
      <c r="J1147" s="77"/>
      <c r="K1147" s="76"/>
      <c r="L1147" s="76"/>
      <c r="M1147" s="74"/>
      <c r="N1147" s="74"/>
      <c r="O1147" s="78"/>
      <c r="P1147" s="78"/>
      <c r="Q1147" s="78"/>
      <c r="R1147" s="78"/>
      <c r="S1147" s="79"/>
      <c r="T1147" s="79"/>
      <c r="U1147" s="79"/>
      <c r="V1147" s="79"/>
      <c r="W1147" s="79"/>
      <c r="X1147" s="79"/>
      <c r="Y1147" s="79"/>
      <c r="Z1147" s="79"/>
      <c r="AA1147" s="79"/>
    </row>
    <row r="1148" spans="1:27" x14ac:dyDescent="0.2">
      <c r="A1148" s="73"/>
      <c r="B1148" s="74"/>
      <c r="C1148" s="74"/>
      <c r="D1148" s="74"/>
      <c r="E1148" s="74"/>
      <c r="F1148" s="74"/>
      <c r="G1148" s="75"/>
      <c r="H1148" s="75"/>
      <c r="I1148" s="76"/>
      <c r="J1148" s="77"/>
      <c r="K1148" s="76"/>
      <c r="L1148" s="76"/>
      <c r="M1148" s="74"/>
      <c r="N1148" s="74"/>
      <c r="O1148" s="78"/>
      <c r="P1148" s="78"/>
      <c r="Q1148" s="78"/>
      <c r="R1148" s="78"/>
      <c r="S1148" s="79"/>
      <c r="T1148" s="79"/>
      <c r="U1148" s="79"/>
      <c r="V1148" s="79"/>
      <c r="W1148" s="79"/>
      <c r="X1148" s="79"/>
      <c r="Y1148" s="79"/>
      <c r="Z1148" s="79"/>
      <c r="AA1148" s="79"/>
    </row>
    <row r="1149" spans="1:27" x14ac:dyDescent="0.2">
      <c r="A1149" s="73"/>
      <c r="B1149" s="74"/>
      <c r="C1149" s="74"/>
      <c r="D1149" s="74"/>
      <c r="E1149" s="74"/>
      <c r="F1149" s="74"/>
      <c r="G1149" s="75"/>
      <c r="H1149" s="75"/>
      <c r="I1149" s="76"/>
      <c r="J1149" s="77"/>
      <c r="K1149" s="76"/>
      <c r="L1149" s="76"/>
      <c r="M1149" s="74"/>
      <c r="N1149" s="74"/>
      <c r="O1149" s="78"/>
      <c r="P1149" s="78"/>
      <c r="Q1149" s="78"/>
      <c r="R1149" s="78"/>
      <c r="S1149" s="79"/>
      <c r="T1149" s="79"/>
      <c r="U1149" s="79"/>
      <c r="V1149" s="79"/>
      <c r="W1149" s="79"/>
      <c r="X1149" s="79"/>
      <c r="Y1149" s="79"/>
      <c r="Z1149" s="79"/>
      <c r="AA1149" s="79"/>
    </row>
    <row r="1150" spans="1:27" x14ac:dyDescent="0.2">
      <c r="A1150" s="73"/>
      <c r="B1150" s="74"/>
      <c r="C1150" s="74"/>
      <c r="D1150" s="74"/>
      <c r="E1150" s="74"/>
      <c r="F1150" s="74"/>
      <c r="G1150" s="75"/>
      <c r="H1150" s="75"/>
      <c r="I1150" s="76"/>
      <c r="J1150" s="77"/>
      <c r="K1150" s="76"/>
      <c r="L1150" s="76"/>
      <c r="M1150" s="74"/>
      <c r="N1150" s="74"/>
      <c r="O1150" s="78"/>
      <c r="P1150" s="78"/>
      <c r="Q1150" s="78"/>
      <c r="R1150" s="78"/>
      <c r="S1150" s="79"/>
      <c r="T1150" s="79"/>
      <c r="U1150" s="79"/>
      <c r="V1150" s="79"/>
      <c r="W1150" s="79"/>
      <c r="X1150" s="79"/>
      <c r="Y1150" s="79"/>
      <c r="Z1150" s="79"/>
      <c r="AA1150" s="79"/>
    </row>
    <row r="1151" spans="1:27" x14ac:dyDescent="0.2">
      <c r="A1151" s="73"/>
      <c r="B1151" s="74"/>
      <c r="C1151" s="74"/>
      <c r="D1151" s="74"/>
      <c r="E1151" s="74"/>
      <c r="F1151" s="74"/>
      <c r="G1151" s="75"/>
      <c r="H1151" s="75"/>
      <c r="I1151" s="76"/>
      <c r="J1151" s="77"/>
      <c r="K1151" s="76"/>
      <c r="L1151" s="76"/>
      <c r="M1151" s="74"/>
      <c r="N1151" s="74"/>
      <c r="O1151" s="78"/>
      <c r="P1151" s="78"/>
      <c r="Q1151" s="78"/>
      <c r="R1151" s="78"/>
      <c r="S1151" s="79"/>
      <c r="T1151" s="79"/>
      <c r="U1151" s="79"/>
      <c r="V1151" s="79"/>
      <c r="W1151" s="79"/>
      <c r="X1151" s="79"/>
      <c r="Y1151" s="79"/>
      <c r="Z1151" s="79"/>
      <c r="AA1151" s="79"/>
    </row>
    <row r="1152" spans="1:27" x14ac:dyDescent="0.2">
      <c r="A1152" s="73"/>
      <c r="B1152" s="74"/>
      <c r="C1152" s="74"/>
      <c r="D1152" s="74"/>
      <c r="E1152" s="74"/>
      <c r="F1152" s="74"/>
      <c r="G1152" s="75"/>
      <c r="H1152" s="75"/>
      <c r="I1152" s="76"/>
      <c r="J1152" s="77"/>
      <c r="K1152" s="76"/>
      <c r="L1152" s="76"/>
      <c r="M1152" s="74"/>
      <c r="N1152" s="74"/>
      <c r="O1152" s="78"/>
      <c r="P1152" s="78"/>
      <c r="Q1152" s="78"/>
      <c r="R1152" s="78"/>
      <c r="S1152" s="79"/>
      <c r="T1152" s="79"/>
      <c r="U1152" s="79"/>
      <c r="V1152" s="79"/>
      <c r="W1152" s="79"/>
      <c r="X1152" s="79"/>
      <c r="Y1152" s="79"/>
      <c r="Z1152" s="79"/>
      <c r="AA1152" s="79"/>
    </row>
    <row r="1153" spans="1:27" x14ac:dyDescent="0.2">
      <c r="A1153" s="73"/>
      <c r="B1153" s="74"/>
      <c r="C1153" s="74"/>
      <c r="D1153" s="74"/>
      <c r="E1153" s="74"/>
      <c r="F1153" s="74"/>
      <c r="G1153" s="75"/>
      <c r="H1153" s="75"/>
      <c r="I1153" s="76"/>
      <c r="J1153" s="77"/>
      <c r="K1153" s="76"/>
      <c r="L1153" s="76"/>
      <c r="M1153" s="74"/>
      <c r="N1153" s="74"/>
      <c r="O1153" s="78"/>
      <c r="P1153" s="78"/>
      <c r="Q1153" s="78"/>
      <c r="R1153" s="78"/>
      <c r="S1153" s="79"/>
      <c r="T1153" s="79"/>
      <c r="U1153" s="79"/>
      <c r="V1153" s="79"/>
      <c r="W1153" s="79"/>
      <c r="X1153" s="79"/>
      <c r="Y1153" s="79"/>
      <c r="Z1153" s="79"/>
      <c r="AA1153" s="79"/>
    </row>
    <row r="1154" spans="1:27" x14ac:dyDescent="0.2">
      <c r="A1154" s="73"/>
      <c r="B1154" s="74"/>
      <c r="C1154" s="74"/>
      <c r="D1154" s="74"/>
      <c r="E1154" s="74"/>
      <c r="F1154" s="74"/>
      <c r="G1154" s="75"/>
      <c r="H1154" s="75"/>
      <c r="I1154" s="76"/>
      <c r="J1154" s="77"/>
      <c r="K1154" s="76"/>
      <c r="L1154" s="76"/>
      <c r="M1154" s="74"/>
      <c r="N1154" s="74"/>
      <c r="O1154" s="78"/>
      <c r="P1154" s="78"/>
      <c r="Q1154" s="78"/>
      <c r="R1154" s="78"/>
      <c r="S1154" s="79"/>
      <c r="T1154" s="79"/>
      <c r="U1154" s="79"/>
      <c r="V1154" s="79"/>
      <c r="W1154" s="79"/>
      <c r="X1154" s="79"/>
      <c r="Y1154" s="79"/>
      <c r="Z1154" s="79"/>
      <c r="AA1154" s="79"/>
    </row>
    <row r="1155" spans="1:27" x14ac:dyDescent="0.2">
      <c r="A1155" s="73"/>
      <c r="B1155" s="74"/>
      <c r="C1155" s="74"/>
      <c r="D1155" s="74"/>
      <c r="E1155" s="74"/>
      <c r="F1155" s="74"/>
      <c r="G1155" s="75"/>
      <c r="H1155" s="75"/>
      <c r="I1155" s="76"/>
      <c r="J1155" s="77"/>
      <c r="K1155" s="76"/>
      <c r="L1155" s="76"/>
      <c r="M1155" s="74"/>
      <c r="N1155" s="74"/>
      <c r="O1155" s="78"/>
      <c r="P1155" s="78"/>
      <c r="Q1155" s="78"/>
      <c r="R1155" s="78"/>
      <c r="S1155" s="79"/>
      <c r="T1155" s="79"/>
      <c r="U1155" s="79"/>
      <c r="V1155" s="79"/>
      <c r="W1155" s="79"/>
      <c r="X1155" s="79"/>
      <c r="Y1155" s="79"/>
      <c r="Z1155" s="79"/>
      <c r="AA1155" s="79"/>
    </row>
    <row r="1156" spans="1:27" x14ac:dyDescent="0.2">
      <c r="A1156" s="73"/>
      <c r="B1156" s="74"/>
      <c r="C1156" s="74"/>
      <c r="D1156" s="74"/>
      <c r="E1156" s="74"/>
      <c r="F1156" s="74"/>
      <c r="G1156" s="75"/>
      <c r="H1156" s="75"/>
      <c r="I1156" s="76"/>
      <c r="J1156" s="77"/>
      <c r="K1156" s="76"/>
      <c r="L1156" s="76"/>
      <c r="M1156" s="74"/>
      <c r="N1156" s="74"/>
      <c r="O1156" s="78"/>
      <c r="P1156" s="78"/>
      <c r="Q1156" s="78"/>
      <c r="R1156" s="78"/>
      <c r="S1156" s="79"/>
      <c r="T1156" s="79"/>
      <c r="U1156" s="79"/>
      <c r="V1156" s="79"/>
      <c r="W1156" s="79"/>
      <c r="X1156" s="79"/>
      <c r="Y1156" s="79"/>
      <c r="Z1156" s="79"/>
      <c r="AA1156" s="79"/>
    </row>
    <row r="1157" spans="1:27" x14ac:dyDescent="0.2">
      <c r="A1157" s="73"/>
      <c r="B1157" s="74"/>
      <c r="C1157" s="74"/>
      <c r="D1157" s="74"/>
      <c r="E1157" s="74"/>
      <c r="F1157" s="74"/>
      <c r="G1157" s="75"/>
      <c r="H1157" s="75"/>
      <c r="I1157" s="76"/>
      <c r="J1157" s="77"/>
      <c r="K1157" s="76"/>
      <c r="L1157" s="76"/>
      <c r="M1157" s="74"/>
      <c r="N1157" s="74"/>
      <c r="O1157" s="78"/>
      <c r="P1157" s="78"/>
      <c r="Q1157" s="78"/>
      <c r="R1157" s="78"/>
      <c r="S1157" s="79"/>
      <c r="T1157" s="79"/>
      <c r="U1157" s="79"/>
      <c r="V1157" s="79"/>
      <c r="W1157" s="79"/>
      <c r="X1157" s="79"/>
      <c r="Y1157" s="79"/>
      <c r="Z1157" s="79"/>
      <c r="AA1157" s="79"/>
    </row>
    <row r="1158" spans="1:27" x14ac:dyDescent="0.2">
      <c r="A1158" s="73"/>
      <c r="B1158" s="74"/>
      <c r="C1158" s="74"/>
      <c r="D1158" s="74"/>
      <c r="E1158" s="74"/>
      <c r="F1158" s="74"/>
      <c r="G1158" s="75"/>
      <c r="H1158" s="75"/>
      <c r="I1158" s="76"/>
      <c r="J1158" s="77"/>
      <c r="K1158" s="76"/>
      <c r="L1158" s="76"/>
      <c r="M1158" s="74"/>
      <c r="N1158" s="74"/>
      <c r="O1158" s="78"/>
      <c r="P1158" s="78"/>
      <c r="Q1158" s="78"/>
      <c r="R1158" s="78"/>
      <c r="S1158" s="79"/>
      <c r="T1158" s="79"/>
      <c r="U1158" s="79"/>
      <c r="V1158" s="79"/>
      <c r="W1158" s="79"/>
      <c r="X1158" s="79"/>
      <c r="Y1158" s="79"/>
      <c r="Z1158" s="79"/>
      <c r="AA1158" s="79"/>
    </row>
    <row r="1159" spans="1:27" x14ac:dyDescent="0.2">
      <c r="A1159" s="73"/>
      <c r="B1159" s="74"/>
      <c r="C1159" s="74"/>
      <c r="D1159" s="74"/>
      <c r="E1159" s="74"/>
      <c r="F1159" s="74"/>
      <c r="G1159" s="75"/>
      <c r="H1159" s="75"/>
      <c r="I1159" s="76"/>
      <c r="J1159" s="77"/>
      <c r="K1159" s="76"/>
      <c r="L1159" s="76"/>
      <c r="M1159" s="74"/>
      <c r="N1159" s="74"/>
      <c r="O1159" s="78"/>
      <c r="P1159" s="78"/>
      <c r="Q1159" s="78"/>
      <c r="R1159" s="78"/>
      <c r="S1159" s="79"/>
      <c r="T1159" s="79"/>
      <c r="U1159" s="79"/>
      <c r="V1159" s="79"/>
      <c r="W1159" s="79"/>
      <c r="X1159" s="79"/>
      <c r="Y1159" s="79"/>
      <c r="Z1159" s="79"/>
      <c r="AA1159" s="79"/>
    </row>
    <row r="1160" spans="1:27" x14ac:dyDescent="0.2">
      <c r="A1160" s="73"/>
      <c r="B1160" s="74"/>
      <c r="C1160" s="74"/>
      <c r="D1160" s="74"/>
      <c r="E1160" s="74"/>
      <c r="F1160" s="74"/>
      <c r="G1160" s="75"/>
      <c r="H1160" s="75"/>
      <c r="I1160" s="76"/>
      <c r="J1160" s="77"/>
      <c r="K1160" s="76"/>
      <c r="L1160" s="76"/>
      <c r="M1160" s="74"/>
      <c r="N1160" s="74"/>
      <c r="O1160" s="78"/>
      <c r="P1160" s="78"/>
      <c r="Q1160" s="78"/>
      <c r="R1160" s="78"/>
      <c r="S1160" s="79"/>
      <c r="T1160" s="79"/>
      <c r="U1160" s="79"/>
      <c r="V1160" s="79"/>
      <c r="W1160" s="79"/>
      <c r="X1160" s="79"/>
      <c r="Y1160" s="79"/>
      <c r="Z1160" s="79"/>
      <c r="AA1160" s="79"/>
    </row>
    <row r="1161" spans="1:27" x14ac:dyDescent="0.2">
      <c r="A1161" s="73"/>
      <c r="B1161" s="74"/>
      <c r="C1161" s="74"/>
      <c r="D1161" s="74"/>
      <c r="E1161" s="74"/>
      <c r="F1161" s="74"/>
      <c r="G1161" s="75"/>
      <c r="H1161" s="75"/>
      <c r="I1161" s="76"/>
      <c r="J1161" s="77"/>
      <c r="K1161" s="76"/>
      <c r="L1161" s="76"/>
      <c r="M1161" s="74"/>
      <c r="N1161" s="74"/>
      <c r="O1161" s="78"/>
      <c r="P1161" s="78"/>
      <c r="Q1161" s="78"/>
      <c r="R1161" s="78"/>
      <c r="S1161" s="79"/>
      <c r="T1161" s="79"/>
      <c r="U1161" s="79"/>
      <c r="V1161" s="79"/>
      <c r="W1161" s="79"/>
      <c r="X1161" s="79"/>
      <c r="Y1161" s="79"/>
      <c r="Z1161" s="79"/>
      <c r="AA1161" s="79"/>
    </row>
    <row r="1162" spans="1:27" x14ac:dyDescent="0.2">
      <c r="A1162" s="73"/>
      <c r="B1162" s="74"/>
      <c r="C1162" s="74"/>
      <c r="D1162" s="74"/>
      <c r="E1162" s="74"/>
      <c r="F1162" s="74"/>
      <c r="G1162" s="75"/>
      <c r="H1162" s="75"/>
      <c r="I1162" s="76"/>
      <c r="J1162" s="77"/>
      <c r="K1162" s="76"/>
      <c r="L1162" s="76"/>
      <c r="M1162" s="74"/>
      <c r="N1162" s="74"/>
      <c r="O1162" s="78"/>
      <c r="P1162" s="78"/>
      <c r="Q1162" s="78"/>
      <c r="R1162" s="78"/>
      <c r="S1162" s="79"/>
      <c r="T1162" s="79"/>
      <c r="U1162" s="79"/>
      <c r="V1162" s="79"/>
      <c r="W1162" s="79"/>
      <c r="X1162" s="79"/>
      <c r="Y1162" s="79"/>
      <c r="Z1162" s="79"/>
      <c r="AA1162" s="79"/>
    </row>
    <row r="1163" spans="1:27" x14ac:dyDescent="0.2">
      <c r="A1163" s="73"/>
      <c r="B1163" s="74"/>
      <c r="C1163" s="74"/>
      <c r="D1163" s="74"/>
      <c r="E1163" s="74"/>
      <c r="F1163" s="74"/>
      <c r="G1163" s="75"/>
      <c r="H1163" s="75"/>
      <c r="I1163" s="76"/>
      <c r="J1163" s="77"/>
      <c r="K1163" s="76"/>
      <c r="L1163" s="76"/>
      <c r="M1163" s="74"/>
      <c r="N1163" s="74"/>
      <c r="O1163" s="78"/>
      <c r="P1163" s="78"/>
      <c r="Q1163" s="78"/>
      <c r="R1163" s="78"/>
      <c r="S1163" s="79"/>
      <c r="T1163" s="79"/>
      <c r="U1163" s="79"/>
      <c r="V1163" s="79"/>
      <c r="W1163" s="79"/>
      <c r="X1163" s="79"/>
      <c r="Y1163" s="79"/>
      <c r="Z1163" s="79"/>
      <c r="AA1163" s="79"/>
    </row>
    <row r="1164" spans="1:27" x14ac:dyDescent="0.2">
      <c r="A1164" s="73"/>
      <c r="B1164" s="74"/>
      <c r="C1164" s="74"/>
      <c r="D1164" s="74"/>
      <c r="E1164" s="74"/>
      <c r="F1164" s="74"/>
      <c r="G1164" s="75"/>
      <c r="H1164" s="75"/>
      <c r="I1164" s="76"/>
      <c r="J1164" s="77"/>
      <c r="K1164" s="76"/>
      <c r="L1164" s="76"/>
      <c r="M1164" s="74"/>
      <c r="N1164" s="74"/>
      <c r="O1164" s="78"/>
      <c r="P1164" s="78"/>
      <c r="Q1164" s="78"/>
      <c r="R1164" s="78"/>
      <c r="S1164" s="79"/>
      <c r="T1164" s="79"/>
      <c r="U1164" s="79"/>
      <c r="V1164" s="79"/>
      <c r="W1164" s="79"/>
      <c r="X1164" s="79"/>
      <c r="Y1164" s="79"/>
      <c r="Z1164" s="79"/>
      <c r="AA1164" s="79"/>
    </row>
    <row r="1165" spans="1:27" x14ac:dyDescent="0.2">
      <c r="A1165" s="73"/>
      <c r="B1165" s="74"/>
      <c r="C1165" s="74"/>
      <c r="D1165" s="74"/>
      <c r="E1165" s="74"/>
      <c r="F1165" s="74"/>
      <c r="G1165" s="75"/>
      <c r="H1165" s="75"/>
      <c r="I1165" s="76"/>
      <c r="J1165" s="77"/>
      <c r="K1165" s="76"/>
      <c r="L1165" s="76"/>
      <c r="M1165" s="74"/>
      <c r="N1165" s="74"/>
      <c r="O1165" s="78"/>
      <c r="P1165" s="78"/>
      <c r="Q1165" s="78"/>
      <c r="R1165" s="78"/>
      <c r="S1165" s="79"/>
      <c r="T1165" s="79"/>
      <c r="U1165" s="79"/>
      <c r="V1165" s="79"/>
      <c r="W1165" s="79"/>
      <c r="X1165" s="79"/>
      <c r="Y1165" s="79"/>
      <c r="Z1165" s="79"/>
      <c r="AA1165" s="79"/>
    </row>
    <row r="1166" spans="1:27" x14ac:dyDescent="0.2">
      <c r="A1166" s="73"/>
      <c r="B1166" s="74"/>
      <c r="C1166" s="74"/>
      <c r="D1166" s="74"/>
      <c r="E1166" s="74"/>
      <c r="F1166" s="74"/>
      <c r="G1166" s="75"/>
      <c r="H1166" s="75"/>
      <c r="I1166" s="76"/>
      <c r="J1166" s="77"/>
      <c r="K1166" s="76"/>
      <c r="L1166" s="76"/>
      <c r="M1166" s="74"/>
      <c r="N1166" s="74"/>
      <c r="O1166" s="78"/>
      <c r="P1166" s="78"/>
      <c r="Q1166" s="78"/>
      <c r="R1166" s="78"/>
      <c r="S1166" s="79"/>
      <c r="T1166" s="79"/>
      <c r="U1166" s="79"/>
      <c r="V1166" s="79"/>
      <c r="W1166" s="79"/>
      <c r="X1166" s="79"/>
      <c r="Y1166" s="79"/>
      <c r="Z1166" s="79"/>
      <c r="AA1166" s="79"/>
    </row>
    <row r="1167" spans="1:27" x14ac:dyDescent="0.2">
      <c r="A1167" s="73"/>
      <c r="B1167" s="74"/>
      <c r="C1167" s="74"/>
      <c r="D1167" s="74"/>
      <c r="E1167" s="74"/>
      <c r="F1167" s="74"/>
      <c r="G1167" s="75"/>
      <c r="H1167" s="75"/>
      <c r="I1167" s="76"/>
      <c r="J1167" s="77"/>
      <c r="K1167" s="76"/>
      <c r="L1167" s="76"/>
      <c r="M1167" s="74"/>
      <c r="N1167" s="74"/>
      <c r="O1167" s="78"/>
      <c r="P1167" s="78"/>
      <c r="Q1167" s="78"/>
      <c r="R1167" s="78"/>
      <c r="S1167" s="79"/>
      <c r="T1167" s="79"/>
      <c r="U1167" s="79"/>
      <c r="V1167" s="79"/>
      <c r="W1167" s="79"/>
      <c r="X1167" s="79"/>
      <c r="Y1167" s="79"/>
      <c r="Z1167" s="79"/>
      <c r="AA1167" s="79"/>
    </row>
    <row r="1168" spans="1:27" x14ac:dyDescent="0.2">
      <c r="A1168" s="73"/>
      <c r="B1168" s="74"/>
      <c r="C1168" s="74"/>
      <c r="D1168" s="74"/>
      <c r="E1168" s="74"/>
      <c r="F1168" s="74"/>
      <c r="G1168" s="75"/>
      <c r="H1168" s="75"/>
      <c r="I1168" s="76"/>
      <c r="J1168" s="77"/>
      <c r="K1168" s="76"/>
      <c r="L1168" s="76"/>
      <c r="M1168" s="74"/>
      <c r="N1168" s="74"/>
      <c r="O1168" s="78"/>
      <c r="P1168" s="78"/>
      <c r="Q1168" s="78"/>
      <c r="R1168" s="78"/>
      <c r="S1168" s="79"/>
      <c r="T1168" s="79"/>
      <c r="U1168" s="79"/>
      <c r="V1168" s="79"/>
      <c r="W1168" s="79"/>
      <c r="X1168" s="79"/>
      <c r="Y1168" s="79"/>
      <c r="Z1168" s="79"/>
      <c r="AA1168" s="79"/>
    </row>
    <row r="1169" spans="1:27" x14ac:dyDescent="0.2">
      <c r="A1169" s="73"/>
      <c r="B1169" s="74"/>
      <c r="C1169" s="74"/>
      <c r="D1169" s="74"/>
      <c r="E1169" s="74"/>
      <c r="F1169" s="74"/>
      <c r="G1169" s="75"/>
      <c r="H1169" s="75"/>
      <c r="I1169" s="76"/>
      <c r="J1169" s="77"/>
      <c r="K1169" s="76"/>
      <c r="L1169" s="76"/>
      <c r="M1169" s="74"/>
      <c r="N1169" s="74"/>
      <c r="O1169" s="78"/>
      <c r="P1169" s="78"/>
      <c r="Q1169" s="78"/>
      <c r="R1169" s="78"/>
      <c r="S1169" s="79"/>
      <c r="T1169" s="79"/>
      <c r="U1169" s="79"/>
      <c r="V1169" s="79"/>
      <c r="W1169" s="79"/>
      <c r="X1169" s="79"/>
      <c r="Y1169" s="79"/>
      <c r="Z1169" s="79"/>
      <c r="AA1169" s="79"/>
    </row>
    <row r="1170" spans="1:27" x14ac:dyDescent="0.2">
      <c r="A1170" s="73"/>
      <c r="B1170" s="74"/>
      <c r="C1170" s="74"/>
      <c r="D1170" s="74"/>
      <c r="E1170" s="74"/>
      <c r="F1170" s="74"/>
      <c r="G1170" s="75"/>
      <c r="H1170" s="75"/>
      <c r="I1170" s="76"/>
      <c r="J1170" s="77"/>
      <c r="K1170" s="76"/>
      <c r="L1170" s="76"/>
      <c r="M1170" s="74"/>
      <c r="N1170" s="74"/>
      <c r="O1170" s="78"/>
      <c r="P1170" s="78"/>
      <c r="Q1170" s="78"/>
      <c r="R1170" s="78"/>
      <c r="S1170" s="79"/>
      <c r="T1170" s="79"/>
      <c r="U1170" s="79"/>
      <c r="V1170" s="79"/>
      <c r="W1170" s="79"/>
      <c r="X1170" s="79"/>
      <c r="Y1170" s="79"/>
      <c r="Z1170" s="79"/>
      <c r="AA1170" s="79"/>
    </row>
    <row r="1171" spans="1:27" x14ac:dyDescent="0.2">
      <c r="A1171" s="73"/>
      <c r="B1171" s="74"/>
      <c r="C1171" s="74"/>
      <c r="D1171" s="74"/>
      <c r="E1171" s="74"/>
      <c r="F1171" s="74"/>
      <c r="G1171" s="75"/>
      <c r="H1171" s="75"/>
      <c r="I1171" s="76"/>
      <c r="J1171" s="77"/>
      <c r="K1171" s="76"/>
      <c r="L1171" s="76"/>
      <c r="M1171" s="74"/>
      <c r="N1171" s="74"/>
      <c r="O1171" s="78"/>
      <c r="P1171" s="78"/>
      <c r="Q1171" s="78"/>
      <c r="R1171" s="78"/>
      <c r="S1171" s="79"/>
      <c r="T1171" s="79"/>
      <c r="U1171" s="79"/>
      <c r="V1171" s="79"/>
      <c r="W1171" s="79"/>
      <c r="X1171" s="79"/>
      <c r="Y1171" s="79"/>
      <c r="Z1171" s="79"/>
      <c r="AA1171" s="79"/>
    </row>
    <row r="1172" spans="1:27" x14ac:dyDescent="0.2">
      <c r="A1172" s="73"/>
      <c r="B1172" s="74"/>
      <c r="C1172" s="74"/>
      <c r="D1172" s="74"/>
      <c r="E1172" s="74"/>
      <c r="F1172" s="74"/>
      <c r="G1172" s="75"/>
      <c r="H1172" s="75"/>
      <c r="I1172" s="76"/>
      <c r="J1172" s="77"/>
      <c r="K1172" s="76"/>
      <c r="L1172" s="76"/>
      <c r="M1172" s="74"/>
      <c r="N1172" s="74"/>
      <c r="O1172" s="78"/>
      <c r="P1172" s="78"/>
      <c r="Q1172" s="78"/>
      <c r="R1172" s="78"/>
      <c r="S1172" s="79"/>
      <c r="T1172" s="79"/>
      <c r="U1172" s="79"/>
      <c r="V1172" s="79"/>
      <c r="W1172" s="79"/>
      <c r="X1172" s="79"/>
      <c r="Y1172" s="79"/>
      <c r="Z1172" s="79"/>
      <c r="AA1172" s="79"/>
    </row>
    <row r="1173" spans="1:27" x14ac:dyDescent="0.2">
      <c r="A1173" s="73"/>
      <c r="B1173" s="74"/>
      <c r="C1173" s="74"/>
      <c r="D1173" s="74"/>
      <c r="E1173" s="74"/>
      <c r="F1173" s="74"/>
      <c r="G1173" s="75"/>
      <c r="H1173" s="75"/>
      <c r="I1173" s="76"/>
      <c r="J1173" s="77"/>
      <c r="K1173" s="76"/>
      <c r="L1173" s="76"/>
      <c r="M1173" s="74"/>
      <c r="N1173" s="74"/>
      <c r="O1173" s="78"/>
      <c r="P1173" s="78"/>
      <c r="Q1173" s="78"/>
      <c r="R1173" s="78"/>
      <c r="S1173" s="79"/>
      <c r="T1173" s="79"/>
      <c r="U1173" s="79"/>
      <c r="V1173" s="79"/>
      <c r="W1173" s="79"/>
      <c r="X1173" s="79"/>
      <c r="Y1173" s="79"/>
      <c r="Z1173" s="79"/>
      <c r="AA1173" s="79"/>
    </row>
    <row r="1174" spans="1:27" x14ac:dyDescent="0.2">
      <c r="A1174" s="73"/>
      <c r="B1174" s="74"/>
      <c r="C1174" s="74"/>
      <c r="D1174" s="74"/>
      <c r="E1174" s="74"/>
      <c r="F1174" s="74"/>
      <c r="G1174" s="75"/>
      <c r="H1174" s="75"/>
      <c r="I1174" s="76"/>
      <c r="J1174" s="77"/>
      <c r="K1174" s="76"/>
      <c r="L1174" s="76"/>
      <c r="M1174" s="74"/>
      <c r="N1174" s="74"/>
      <c r="O1174" s="78"/>
      <c r="P1174" s="78"/>
      <c r="Q1174" s="78"/>
      <c r="R1174" s="78"/>
      <c r="S1174" s="79"/>
      <c r="T1174" s="79"/>
      <c r="U1174" s="79"/>
      <c r="V1174" s="79"/>
      <c r="W1174" s="79"/>
      <c r="X1174" s="79"/>
      <c r="Y1174" s="79"/>
      <c r="Z1174" s="79"/>
      <c r="AA1174" s="79"/>
    </row>
    <row r="1175" spans="1:27" x14ac:dyDescent="0.2">
      <c r="A1175" s="73"/>
      <c r="B1175" s="74"/>
      <c r="C1175" s="74"/>
      <c r="D1175" s="74"/>
      <c r="E1175" s="74"/>
      <c r="F1175" s="74"/>
      <c r="G1175" s="75"/>
      <c r="H1175" s="75"/>
      <c r="I1175" s="76"/>
      <c r="J1175" s="77"/>
      <c r="K1175" s="76"/>
      <c r="L1175" s="76"/>
      <c r="M1175" s="74"/>
      <c r="N1175" s="74"/>
      <c r="O1175" s="78"/>
      <c r="P1175" s="78"/>
      <c r="Q1175" s="78"/>
      <c r="R1175" s="78"/>
      <c r="S1175" s="79"/>
      <c r="T1175" s="79"/>
      <c r="U1175" s="79"/>
      <c r="V1175" s="79"/>
      <c r="W1175" s="79"/>
      <c r="X1175" s="79"/>
      <c r="Y1175" s="79"/>
      <c r="Z1175" s="79"/>
      <c r="AA1175" s="79"/>
    </row>
    <row r="1176" spans="1:27" x14ac:dyDescent="0.2">
      <c r="A1176" s="73"/>
      <c r="B1176" s="74"/>
      <c r="C1176" s="74"/>
      <c r="D1176" s="74"/>
      <c r="E1176" s="74"/>
      <c r="F1176" s="74"/>
      <c r="G1176" s="75"/>
      <c r="H1176" s="75"/>
      <c r="I1176" s="76"/>
      <c r="J1176" s="77"/>
      <c r="K1176" s="76"/>
      <c r="L1176" s="76"/>
      <c r="M1176" s="74"/>
      <c r="N1176" s="74"/>
      <c r="O1176" s="78"/>
      <c r="P1176" s="78"/>
      <c r="Q1176" s="78"/>
      <c r="R1176" s="78"/>
      <c r="S1176" s="79"/>
      <c r="T1176" s="79"/>
      <c r="U1176" s="79"/>
      <c r="V1176" s="79"/>
      <c r="W1176" s="79"/>
      <c r="X1176" s="79"/>
      <c r="Y1176" s="79"/>
      <c r="Z1176" s="79"/>
      <c r="AA1176" s="79"/>
    </row>
    <row r="1177" spans="1:27" x14ac:dyDescent="0.2">
      <c r="A1177" s="73"/>
      <c r="B1177" s="74"/>
      <c r="C1177" s="74"/>
      <c r="D1177" s="74"/>
      <c r="E1177" s="74"/>
      <c r="F1177" s="74"/>
      <c r="G1177" s="75"/>
      <c r="H1177" s="75"/>
      <c r="I1177" s="76"/>
      <c r="J1177" s="77"/>
      <c r="K1177" s="76"/>
      <c r="L1177" s="76"/>
      <c r="M1177" s="74"/>
      <c r="N1177" s="74"/>
      <c r="O1177" s="78"/>
      <c r="P1177" s="78"/>
      <c r="Q1177" s="78"/>
      <c r="R1177" s="78"/>
      <c r="S1177" s="79"/>
      <c r="T1177" s="79"/>
      <c r="U1177" s="79"/>
      <c r="V1177" s="79"/>
      <c r="W1177" s="79"/>
      <c r="X1177" s="79"/>
      <c r="Y1177" s="79"/>
      <c r="Z1177" s="79"/>
      <c r="AA1177" s="79"/>
    </row>
    <row r="1178" spans="1:27" x14ac:dyDescent="0.2">
      <c r="A1178" s="73"/>
      <c r="B1178" s="74"/>
      <c r="C1178" s="74"/>
      <c r="D1178" s="74"/>
      <c r="E1178" s="74"/>
      <c r="F1178" s="74"/>
      <c r="G1178" s="75"/>
      <c r="H1178" s="75"/>
      <c r="I1178" s="76"/>
      <c r="J1178" s="77"/>
      <c r="K1178" s="76"/>
      <c r="L1178" s="76"/>
      <c r="M1178" s="74"/>
      <c r="N1178" s="74"/>
      <c r="O1178" s="78"/>
      <c r="P1178" s="78"/>
      <c r="Q1178" s="78"/>
      <c r="R1178" s="78"/>
      <c r="S1178" s="79"/>
      <c r="T1178" s="79"/>
      <c r="U1178" s="79"/>
      <c r="V1178" s="79"/>
      <c r="W1178" s="79"/>
      <c r="X1178" s="79"/>
      <c r="Y1178" s="79"/>
      <c r="Z1178" s="79"/>
      <c r="AA1178" s="79"/>
    </row>
    <row r="1179" spans="1:27" x14ac:dyDescent="0.2">
      <c r="A1179" s="73"/>
      <c r="B1179" s="74"/>
      <c r="C1179" s="74"/>
      <c r="D1179" s="74"/>
      <c r="E1179" s="74"/>
      <c r="F1179" s="74"/>
      <c r="G1179" s="75"/>
      <c r="H1179" s="75"/>
      <c r="I1179" s="76"/>
      <c r="J1179" s="77"/>
      <c r="K1179" s="76"/>
      <c r="L1179" s="76"/>
      <c r="M1179" s="74"/>
      <c r="N1179" s="74"/>
      <c r="O1179" s="78"/>
      <c r="P1179" s="78"/>
      <c r="Q1179" s="78"/>
      <c r="R1179" s="78"/>
      <c r="S1179" s="79"/>
      <c r="T1179" s="79"/>
      <c r="U1179" s="79"/>
      <c r="V1179" s="79"/>
      <c r="W1179" s="79"/>
      <c r="X1179" s="79"/>
      <c r="Y1179" s="79"/>
      <c r="Z1179" s="79"/>
      <c r="AA1179" s="79"/>
    </row>
    <row r="1180" spans="1:27" x14ac:dyDescent="0.2">
      <c r="A1180" s="73"/>
      <c r="B1180" s="74"/>
      <c r="C1180" s="74"/>
      <c r="D1180" s="74"/>
      <c r="E1180" s="74"/>
      <c r="F1180" s="74"/>
      <c r="G1180" s="75"/>
      <c r="H1180" s="75"/>
      <c r="I1180" s="76"/>
      <c r="J1180" s="77"/>
      <c r="K1180" s="76"/>
      <c r="L1180" s="76"/>
      <c r="M1180" s="74"/>
      <c r="N1180" s="74"/>
      <c r="O1180" s="78"/>
      <c r="P1180" s="78"/>
      <c r="Q1180" s="78"/>
      <c r="R1180" s="78"/>
      <c r="S1180" s="79"/>
      <c r="T1180" s="79"/>
      <c r="U1180" s="79"/>
      <c r="V1180" s="79"/>
      <c r="W1180" s="79"/>
      <c r="X1180" s="79"/>
      <c r="Y1180" s="79"/>
      <c r="Z1180" s="79"/>
      <c r="AA1180" s="79"/>
    </row>
    <row r="1181" spans="1:27" x14ac:dyDescent="0.2">
      <c r="A1181" s="73"/>
      <c r="B1181" s="74"/>
      <c r="C1181" s="74"/>
      <c r="D1181" s="74"/>
      <c r="E1181" s="74"/>
      <c r="F1181" s="74"/>
      <c r="G1181" s="75"/>
      <c r="H1181" s="75"/>
      <c r="I1181" s="76"/>
      <c r="J1181" s="77"/>
      <c r="K1181" s="76"/>
      <c r="L1181" s="76"/>
      <c r="M1181" s="74"/>
      <c r="N1181" s="74"/>
      <c r="O1181" s="78"/>
      <c r="P1181" s="78"/>
      <c r="Q1181" s="78"/>
      <c r="R1181" s="78"/>
      <c r="S1181" s="79"/>
      <c r="T1181" s="79"/>
      <c r="U1181" s="79"/>
      <c r="V1181" s="79"/>
      <c r="W1181" s="79"/>
      <c r="X1181" s="79"/>
      <c r="Y1181" s="79"/>
      <c r="Z1181" s="79"/>
      <c r="AA1181" s="79"/>
    </row>
    <row r="1182" spans="1:27" x14ac:dyDescent="0.2">
      <c r="A1182" s="73"/>
      <c r="B1182" s="74"/>
      <c r="C1182" s="74"/>
      <c r="D1182" s="74"/>
      <c r="E1182" s="74"/>
      <c r="F1182" s="74"/>
      <c r="G1182" s="75"/>
      <c r="H1182" s="75"/>
      <c r="I1182" s="76"/>
      <c r="J1182" s="77"/>
      <c r="K1182" s="76"/>
      <c r="L1182" s="76"/>
      <c r="M1182" s="74"/>
      <c r="N1182" s="74"/>
      <c r="O1182" s="78"/>
      <c r="P1182" s="78"/>
      <c r="Q1182" s="78"/>
      <c r="R1182" s="78"/>
      <c r="S1182" s="79"/>
      <c r="T1182" s="79"/>
      <c r="U1182" s="79"/>
      <c r="V1182" s="79"/>
      <c r="W1182" s="79"/>
      <c r="X1182" s="79"/>
      <c r="Y1182" s="79"/>
      <c r="Z1182" s="79"/>
      <c r="AA1182" s="79"/>
    </row>
    <row r="1183" spans="1:27" x14ac:dyDescent="0.2">
      <c r="A1183" s="73"/>
      <c r="B1183" s="74"/>
      <c r="C1183" s="74"/>
      <c r="D1183" s="74"/>
      <c r="E1183" s="74"/>
      <c r="F1183" s="74"/>
      <c r="G1183" s="75"/>
      <c r="H1183" s="75"/>
      <c r="I1183" s="76"/>
      <c r="J1183" s="77"/>
      <c r="K1183" s="76"/>
      <c r="L1183" s="76"/>
      <c r="M1183" s="74"/>
      <c r="N1183" s="74"/>
      <c r="O1183" s="78"/>
      <c r="P1183" s="78"/>
      <c r="Q1183" s="78"/>
      <c r="R1183" s="78"/>
      <c r="S1183" s="79"/>
      <c r="T1183" s="79"/>
      <c r="U1183" s="79"/>
      <c r="V1183" s="79"/>
      <c r="W1183" s="79"/>
      <c r="X1183" s="79"/>
      <c r="Y1183" s="79"/>
      <c r="Z1183" s="79"/>
      <c r="AA1183" s="79"/>
    </row>
    <row r="1184" spans="1:27" x14ac:dyDescent="0.2">
      <c r="A1184" s="73"/>
      <c r="B1184" s="74"/>
      <c r="C1184" s="74"/>
      <c r="D1184" s="74"/>
      <c r="E1184" s="74"/>
      <c r="F1184" s="74"/>
      <c r="G1184" s="75"/>
      <c r="H1184" s="75"/>
      <c r="I1184" s="76"/>
      <c r="J1184" s="77"/>
      <c r="K1184" s="76"/>
      <c r="L1184" s="76"/>
      <c r="M1184" s="74"/>
      <c r="N1184" s="74"/>
      <c r="O1184" s="78"/>
      <c r="P1184" s="78"/>
      <c r="Q1184" s="78"/>
      <c r="R1184" s="78"/>
      <c r="S1184" s="79"/>
      <c r="T1184" s="79"/>
      <c r="U1184" s="79"/>
      <c r="V1184" s="79"/>
      <c r="W1184" s="79"/>
      <c r="X1184" s="79"/>
      <c r="Y1184" s="79"/>
      <c r="Z1184" s="79"/>
      <c r="AA1184" s="79"/>
    </row>
    <row r="1185" spans="1:27" x14ac:dyDescent="0.2">
      <c r="A1185" s="73"/>
      <c r="B1185" s="74"/>
      <c r="C1185" s="74"/>
      <c r="D1185" s="74"/>
      <c r="E1185" s="74"/>
      <c r="F1185" s="74"/>
      <c r="G1185" s="75"/>
      <c r="H1185" s="75"/>
      <c r="I1185" s="76"/>
      <c r="J1185" s="77"/>
      <c r="K1185" s="76"/>
      <c r="L1185" s="76"/>
      <c r="M1185" s="74"/>
      <c r="N1185" s="74"/>
      <c r="O1185" s="78"/>
      <c r="P1185" s="78"/>
      <c r="Q1185" s="78"/>
      <c r="R1185" s="78"/>
      <c r="S1185" s="79"/>
      <c r="T1185" s="79"/>
      <c r="U1185" s="79"/>
      <c r="V1185" s="79"/>
      <c r="W1185" s="79"/>
      <c r="X1185" s="79"/>
      <c r="Y1185" s="79"/>
      <c r="Z1185" s="79"/>
      <c r="AA1185" s="79"/>
    </row>
    <row r="1186" spans="1:27" x14ac:dyDescent="0.2">
      <c r="A1186" s="73"/>
      <c r="B1186" s="74"/>
      <c r="C1186" s="74"/>
      <c r="D1186" s="74"/>
      <c r="E1186" s="74"/>
      <c r="F1186" s="74"/>
      <c r="G1186" s="75"/>
      <c r="H1186" s="75"/>
      <c r="I1186" s="76"/>
      <c r="J1186" s="77"/>
      <c r="K1186" s="76"/>
      <c r="L1186" s="76"/>
      <c r="M1186" s="74"/>
      <c r="N1186" s="74"/>
      <c r="O1186" s="78"/>
      <c r="P1186" s="78"/>
      <c r="Q1186" s="78"/>
      <c r="R1186" s="78"/>
      <c r="S1186" s="79"/>
      <c r="T1186" s="79"/>
      <c r="U1186" s="79"/>
      <c r="V1186" s="79"/>
      <c r="W1186" s="79"/>
      <c r="X1186" s="79"/>
      <c r="Y1186" s="79"/>
      <c r="Z1186" s="79"/>
      <c r="AA1186" s="79"/>
    </row>
    <row r="1187" spans="1:27" x14ac:dyDescent="0.2">
      <c r="A1187" s="73"/>
      <c r="B1187" s="74"/>
      <c r="C1187" s="74"/>
      <c r="D1187" s="74"/>
      <c r="E1187" s="74"/>
      <c r="F1187" s="74"/>
      <c r="G1187" s="75"/>
      <c r="H1187" s="75"/>
      <c r="I1187" s="76"/>
      <c r="J1187" s="77"/>
      <c r="K1187" s="76"/>
      <c r="L1187" s="76"/>
      <c r="M1187" s="74"/>
      <c r="N1187" s="74"/>
      <c r="O1187" s="78"/>
      <c r="P1187" s="78"/>
      <c r="Q1187" s="78"/>
      <c r="R1187" s="78"/>
      <c r="S1187" s="79"/>
      <c r="T1187" s="79"/>
      <c r="U1187" s="79"/>
      <c r="V1187" s="79"/>
      <c r="W1187" s="79"/>
      <c r="X1187" s="79"/>
      <c r="Y1187" s="79"/>
      <c r="Z1187" s="79"/>
      <c r="AA1187" s="79"/>
    </row>
    <row r="1188" spans="1:27" x14ac:dyDescent="0.2">
      <c r="A1188" s="73"/>
      <c r="B1188" s="74"/>
      <c r="C1188" s="74"/>
      <c r="D1188" s="74"/>
      <c r="E1188" s="74"/>
      <c r="F1188" s="74"/>
      <c r="G1188" s="75"/>
      <c r="H1188" s="75"/>
      <c r="I1188" s="76"/>
      <c r="J1188" s="77"/>
      <c r="K1188" s="76"/>
      <c r="L1188" s="76"/>
      <c r="M1188" s="74"/>
      <c r="N1188" s="74"/>
      <c r="O1188" s="78"/>
      <c r="P1188" s="78"/>
      <c r="Q1188" s="78"/>
      <c r="R1188" s="78"/>
      <c r="S1188" s="79"/>
      <c r="T1188" s="79"/>
      <c r="U1188" s="79"/>
      <c r="V1188" s="79"/>
      <c r="W1188" s="79"/>
      <c r="X1188" s="79"/>
      <c r="Y1188" s="79"/>
      <c r="Z1188" s="79"/>
      <c r="AA1188" s="79"/>
    </row>
    <row r="1189" spans="1:27" x14ac:dyDescent="0.2">
      <c r="A1189" s="73"/>
      <c r="B1189" s="74"/>
      <c r="C1189" s="74"/>
      <c r="D1189" s="74"/>
      <c r="E1189" s="74"/>
      <c r="F1189" s="74"/>
      <c r="G1189" s="75"/>
      <c r="H1189" s="75"/>
      <c r="I1189" s="76"/>
      <c r="J1189" s="77"/>
      <c r="K1189" s="76"/>
      <c r="L1189" s="76"/>
      <c r="M1189" s="74"/>
      <c r="N1189" s="74"/>
      <c r="O1189" s="78"/>
      <c r="P1189" s="78"/>
      <c r="Q1189" s="78"/>
      <c r="R1189" s="78"/>
      <c r="S1189" s="79"/>
      <c r="T1189" s="79"/>
      <c r="U1189" s="79"/>
      <c r="V1189" s="79"/>
      <c r="W1189" s="79"/>
      <c r="X1189" s="79"/>
      <c r="Y1189" s="79"/>
      <c r="Z1189" s="79"/>
      <c r="AA1189" s="79"/>
    </row>
    <row r="1190" spans="1:27" x14ac:dyDescent="0.2">
      <c r="A1190" s="73"/>
      <c r="B1190" s="74"/>
      <c r="C1190" s="74"/>
      <c r="D1190" s="74"/>
      <c r="E1190" s="74"/>
      <c r="F1190" s="74"/>
      <c r="G1190" s="75"/>
      <c r="H1190" s="75"/>
      <c r="I1190" s="76"/>
      <c r="J1190" s="77"/>
      <c r="K1190" s="76"/>
      <c r="L1190" s="76"/>
      <c r="M1190" s="74"/>
      <c r="N1190" s="74"/>
      <c r="O1190" s="78"/>
      <c r="P1190" s="78"/>
      <c r="Q1190" s="78"/>
      <c r="R1190" s="78"/>
      <c r="S1190" s="79"/>
      <c r="T1190" s="79"/>
      <c r="U1190" s="79"/>
      <c r="V1190" s="79"/>
      <c r="W1190" s="79"/>
      <c r="X1190" s="79"/>
      <c r="Y1190" s="79"/>
      <c r="Z1190" s="79"/>
      <c r="AA1190" s="79"/>
    </row>
    <row r="1191" spans="1:27" x14ac:dyDescent="0.2">
      <c r="A1191" s="73"/>
      <c r="B1191" s="74"/>
      <c r="C1191" s="74"/>
      <c r="D1191" s="74"/>
      <c r="E1191" s="74"/>
      <c r="F1191" s="74"/>
      <c r="G1191" s="75"/>
      <c r="H1191" s="75"/>
      <c r="I1191" s="76"/>
      <c r="J1191" s="77"/>
      <c r="K1191" s="76"/>
      <c r="L1191" s="76"/>
      <c r="M1191" s="74"/>
      <c r="N1191" s="74"/>
      <c r="O1191" s="78"/>
      <c r="P1191" s="78"/>
      <c r="Q1191" s="78"/>
      <c r="R1191" s="78"/>
      <c r="S1191" s="79"/>
      <c r="T1191" s="79"/>
      <c r="U1191" s="79"/>
      <c r="V1191" s="79"/>
      <c r="W1191" s="79"/>
      <c r="X1191" s="79"/>
      <c r="Y1191" s="79"/>
      <c r="Z1191" s="79"/>
      <c r="AA1191" s="79"/>
    </row>
    <row r="1192" spans="1:27" x14ac:dyDescent="0.2">
      <c r="A1192" s="73"/>
      <c r="B1192" s="74"/>
      <c r="C1192" s="74"/>
      <c r="D1192" s="74"/>
      <c r="E1192" s="74"/>
      <c r="F1192" s="74"/>
      <c r="G1192" s="75"/>
      <c r="H1192" s="75"/>
      <c r="I1192" s="76"/>
      <c r="J1192" s="77"/>
      <c r="K1192" s="76"/>
      <c r="L1192" s="76"/>
      <c r="M1192" s="74"/>
      <c r="N1192" s="74"/>
      <c r="O1192" s="78"/>
      <c r="P1192" s="78"/>
      <c r="Q1192" s="78"/>
      <c r="R1192" s="78"/>
      <c r="S1192" s="79"/>
      <c r="T1192" s="79"/>
      <c r="U1192" s="79"/>
      <c r="V1192" s="79"/>
      <c r="W1192" s="79"/>
      <c r="X1192" s="79"/>
      <c r="Y1192" s="79"/>
      <c r="Z1192" s="79"/>
      <c r="AA1192" s="79"/>
    </row>
    <row r="1193" spans="1:27" x14ac:dyDescent="0.2">
      <c r="A1193" s="73"/>
      <c r="B1193" s="74"/>
      <c r="C1193" s="74"/>
      <c r="D1193" s="74"/>
      <c r="E1193" s="74"/>
      <c r="F1193" s="74"/>
      <c r="G1193" s="75"/>
      <c r="H1193" s="75"/>
      <c r="I1193" s="76"/>
      <c r="J1193" s="77"/>
      <c r="K1193" s="76"/>
      <c r="L1193" s="76"/>
      <c r="M1193" s="74"/>
      <c r="N1193" s="74"/>
      <c r="O1193" s="78"/>
      <c r="P1193" s="78"/>
      <c r="Q1193" s="78"/>
      <c r="R1193" s="78"/>
      <c r="S1193" s="79"/>
      <c r="T1193" s="79"/>
      <c r="U1193" s="79"/>
      <c r="V1193" s="79"/>
      <c r="W1193" s="79"/>
      <c r="X1193" s="79"/>
      <c r="Y1193" s="79"/>
      <c r="Z1193" s="79"/>
      <c r="AA1193" s="79"/>
    </row>
    <row r="1194" spans="1:27" x14ac:dyDescent="0.2">
      <c r="A1194" s="73"/>
      <c r="B1194" s="74"/>
      <c r="C1194" s="74"/>
      <c r="D1194" s="74"/>
      <c r="E1194" s="74"/>
      <c r="F1194" s="74"/>
      <c r="G1194" s="75"/>
      <c r="H1194" s="75"/>
      <c r="I1194" s="76"/>
      <c r="J1194" s="77"/>
      <c r="K1194" s="76"/>
      <c r="L1194" s="76"/>
      <c r="M1194" s="74"/>
      <c r="N1194" s="74"/>
      <c r="O1194" s="78"/>
      <c r="P1194" s="78"/>
      <c r="Q1194" s="78"/>
      <c r="R1194" s="78"/>
      <c r="S1194" s="79"/>
      <c r="T1194" s="79"/>
      <c r="U1194" s="79"/>
      <c r="V1194" s="79"/>
      <c r="W1194" s="79"/>
      <c r="X1194" s="79"/>
      <c r="Y1194" s="79"/>
      <c r="Z1194" s="79"/>
      <c r="AA1194" s="79"/>
    </row>
    <row r="1195" spans="1:27" x14ac:dyDescent="0.2">
      <c r="A1195" s="73"/>
      <c r="B1195" s="74"/>
      <c r="C1195" s="74"/>
      <c r="D1195" s="74"/>
      <c r="E1195" s="74"/>
      <c r="F1195" s="74"/>
      <c r="G1195" s="75"/>
      <c r="H1195" s="75"/>
      <c r="I1195" s="76"/>
      <c r="J1195" s="77"/>
      <c r="K1195" s="76"/>
      <c r="L1195" s="76"/>
      <c r="M1195" s="74"/>
      <c r="N1195" s="74"/>
      <c r="O1195" s="78"/>
      <c r="P1195" s="78"/>
      <c r="Q1195" s="78"/>
      <c r="R1195" s="78"/>
      <c r="S1195" s="79"/>
      <c r="T1195" s="79"/>
      <c r="U1195" s="79"/>
      <c r="V1195" s="79"/>
      <c r="W1195" s="79"/>
      <c r="X1195" s="79"/>
      <c r="Y1195" s="79"/>
      <c r="Z1195" s="79"/>
      <c r="AA1195" s="79"/>
    </row>
    <row r="1196" spans="1:27" x14ac:dyDescent="0.2">
      <c r="A1196" s="73"/>
      <c r="B1196" s="74"/>
      <c r="C1196" s="74"/>
      <c r="D1196" s="74"/>
      <c r="E1196" s="74"/>
      <c r="F1196" s="74"/>
      <c r="G1196" s="75"/>
      <c r="H1196" s="75"/>
      <c r="I1196" s="76"/>
      <c r="J1196" s="77"/>
      <c r="K1196" s="76"/>
      <c r="L1196" s="76"/>
      <c r="M1196" s="74"/>
      <c r="N1196" s="74"/>
      <c r="O1196" s="78"/>
      <c r="P1196" s="78"/>
      <c r="Q1196" s="78"/>
      <c r="R1196" s="78"/>
      <c r="S1196" s="79"/>
      <c r="T1196" s="79"/>
      <c r="U1196" s="79"/>
      <c r="V1196" s="79"/>
      <c r="W1196" s="79"/>
      <c r="X1196" s="79"/>
      <c r="Y1196" s="79"/>
      <c r="Z1196" s="79"/>
      <c r="AA1196" s="79"/>
    </row>
    <row r="1197" spans="1:27" x14ac:dyDescent="0.2">
      <c r="A1197" s="73"/>
      <c r="B1197" s="74"/>
      <c r="C1197" s="74"/>
      <c r="D1197" s="74"/>
      <c r="E1197" s="74"/>
      <c r="F1197" s="74"/>
      <c r="G1197" s="75"/>
      <c r="H1197" s="75"/>
      <c r="I1197" s="76"/>
      <c r="J1197" s="77"/>
      <c r="K1197" s="76"/>
      <c r="L1197" s="76"/>
      <c r="M1197" s="74"/>
      <c r="N1197" s="74"/>
      <c r="O1197" s="78"/>
      <c r="P1197" s="78"/>
      <c r="Q1197" s="78"/>
      <c r="R1197" s="78"/>
      <c r="S1197" s="79"/>
      <c r="T1197" s="79"/>
      <c r="U1197" s="79"/>
      <c r="V1197" s="79"/>
      <c r="W1197" s="79"/>
      <c r="X1197" s="79"/>
      <c r="Y1197" s="79"/>
      <c r="Z1197" s="79"/>
      <c r="AA1197" s="79"/>
    </row>
    <row r="1198" spans="1:27" x14ac:dyDescent="0.2">
      <c r="A1198" s="73"/>
      <c r="B1198" s="74"/>
      <c r="C1198" s="74"/>
      <c r="D1198" s="74"/>
      <c r="E1198" s="74"/>
      <c r="F1198" s="74"/>
      <c r="G1198" s="75"/>
      <c r="H1198" s="75"/>
      <c r="I1198" s="76"/>
      <c r="J1198" s="77"/>
      <c r="K1198" s="76"/>
      <c r="L1198" s="76"/>
      <c r="M1198" s="74"/>
      <c r="N1198" s="74"/>
      <c r="O1198" s="78"/>
      <c r="P1198" s="78"/>
      <c r="Q1198" s="78"/>
      <c r="R1198" s="78"/>
      <c r="S1198" s="79"/>
      <c r="T1198" s="79"/>
      <c r="U1198" s="79"/>
      <c r="V1198" s="79"/>
      <c r="W1198" s="79"/>
      <c r="X1198" s="79"/>
      <c r="Y1198" s="79"/>
      <c r="Z1198" s="79"/>
      <c r="AA1198" s="79"/>
    </row>
    <row r="1199" spans="1:27" x14ac:dyDescent="0.2">
      <c r="A1199" s="73"/>
      <c r="B1199" s="74"/>
      <c r="C1199" s="74"/>
      <c r="D1199" s="74"/>
      <c r="E1199" s="74"/>
      <c r="F1199" s="74"/>
      <c r="G1199" s="75"/>
      <c r="H1199" s="75"/>
      <c r="I1199" s="76"/>
      <c r="J1199" s="77"/>
      <c r="K1199" s="76"/>
      <c r="L1199" s="76"/>
      <c r="M1199" s="74"/>
      <c r="N1199" s="74"/>
      <c r="O1199" s="78"/>
      <c r="P1199" s="78"/>
      <c r="Q1199" s="78"/>
      <c r="R1199" s="78"/>
      <c r="S1199" s="79"/>
      <c r="T1199" s="79"/>
      <c r="U1199" s="79"/>
      <c r="V1199" s="79"/>
      <c r="W1199" s="79"/>
      <c r="X1199" s="79"/>
      <c r="Y1199" s="79"/>
      <c r="Z1199" s="79"/>
      <c r="AA1199" s="79"/>
    </row>
    <row r="1200" spans="1:27" x14ac:dyDescent="0.2">
      <c r="A1200" s="73"/>
      <c r="B1200" s="74"/>
      <c r="C1200" s="74"/>
      <c r="D1200" s="74"/>
      <c r="E1200" s="74"/>
      <c r="F1200" s="74"/>
      <c r="G1200" s="75"/>
      <c r="H1200" s="75"/>
      <c r="I1200" s="76"/>
      <c r="J1200" s="77"/>
      <c r="K1200" s="76"/>
      <c r="L1200" s="76"/>
      <c r="M1200" s="74"/>
      <c r="N1200" s="74"/>
      <c r="O1200" s="78"/>
      <c r="P1200" s="78"/>
      <c r="Q1200" s="78"/>
      <c r="R1200" s="78"/>
      <c r="S1200" s="79"/>
      <c r="T1200" s="79"/>
      <c r="U1200" s="79"/>
      <c r="V1200" s="79"/>
      <c r="W1200" s="79"/>
      <c r="X1200" s="79"/>
      <c r="Y1200" s="79"/>
      <c r="Z1200" s="79"/>
      <c r="AA1200" s="79"/>
    </row>
    <row r="1201" spans="1:27" x14ac:dyDescent="0.2">
      <c r="A1201" s="73"/>
      <c r="B1201" s="74"/>
      <c r="C1201" s="74"/>
      <c r="D1201" s="74"/>
      <c r="E1201" s="74"/>
      <c r="F1201" s="74"/>
      <c r="G1201" s="75"/>
      <c r="H1201" s="75"/>
      <c r="I1201" s="76"/>
      <c r="J1201" s="77"/>
      <c r="K1201" s="76"/>
      <c r="L1201" s="76"/>
      <c r="M1201" s="74"/>
      <c r="N1201" s="74"/>
      <c r="O1201" s="78"/>
      <c r="P1201" s="78"/>
      <c r="Q1201" s="78"/>
      <c r="R1201" s="78"/>
      <c r="S1201" s="79"/>
      <c r="T1201" s="79"/>
      <c r="U1201" s="79"/>
      <c r="V1201" s="79"/>
      <c r="W1201" s="79"/>
      <c r="X1201" s="79"/>
      <c r="Y1201" s="79"/>
      <c r="Z1201" s="79"/>
      <c r="AA1201" s="79"/>
    </row>
    <row r="1202" spans="1:27" x14ac:dyDescent="0.2">
      <c r="A1202" s="73"/>
      <c r="B1202" s="74"/>
      <c r="C1202" s="74"/>
      <c r="D1202" s="74"/>
      <c r="E1202" s="74"/>
      <c r="F1202" s="74"/>
      <c r="G1202" s="75"/>
      <c r="H1202" s="75"/>
      <c r="I1202" s="76"/>
      <c r="J1202" s="77"/>
      <c r="K1202" s="76"/>
      <c r="L1202" s="76"/>
      <c r="M1202" s="74"/>
      <c r="N1202" s="74"/>
      <c r="O1202" s="78"/>
      <c r="P1202" s="78"/>
      <c r="Q1202" s="78"/>
      <c r="R1202" s="78"/>
      <c r="S1202" s="79"/>
      <c r="T1202" s="79"/>
      <c r="U1202" s="79"/>
      <c r="V1202" s="79"/>
      <c r="W1202" s="79"/>
      <c r="X1202" s="79"/>
      <c r="Y1202" s="79"/>
      <c r="Z1202" s="79"/>
      <c r="AA1202" s="79"/>
    </row>
    <row r="1203" spans="1:27" x14ac:dyDescent="0.2">
      <c r="A1203" s="73"/>
      <c r="B1203" s="74"/>
      <c r="C1203" s="74"/>
      <c r="D1203" s="74"/>
      <c r="E1203" s="74"/>
      <c r="F1203" s="74"/>
      <c r="G1203" s="75"/>
      <c r="H1203" s="75"/>
      <c r="I1203" s="76"/>
      <c r="J1203" s="77"/>
      <c r="K1203" s="76"/>
      <c r="L1203" s="76"/>
      <c r="M1203" s="74"/>
      <c r="N1203" s="74"/>
      <c r="O1203" s="78"/>
      <c r="P1203" s="78"/>
      <c r="Q1203" s="78"/>
      <c r="R1203" s="78"/>
      <c r="S1203" s="79"/>
      <c r="T1203" s="79"/>
      <c r="U1203" s="79"/>
      <c r="V1203" s="79"/>
      <c r="W1203" s="79"/>
      <c r="X1203" s="79"/>
      <c r="Y1203" s="79"/>
      <c r="Z1203" s="79"/>
      <c r="AA1203" s="79"/>
    </row>
    <row r="1204" spans="1:27" x14ac:dyDescent="0.2">
      <c r="A1204" s="73"/>
      <c r="B1204" s="74"/>
      <c r="C1204" s="74"/>
      <c r="D1204" s="74"/>
      <c r="E1204" s="74"/>
      <c r="F1204" s="74"/>
      <c r="G1204" s="75"/>
      <c r="H1204" s="75"/>
      <c r="I1204" s="76"/>
      <c r="J1204" s="77"/>
      <c r="K1204" s="76"/>
      <c r="L1204" s="76"/>
      <c r="M1204" s="74"/>
      <c r="N1204" s="74"/>
      <c r="O1204" s="78"/>
      <c r="P1204" s="78"/>
      <c r="Q1204" s="78"/>
      <c r="R1204" s="78"/>
      <c r="S1204" s="79"/>
      <c r="T1204" s="79"/>
      <c r="U1204" s="79"/>
      <c r="V1204" s="79"/>
      <c r="W1204" s="79"/>
      <c r="X1204" s="79"/>
      <c r="Y1204" s="79"/>
      <c r="Z1204" s="79"/>
      <c r="AA1204" s="79"/>
    </row>
    <row r="1205" spans="1:27" x14ac:dyDescent="0.2">
      <c r="A1205" s="73"/>
      <c r="B1205" s="74"/>
      <c r="C1205" s="74"/>
      <c r="D1205" s="74"/>
      <c r="E1205" s="74"/>
      <c r="F1205" s="74"/>
      <c r="G1205" s="75"/>
      <c r="H1205" s="75"/>
      <c r="I1205" s="76"/>
      <c r="J1205" s="77"/>
      <c r="K1205" s="76"/>
      <c r="L1205" s="76"/>
      <c r="M1205" s="74"/>
      <c r="N1205" s="74"/>
      <c r="O1205" s="78"/>
      <c r="P1205" s="78"/>
      <c r="Q1205" s="78"/>
      <c r="R1205" s="78"/>
      <c r="S1205" s="79"/>
      <c r="T1205" s="79"/>
      <c r="U1205" s="79"/>
      <c r="V1205" s="79"/>
      <c r="W1205" s="79"/>
      <c r="X1205" s="79"/>
      <c r="Y1205" s="79"/>
      <c r="Z1205" s="79"/>
      <c r="AA1205" s="79"/>
    </row>
    <row r="1206" spans="1:27" x14ac:dyDescent="0.2">
      <c r="A1206" s="73"/>
      <c r="B1206" s="74"/>
      <c r="C1206" s="74"/>
      <c r="D1206" s="74"/>
      <c r="E1206" s="74"/>
      <c r="F1206" s="74"/>
      <c r="G1206" s="75"/>
      <c r="H1206" s="75"/>
      <c r="I1206" s="76"/>
      <c r="J1206" s="77"/>
      <c r="K1206" s="76"/>
      <c r="L1206" s="76"/>
      <c r="M1206" s="74"/>
      <c r="N1206" s="74"/>
      <c r="O1206" s="78"/>
      <c r="P1206" s="78"/>
      <c r="Q1206" s="78"/>
      <c r="R1206" s="78"/>
      <c r="S1206" s="79"/>
      <c r="T1206" s="79"/>
      <c r="U1206" s="79"/>
      <c r="V1206" s="79"/>
      <c r="W1206" s="79"/>
      <c r="X1206" s="79"/>
      <c r="Y1206" s="79"/>
      <c r="Z1206" s="79"/>
      <c r="AA1206" s="79"/>
    </row>
    <row r="1207" spans="1:27" x14ac:dyDescent="0.2">
      <c r="A1207" s="73"/>
      <c r="B1207" s="74"/>
      <c r="C1207" s="74"/>
      <c r="D1207" s="74"/>
      <c r="E1207" s="74"/>
      <c r="F1207" s="74"/>
      <c r="G1207" s="75"/>
      <c r="H1207" s="75"/>
      <c r="I1207" s="76"/>
      <c r="J1207" s="77"/>
      <c r="K1207" s="76"/>
      <c r="L1207" s="76"/>
      <c r="M1207" s="74"/>
      <c r="N1207" s="74"/>
      <c r="O1207" s="78"/>
      <c r="P1207" s="78"/>
      <c r="Q1207" s="78"/>
      <c r="R1207" s="78"/>
      <c r="S1207" s="79"/>
      <c r="T1207" s="79"/>
      <c r="U1207" s="79"/>
      <c r="V1207" s="79"/>
      <c r="W1207" s="79"/>
      <c r="X1207" s="79"/>
      <c r="Y1207" s="79"/>
      <c r="Z1207" s="79"/>
      <c r="AA1207" s="79"/>
    </row>
    <row r="1208" spans="1:27" x14ac:dyDescent="0.2">
      <c r="A1208" s="73"/>
      <c r="B1208" s="74"/>
      <c r="C1208" s="74"/>
      <c r="D1208" s="74"/>
      <c r="E1208" s="74"/>
      <c r="F1208" s="74"/>
      <c r="G1208" s="75"/>
      <c r="H1208" s="75"/>
      <c r="I1208" s="76"/>
      <c r="J1208" s="77"/>
      <c r="K1208" s="76"/>
      <c r="L1208" s="76"/>
      <c r="M1208" s="74"/>
      <c r="N1208" s="74"/>
      <c r="O1208" s="78"/>
      <c r="P1208" s="78"/>
      <c r="Q1208" s="78"/>
      <c r="R1208" s="78"/>
      <c r="S1208" s="79"/>
      <c r="T1208" s="79"/>
      <c r="U1208" s="79"/>
      <c r="V1208" s="79"/>
      <c r="W1208" s="79"/>
      <c r="X1208" s="79"/>
      <c r="Y1208" s="79"/>
      <c r="Z1208" s="79"/>
      <c r="AA1208" s="79"/>
    </row>
    <row r="1209" spans="1:27" x14ac:dyDescent="0.2">
      <c r="A1209" s="73"/>
      <c r="B1209" s="74"/>
      <c r="C1209" s="74"/>
      <c r="D1209" s="74"/>
      <c r="E1209" s="74"/>
      <c r="F1209" s="74"/>
      <c r="G1209" s="75"/>
      <c r="H1209" s="75"/>
      <c r="I1209" s="76"/>
      <c r="J1209" s="77"/>
      <c r="K1209" s="76"/>
      <c r="L1209" s="76"/>
      <c r="M1209" s="74"/>
      <c r="N1209" s="74"/>
      <c r="O1209" s="78"/>
      <c r="P1209" s="78"/>
      <c r="Q1209" s="78"/>
      <c r="R1209" s="78"/>
      <c r="S1209" s="79"/>
      <c r="T1209" s="79"/>
      <c r="U1209" s="79"/>
      <c r="V1209" s="79"/>
      <c r="W1209" s="79"/>
      <c r="X1209" s="79"/>
      <c r="Y1209" s="79"/>
      <c r="Z1209" s="79"/>
      <c r="AA1209" s="79"/>
    </row>
    <row r="1210" spans="1:27" x14ac:dyDescent="0.2">
      <c r="A1210" s="73"/>
      <c r="B1210" s="74"/>
      <c r="C1210" s="74"/>
      <c r="D1210" s="74"/>
      <c r="E1210" s="74"/>
      <c r="F1210" s="74"/>
      <c r="G1210" s="75"/>
      <c r="H1210" s="75"/>
      <c r="I1210" s="76"/>
      <c r="J1210" s="77"/>
      <c r="K1210" s="76"/>
      <c r="L1210" s="76"/>
      <c r="M1210" s="74"/>
      <c r="N1210" s="74"/>
      <c r="O1210" s="78"/>
      <c r="P1210" s="78"/>
      <c r="Q1210" s="78"/>
      <c r="R1210" s="78"/>
      <c r="S1210" s="79"/>
      <c r="T1210" s="79"/>
      <c r="U1210" s="79"/>
      <c r="V1210" s="79"/>
      <c r="W1210" s="79"/>
      <c r="X1210" s="79"/>
      <c r="Y1210" s="79"/>
      <c r="Z1210" s="79"/>
      <c r="AA1210" s="79"/>
    </row>
    <row r="1211" spans="1:27" x14ac:dyDescent="0.2">
      <c r="A1211" s="73"/>
      <c r="B1211" s="74"/>
      <c r="C1211" s="74"/>
      <c r="D1211" s="74"/>
      <c r="E1211" s="74"/>
      <c r="F1211" s="74"/>
      <c r="G1211" s="75"/>
      <c r="H1211" s="75"/>
      <c r="I1211" s="76"/>
      <c r="J1211" s="77"/>
      <c r="K1211" s="76"/>
      <c r="L1211" s="76"/>
      <c r="M1211" s="74"/>
      <c r="N1211" s="74"/>
      <c r="O1211" s="78"/>
      <c r="P1211" s="78"/>
      <c r="Q1211" s="78"/>
      <c r="R1211" s="78"/>
      <c r="S1211" s="79"/>
      <c r="T1211" s="79"/>
      <c r="U1211" s="79"/>
      <c r="V1211" s="79"/>
      <c r="W1211" s="79"/>
      <c r="X1211" s="79"/>
      <c r="Y1211" s="79"/>
      <c r="Z1211" s="79"/>
      <c r="AA1211" s="79"/>
    </row>
    <row r="1212" spans="1:27" x14ac:dyDescent="0.2">
      <c r="A1212" s="73"/>
      <c r="B1212" s="74"/>
      <c r="C1212" s="74"/>
      <c r="D1212" s="74"/>
      <c r="E1212" s="74"/>
      <c r="F1212" s="74"/>
      <c r="G1212" s="75"/>
      <c r="H1212" s="75"/>
      <c r="I1212" s="76"/>
      <c r="J1212" s="77"/>
      <c r="K1212" s="76"/>
      <c r="L1212" s="76"/>
      <c r="M1212" s="74"/>
      <c r="N1212" s="74"/>
      <c r="O1212" s="78"/>
      <c r="P1212" s="78"/>
      <c r="Q1212" s="78"/>
      <c r="R1212" s="78"/>
      <c r="S1212" s="79"/>
      <c r="T1212" s="79"/>
      <c r="U1212" s="79"/>
      <c r="V1212" s="79"/>
      <c r="W1212" s="79"/>
      <c r="X1212" s="79"/>
      <c r="Y1212" s="79"/>
      <c r="Z1212" s="79"/>
      <c r="AA1212" s="79"/>
    </row>
    <row r="1213" spans="1:27" x14ac:dyDescent="0.2">
      <c r="A1213" s="73"/>
      <c r="B1213" s="74"/>
      <c r="C1213" s="74"/>
      <c r="D1213" s="74"/>
      <c r="E1213" s="74"/>
      <c r="F1213" s="74"/>
      <c r="G1213" s="75"/>
      <c r="H1213" s="75"/>
      <c r="I1213" s="76"/>
      <c r="J1213" s="77"/>
      <c r="K1213" s="76"/>
      <c r="L1213" s="76"/>
      <c r="M1213" s="74"/>
      <c r="N1213" s="74"/>
      <c r="O1213" s="78"/>
      <c r="P1213" s="78"/>
      <c r="Q1213" s="78"/>
      <c r="R1213" s="78"/>
      <c r="S1213" s="79"/>
      <c r="T1213" s="79"/>
      <c r="U1213" s="79"/>
      <c r="V1213" s="79"/>
      <c r="W1213" s="79"/>
      <c r="X1213" s="79"/>
      <c r="Y1213" s="79"/>
      <c r="Z1213" s="79"/>
      <c r="AA1213" s="79"/>
    </row>
    <row r="1214" spans="1:27" x14ac:dyDescent="0.2">
      <c r="A1214" s="73"/>
      <c r="B1214" s="74"/>
      <c r="C1214" s="74"/>
      <c r="D1214" s="74"/>
      <c r="E1214" s="74"/>
      <c r="F1214" s="74"/>
      <c r="G1214" s="75"/>
      <c r="H1214" s="75"/>
      <c r="I1214" s="76"/>
      <c r="J1214" s="77"/>
      <c r="K1214" s="76"/>
      <c r="L1214" s="76"/>
      <c r="M1214" s="74"/>
      <c r="N1214" s="74"/>
      <c r="O1214" s="78"/>
      <c r="P1214" s="78"/>
      <c r="Q1214" s="78"/>
      <c r="R1214" s="78"/>
      <c r="S1214" s="79"/>
      <c r="T1214" s="79"/>
      <c r="U1214" s="79"/>
      <c r="V1214" s="79"/>
      <c r="W1214" s="79"/>
      <c r="X1214" s="79"/>
      <c r="Y1214" s="79"/>
      <c r="Z1214" s="79"/>
      <c r="AA1214" s="79"/>
    </row>
    <row r="1215" spans="1:27" x14ac:dyDescent="0.2">
      <c r="A1215" s="73"/>
      <c r="B1215" s="74"/>
      <c r="C1215" s="74"/>
      <c r="D1215" s="74"/>
      <c r="E1215" s="74"/>
      <c r="F1215" s="74"/>
      <c r="G1215" s="75"/>
      <c r="H1215" s="75"/>
      <c r="I1215" s="76"/>
      <c r="J1215" s="77"/>
      <c r="K1215" s="76"/>
      <c r="L1215" s="76"/>
      <c r="M1215" s="74"/>
      <c r="N1215" s="74"/>
      <c r="O1215" s="78"/>
      <c r="P1215" s="78"/>
      <c r="Q1215" s="78"/>
      <c r="R1215" s="78"/>
      <c r="S1215" s="79"/>
      <c r="T1215" s="79"/>
      <c r="U1215" s="79"/>
      <c r="V1215" s="79"/>
      <c r="W1215" s="79"/>
      <c r="X1215" s="79"/>
      <c r="Y1215" s="79"/>
      <c r="Z1215" s="79"/>
      <c r="AA1215" s="79"/>
    </row>
    <row r="1216" spans="1:27" x14ac:dyDescent="0.2">
      <c r="A1216" s="73"/>
      <c r="B1216" s="74"/>
      <c r="C1216" s="74"/>
      <c r="D1216" s="74"/>
      <c r="E1216" s="74"/>
      <c r="F1216" s="74"/>
      <c r="G1216" s="75"/>
      <c r="H1216" s="75"/>
      <c r="I1216" s="76"/>
      <c r="J1216" s="77"/>
      <c r="K1216" s="76"/>
      <c r="L1216" s="76"/>
      <c r="M1216" s="74"/>
      <c r="N1216" s="74"/>
      <c r="O1216" s="78"/>
      <c r="P1216" s="78"/>
      <c r="Q1216" s="78"/>
      <c r="R1216" s="78"/>
      <c r="S1216" s="79"/>
      <c r="T1216" s="79"/>
      <c r="U1216" s="79"/>
      <c r="V1216" s="79"/>
      <c r="W1216" s="79"/>
      <c r="X1216" s="79"/>
      <c r="Y1216" s="79"/>
      <c r="Z1216" s="79"/>
      <c r="AA1216" s="79"/>
    </row>
    <row r="1217" spans="1:27" x14ac:dyDescent="0.2">
      <c r="A1217" s="73"/>
      <c r="B1217" s="74"/>
      <c r="C1217" s="74"/>
      <c r="D1217" s="74"/>
      <c r="E1217" s="74"/>
      <c r="F1217" s="74"/>
      <c r="G1217" s="75"/>
      <c r="H1217" s="75"/>
      <c r="I1217" s="76"/>
      <c r="J1217" s="77"/>
      <c r="K1217" s="76"/>
      <c r="L1217" s="76"/>
      <c r="M1217" s="74"/>
      <c r="N1217" s="74"/>
      <c r="O1217" s="78"/>
      <c r="P1217" s="78"/>
      <c r="Q1217" s="78"/>
      <c r="R1217" s="78"/>
      <c r="S1217" s="79"/>
      <c r="T1217" s="79"/>
      <c r="U1217" s="79"/>
      <c r="V1217" s="79"/>
      <c r="W1217" s="79"/>
      <c r="X1217" s="79"/>
      <c r="Y1217" s="79"/>
      <c r="Z1217" s="79"/>
      <c r="AA1217" s="79"/>
    </row>
    <row r="1218" spans="1:27" x14ac:dyDescent="0.2">
      <c r="A1218" s="73"/>
      <c r="B1218" s="74"/>
      <c r="C1218" s="74"/>
      <c r="D1218" s="74"/>
      <c r="E1218" s="74"/>
      <c r="F1218" s="74"/>
      <c r="G1218" s="75"/>
      <c r="H1218" s="75"/>
      <c r="I1218" s="76"/>
      <c r="J1218" s="77"/>
      <c r="K1218" s="76"/>
      <c r="L1218" s="76"/>
      <c r="M1218" s="74"/>
      <c r="N1218" s="74"/>
      <c r="O1218" s="78"/>
      <c r="P1218" s="78"/>
      <c r="Q1218" s="78"/>
      <c r="R1218" s="78"/>
      <c r="S1218" s="79"/>
      <c r="T1218" s="79"/>
      <c r="U1218" s="79"/>
      <c r="V1218" s="79"/>
      <c r="W1218" s="79"/>
      <c r="X1218" s="79"/>
      <c r="Y1218" s="79"/>
      <c r="Z1218" s="79"/>
      <c r="AA1218" s="79"/>
    </row>
    <row r="1219" spans="1:27" x14ac:dyDescent="0.2">
      <c r="A1219" s="73"/>
      <c r="B1219" s="74"/>
      <c r="C1219" s="74"/>
      <c r="D1219" s="74"/>
      <c r="E1219" s="74"/>
      <c r="F1219" s="74"/>
      <c r="G1219" s="75"/>
      <c r="H1219" s="75"/>
      <c r="I1219" s="76"/>
      <c r="J1219" s="77"/>
      <c r="K1219" s="76"/>
      <c r="L1219" s="76"/>
      <c r="M1219" s="74"/>
      <c r="N1219" s="74"/>
      <c r="O1219" s="78"/>
      <c r="P1219" s="78"/>
      <c r="Q1219" s="78"/>
      <c r="R1219" s="78"/>
      <c r="S1219" s="79"/>
      <c r="T1219" s="79"/>
      <c r="U1219" s="79"/>
      <c r="V1219" s="79"/>
      <c r="W1219" s="79"/>
      <c r="X1219" s="79"/>
      <c r="Y1219" s="79"/>
      <c r="Z1219" s="79"/>
      <c r="AA1219" s="79"/>
    </row>
    <row r="1220" spans="1:27" x14ac:dyDescent="0.2">
      <c r="A1220" s="73"/>
      <c r="B1220" s="74"/>
      <c r="C1220" s="74"/>
      <c r="D1220" s="74"/>
      <c r="E1220" s="74"/>
      <c r="F1220" s="74"/>
      <c r="G1220" s="75"/>
      <c r="H1220" s="75"/>
      <c r="I1220" s="76"/>
      <c r="J1220" s="77"/>
      <c r="K1220" s="76"/>
      <c r="L1220" s="76"/>
      <c r="M1220" s="74"/>
      <c r="N1220" s="74"/>
      <c r="O1220" s="78"/>
      <c r="P1220" s="78"/>
      <c r="Q1220" s="78"/>
      <c r="R1220" s="78"/>
      <c r="S1220" s="79"/>
      <c r="T1220" s="79"/>
      <c r="U1220" s="79"/>
      <c r="V1220" s="79"/>
      <c r="W1220" s="79"/>
      <c r="X1220" s="79"/>
      <c r="Y1220" s="79"/>
      <c r="Z1220" s="79"/>
      <c r="AA1220" s="79"/>
    </row>
    <row r="1221" spans="1:27" x14ac:dyDescent="0.2">
      <c r="A1221" s="73"/>
      <c r="B1221" s="74"/>
      <c r="C1221" s="74"/>
      <c r="D1221" s="74"/>
      <c r="E1221" s="74"/>
      <c r="F1221" s="74"/>
      <c r="G1221" s="75"/>
      <c r="H1221" s="75"/>
      <c r="I1221" s="76"/>
      <c r="J1221" s="77"/>
      <c r="K1221" s="76"/>
      <c r="L1221" s="76"/>
      <c r="M1221" s="74"/>
      <c r="N1221" s="74"/>
      <c r="O1221" s="78"/>
      <c r="P1221" s="78"/>
      <c r="Q1221" s="78"/>
      <c r="R1221" s="78"/>
      <c r="S1221" s="79"/>
      <c r="T1221" s="79"/>
      <c r="U1221" s="79"/>
      <c r="V1221" s="79"/>
      <c r="W1221" s="79"/>
      <c r="X1221" s="79"/>
      <c r="Y1221" s="79"/>
      <c r="Z1221" s="79"/>
      <c r="AA1221" s="79"/>
    </row>
    <row r="1222" spans="1:27" x14ac:dyDescent="0.2">
      <c r="A1222" s="73"/>
      <c r="B1222" s="74"/>
      <c r="C1222" s="74"/>
      <c r="D1222" s="74"/>
      <c r="E1222" s="74"/>
      <c r="F1222" s="74"/>
      <c r="G1222" s="75"/>
      <c r="H1222" s="75"/>
      <c r="I1222" s="76"/>
      <c r="J1222" s="77"/>
      <c r="K1222" s="76"/>
      <c r="L1222" s="76"/>
      <c r="M1222" s="74"/>
      <c r="N1222" s="74"/>
      <c r="O1222" s="78"/>
      <c r="P1222" s="78"/>
      <c r="Q1222" s="78"/>
      <c r="R1222" s="78"/>
      <c r="S1222" s="79"/>
      <c r="T1222" s="79"/>
      <c r="U1222" s="79"/>
      <c r="V1222" s="79"/>
      <c r="W1222" s="79"/>
      <c r="X1222" s="79"/>
      <c r="Y1222" s="79"/>
      <c r="Z1222" s="79"/>
      <c r="AA1222" s="79"/>
    </row>
    <row r="1223" spans="1:27" x14ac:dyDescent="0.2">
      <c r="A1223" s="73"/>
      <c r="B1223" s="74"/>
      <c r="C1223" s="74"/>
      <c r="D1223" s="74"/>
      <c r="E1223" s="74"/>
      <c r="F1223" s="74"/>
      <c r="G1223" s="75"/>
      <c r="H1223" s="75"/>
      <c r="I1223" s="76"/>
      <c r="J1223" s="77"/>
      <c r="K1223" s="76"/>
      <c r="L1223" s="76"/>
      <c r="M1223" s="74"/>
      <c r="N1223" s="74"/>
      <c r="O1223" s="78"/>
      <c r="P1223" s="78"/>
      <c r="Q1223" s="78"/>
      <c r="R1223" s="78"/>
      <c r="S1223" s="79"/>
      <c r="T1223" s="79"/>
      <c r="U1223" s="79"/>
      <c r="V1223" s="79"/>
      <c r="W1223" s="79"/>
      <c r="X1223" s="79"/>
      <c r="Y1223" s="79"/>
      <c r="Z1223" s="79"/>
      <c r="AA1223" s="79"/>
    </row>
    <row r="1224" spans="1:27" x14ac:dyDescent="0.2">
      <c r="A1224" s="73"/>
      <c r="B1224" s="74"/>
      <c r="C1224" s="74"/>
      <c r="D1224" s="74"/>
      <c r="E1224" s="74"/>
      <c r="F1224" s="74"/>
      <c r="G1224" s="75"/>
      <c r="H1224" s="75"/>
      <c r="I1224" s="76"/>
      <c r="J1224" s="77"/>
      <c r="K1224" s="76"/>
      <c r="L1224" s="76"/>
      <c r="M1224" s="74"/>
      <c r="N1224" s="74"/>
      <c r="O1224" s="78"/>
      <c r="P1224" s="78"/>
      <c r="Q1224" s="78"/>
      <c r="R1224" s="78"/>
      <c r="S1224" s="79"/>
      <c r="T1224" s="79"/>
      <c r="U1224" s="79"/>
      <c r="V1224" s="79"/>
      <c r="W1224" s="79"/>
      <c r="X1224" s="79"/>
      <c r="Y1224" s="79"/>
      <c r="Z1224" s="79"/>
      <c r="AA1224" s="79"/>
    </row>
    <row r="1225" spans="1:27" x14ac:dyDescent="0.2">
      <c r="A1225" s="73"/>
      <c r="B1225" s="74"/>
      <c r="C1225" s="74"/>
      <c r="D1225" s="74"/>
      <c r="E1225" s="74"/>
      <c r="F1225" s="74"/>
      <c r="G1225" s="75"/>
      <c r="H1225" s="75"/>
      <c r="I1225" s="76"/>
      <c r="J1225" s="77"/>
      <c r="K1225" s="76"/>
      <c r="L1225" s="76"/>
      <c r="M1225" s="74"/>
      <c r="N1225" s="74"/>
      <c r="O1225" s="78"/>
      <c r="P1225" s="78"/>
      <c r="Q1225" s="78"/>
      <c r="R1225" s="78"/>
      <c r="S1225" s="79"/>
      <c r="T1225" s="79"/>
      <c r="U1225" s="79"/>
      <c r="V1225" s="79"/>
      <c r="W1225" s="79"/>
      <c r="X1225" s="79"/>
      <c r="Y1225" s="79"/>
      <c r="Z1225" s="79"/>
      <c r="AA1225" s="79"/>
    </row>
    <row r="1226" spans="1:27" x14ac:dyDescent="0.2">
      <c r="A1226" s="73"/>
      <c r="B1226" s="74"/>
      <c r="C1226" s="74"/>
      <c r="D1226" s="74"/>
      <c r="E1226" s="74"/>
      <c r="F1226" s="74"/>
      <c r="G1226" s="75"/>
      <c r="H1226" s="75"/>
      <c r="I1226" s="76"/>
      <c r="J1226" s="77"/>
      <c r="K1226" s="76"/>
      <c r="L1226" s="76"/>
      <c r="M1226" s="74"/>
      <c r="N1226" s="74"/>
      <c r="O1226" s="78"/>
      <c r="P1226" s="78"/>
      <c r="Q1226" s="78"/>
      <c r="R1226" s="78"/>
      <c r="S1226" s="79"/>
      <c r="T1226" s="79"/>
      <c r="U1226" s="79"/>
      <c r="V1226" s="79"/>
      <c r="W1226" s="79"/>
      <c r="X1226" s="79"/>
      <c r="Y1226" s="79"/>
      <c r="Z1226" s="79"/>
      <c r="AA1226" s="79"/>
    </row>
    <row r="1227" spans="1:27" x14ac:dyDescent="0.2">
      <c r="A1227" s="73"/>
      <c r="B1227" s="74"/>
      <c r="C1227" s="74"/>
      <c r="D1227" s="74"/>
      <c r="E1227" s="74"/>
      <c r="F1227" s="74"/>
      <c r="G1227" s="75"/>
      <c r="H1227" s="75"/>
      <c r="I1227" s="76"/>
      <c r="J1227" s="77"/>
      <c r="K1227" s="76"/>
      <c r="L1227" s="76"/>
      <c r="M1227" s="74"/>
      <c r="N1227" s="74"/>
      <c r="O1227" s="78"/>
      <c r="P1227" s="78"/>
      <c r="Q1227" s="78"/>
      <c r="R1227" s="78"/>
      <c r="S1227" s="79"/>
      <c r="T1227" s="79"/>
      <c r="U1227" s="79"/>
      <c r="V1227" s="79"/>
      <c r="W1227" s="79"/>
      <c r="X1227" s="79"/>
      <c r="Y1227" s="79"/>
      <c r="Z1227" s="79"/>
      <c r="AA1227" s="79"/>
    </row>
    <row r="1228" spans="1:27" x14ac:dyDescent="0.2">
      <c r="A1228" s="73"/>
      <c r="B1228" s="74"/>
      <c r="C1228" s="74"/>
      <c r="D1228" s="74"/>
      <c r="E1228" s="74"/>
      <c r="F1228" s="74"/>
      <c r="G1228" s="75"/>
      <c r="H1228" s="75"/>
      <c r="I1228" s="76"/>
      <c r="J1228" s="77"/>
      <c r="K1228" s="76"/>
      <c r="L1228" s="76"/>
      <c r="M1228" s="74"/>
      <c r="N1228" s="74"/>
      <c r="O1228" s="78"/>
      <c r="P1228" s="78"/>
      <c r="Q1228" s="78"/>
      <c r="R1228" s="78"/>
      <c r="S1228" s="79"/>
      <c r="T1228" s="79"/>
      <c r="U1228" s="79"/>
      <c r="V1228" s="79"/>
      <c r="W1228" s="79"/>
      <c r="X1228" s="79"/>
      <c r="Y1228" s="79"/>
      <c r="Z1228" s="79"/>
      <c r="AA1228" s="79"/>
    </row>
    <row r="1229" spans="1:27" x14ac:dyDescent="0.2">
      <c r="A1229" s="73"/>
      <c r="B1229" s="74"/>
      <c r="C1229" s="74"/>
      <c r="D1229" s="74"/>
      <c r="E1229" s="74"/>
      <c r="F1229" s="74"/>
      <c r="G1229" s="75"/>
      <c r="H1229" s="75"/>
      <c r="I1229" s="76"/>
      <c r="J1229" s="77"/>
      <c r="K1229" s="76"/>
      <c r="L1229" s="76"/>
      <c r="M1229" s="74"/>
      <c r="N1229" s="74"/>
      <c r="O1229" s="78"/>
      <c r="P1229" s="78"/>
      <c r="Q1229" s="78"/>
      <c r="R1229" s="78"/>
      <c r="S1229" s="79"/>
      <c r="T1229" s="79"/>
      <c r="U1229" s="79"/>
      <c r="V1229" s="79"/>
      <c r="W1229" s="79"/>
      <c r="X1229" s="79"/>
      <c r="Y1229" s="79"/>
      <c r="Z1229" s="79"/>
      <c r="AA1229" s="79"/>
    </row>
    <row r="1230" spans="1:27" x14ac:dyDescent="0.2">
      <c r="A1230" s="73"/>
      <c r="B1230" s="74"/>
      <c r="C1230" s="74"/>
      <c r="D1230" s="74"/>
      <c r="E1230" s="74"/>
      <c r="F1230" s="74"/>
      <c r="G1230" s="75"/>
      <c r="H1230" s="75"/>
      <c r="I1230" s="76"/>
      <c r="J1230" s="77"/>
      <c r="K1230" s="76"/>
      <c r="L1230" s="76"/>
      <c r="M1230" s="74"/>
      <c r="N1230" s="74"/>
      <c r="O1230" s="78"/>
      <c r="P1230" s="78"/>
      <c r="Q1230" s="78"/>
      <c r="R1230" s="78"/>
      <c r="S1230" s="79"/>
      <c r="T1230" s="79"/>
      <c r="U1230" s="79"/>
      <c r="V1230" s="79"/>
      <c r="W1230" s="79"/>
      <c r="X1230" s="79"/>
      <c r="Y1230" s="79"/>
      <c r="Z1230" s="79"/>
      <c r="AA1230" s="79"/>
    </row>
    <row r="1231" spans="1:27" x14ac:dyDescent="0.2">
      <c r="A1231" s="73"/>
      <c r="B1231" s="74"/>
      <c r="C1231" s="74"/>
      <c r="D1231" s="74"/>
      <c r="E1231" s="74"/>
      <c r="F1231" s="74"/>
      <c r="G1231" s="75"/>
      <c r="H1231" s="75"/>
      <c r="I1231" s="76"/>
      <c r="J1231" s="77"/>
      <c r="K1231" s="76"/>
      <c r="L1231" s="76"/>
      <c r="M1231" s="74"/>
      <c r="N1231" s="74"/>
      <c r="O1231" s="78"/>
      <c r="P1231" s="78"/>
      <c r="Q1231" s="78"/>
      <c r="R1231" s="78"/>
      <c r="S1231" s="79"/>
      <c r="T1231" s="79"/>
      <c r="U1231" s="79"/>
      <c r="V1231" s="79"/>
      <c r="W1231" s="79"/>
      <c r="X1231" s="79"/>
      <c r="Y1231" s="79"/>
      <c r="Z1231" s="79"/>
      <c r="AA1231" s="79"/>
    </row>
    <row r="1232" spans="1:27" x14ac:dyDescent="0.2">
      <c r="A1232" s="73"/>
      <c r="B1232" s="74"/>
      <c r="C1232" s="74"/>
      <c r="D1232" s="74"/>
      <c r="E1232" s="74"/>
      <c r="F1232" s="74"/>
      <c r="G1232" s="75"/>
      <c r="H1232" s="75"/>
      <c r="I1232" s="76"/>
      <c r="J1232" s="77"/>
      <c r="K1232" s="76"/>
      <c r="L1232" s="76"/>
      <c r="M1232" s="74"/>
      <c r="N1232" s="74"/>
      <c r="O1232" s="78"/>
      <c r="P1232" s="78"/>
      <c r="Q1232" s="78"/>
      <c r="R1232" s="78"/>
      <c r="S1232" s="79"/>
      <c r="T1232" s="79"/>
      <c r="U1232" s="79"/>
      <c r="V1232" s="79"/>
      <c r="W1232" s="79"/>
      <c r="X1232" s="79"/>
      <c r="Y1232" s="79"/>
      <c r="Z1232" s="79"/>
      <c r="AA1232" s="79"/>
    </row>
    <row r="1233" spans="1:27" x14ac:dyDescent="0.2">
      <c r="A1233" s="73"/>
      <c r="B1233" s="74"/>
      <c r="C1233" s="74"/>
      <c r="D1233" s="74"/>
      <c r="E1233" s="74"/>
      <c r="F1233" s="74"/>
      <c r="G1233" s="75"/>
      <c r="H1233" s="75"/>
      <c r="I1233" s="76"/>
      <c r="J1233" s="77"/>
      <c r="K1233" s="76"/>
      <c r="L1233" s="76"/>
      <c r="M1233" s="74"/>
      <c r="N1233" s="74"/>
      <c r="O1233" s="78"/>
      <c r="P1233" s="78"/>
      <c r="Q1233" s="78"/>
      <c r="R1233" s="78"/>
      <c r="S1233" s="79"/>
      <c r="T1233" s="79"/>
      <c r="U1233" s="79"/>
      <c r="V1233" s="79"/>
      <c r="W1233" s="79"/>
      <c r="X1233" s="79"/>
      <c r="Y1233" s="79"/>
      <c r="Z1233" s="79"/>
      <c r="AA1233" s="79"/>
    </row>
    <row r="1234" spans="1:27" x14ac:dyDescent="0.2">
      <c r="A1234" s="73"/>
      <c r="B1234" s="74"/>
      <c r="C1234" s="74"/>
      <c r="D1234" s="74"/>
      <c r="E1234" s="74"/>
      <c r="F1234" s="74"/>
      <c r="G1234" s="75"/>
      <c r="H1234" s="75"/>
      <c r="I1234" s="76"/>
      <c r="J1234" s="77"/>
      <c r="K1234" s="76"/>
      <c r="L1234" s="76"/>
      <c r="M1234" s="74"/>
      <c r="N1234" s="74"/>
      <c r="O1234" s="78"/>
      <c r="P1234" s="78"/>
      <c r="Q1234" s="78"/>
      <c r="R1234" s="78"/>
      <c r="S1234" s="79"/>
      <c r="T1234" s="79"/>
      <c r="U1234" s="79"/>
      <c r="V1234" s="79"/>
      <c r="W1234" s="79"/>
      <c r="X1234" s="79"/>
      <c r="Y1234" s="79"/>
      <c r="Z1234" s="79"/>
      <c r="AA1234" s="79"/>
    </row>
    <row r="1235" spans="1:27" x14ac:dyDescent="0.2">
      <c r="A1235" s="73"/>
      <c r="B1235" s="74"/>
      <c r="C1235" s="74"/>
      <c r="D1235" s="74"/>
      <c r="E1235" s="74"/>
      <c r="F1235" s="74"/>
      <c r="G1235" s="75"/>
      <c r="H1235" s="75"/>
      <c r="I1235" s="76"/>
      <c r="J1235" s="77"/>
      <c r="K1235" s="76"/>
      <c r="L1235" s="76"/>
      <c r="M1235" s="74"/>
      <c r="N1235" s="74"/>
      <c r="O1235" s="78"/>
      <c r="P1235" s="78"/>
      <c r="Q1235" s="78"/>
      <c r="R1235" s="78"/>
      <c r="S1235" s="79"/>
      <c r="T1235" s="79"/>
      <c r="U1235" s="79"/>
      <c r="V1235" s="79"/>
      <c r="W1235" s="79"/>
      <c r="X1235" s="79"/>
      <c r="Y1235" s="79"/>
      <c r="Z1235" s="79"/>
      <c r="AA1235" s="79"/>
    </row>
    <row r="1236" spans="1:27" x14ac:dyDescent="0.2">
      <c r="A1236" s="73"/>
      <c r="B1236" s="74"/>
      <c r="C1236" s="74"/>
      <c r="D1236" s="74"/>
      <c r="E1236" s="74"/>
      <c r="F1236" s="74"/>
      <c r="G1236" s="75"/>
      <c r="H1236" s="75"/>
      <c r="I1236" s="76"/>
      <c r="J1236" s="77"/>
      <c r="K1236" s="76"/>
      <c r="L1236" s="76"/>
      <c r="M1236" s="74"/>
      <c r="N1236" s="74"/>
      <c r="O1236" s="78"/>
      <c r="P1236" s="78"/>
      <c r="Q1236" s="78"/>
      <c r="R1236" s="78"/>
      <c r="S1236" s="79"/>
      <c r="T1236" s="79"/>
      <c r="U1236" s="79"/>
      <c r="V1236" s="79"/>
      <c r="W1236" s="79"/>
      <c r="X1236" s="79"/>
      <c r="Y1236" s="79"/>
      <c r="Z1236" s="79"/>
      <c r="AA1236" s="79"/>
    </row>
    <row r="1237" spans="1:27" x14ac:dyDescent="0.2">
      <c r="A1237" s="73"/>
      <c r="B1237" s="74"/>
      <c r="C1237" s="74"/>
      <c r="D1237" s="74"/>
      <c r="E1237" s="74"/>
      <c r="F1237" s="74"/>
      <c r="G1237" s="75"/>
      <c r="H1237" s="75"/>
      <c r="I1237" s="76"/>
      <c r="J1237" s="77"/>
      <c r="K1237" s="76"/>
      <c r="L1237" s="76"/>
      <c r="M1237" s="74"/>
      <c r="N1237" s="74"/>
      <c r="O1237" s="78"/>
      <c r="P1237" s="78"/>
      <c r="Q1237" s="78"/>
      <c r="R1237" s="78"/>
      <c r="S1237" s="79"/>
      <c r="T1237" s="79"/>
      <c r="U1237" s="79"/>
      <c r="V1237" s="79"/>
      <c r="W1237" s="79"/>
      <c r="X1237" s="79"/>
      <c r="Y1237" s="79"/>
      <c r="Z1237" s="79"/>
      <c r="AA1237" s="79"/>
    </row>
    <row r="1238" spans="1:27" x14ac:dyDescent="0.2">
      <c r="A1238" s="73"/>
      <c r="B1238" s="74"/>
      <c r="C1238" s="74"/>
      <c r="D1238" s="74"/>
      <c r="E1238" s="74"/>
      <c r="F1238" s="74"/>
      <c r="G1238" s="75"/>
      <c r="H1238" s="75"/>
      <c r="I1238" s="76"/>
      <c r="J1238" s="77"/>
      <c r="K1238" s="76"/>
      <c r="L1238" s="76"/>
      <c r="M1238" s="74"/>
      <c r="N1238" s="74"/>
      <c r="O1238" s="78"/>
      <c r="P1238" s="78"/>
      <c r="Q1238" s="78"/>
      <c r="R1238" s="78"/>
      <c r="S1238" s="79"/>
      <c r="T1238" s="79"/>
      <c r="U1238" s="79"/>
      <c r="V1238" s="79"/>
      <c r="W1238" s="79"/>
      <c r="X1238" s="79"/>
      <c r="Y1238" s="79"/>
      <c r="Z1238" s="79"/>
      <c r="AA1238" s="79"/>
    </row>
    <row r="1239" spans="1:27" x14ac:dyDescent="0.2">
      <c r="A1239" s="73"/>
      <c r="B1239" s="74"/>
      <c r="C1239" s="74"/>
      <c r="D1239" s="74"/>
      <c r="E1239" s="74"/>
      <c r="F1239" s="74"/>
      <c r="G1239" s="75"/>
      <c r="H1239" s="75"/>
      <c r="I1239" s="76"/>
      <c r="J1239" s="77"/>
      <c r="K1239" s="76"/>
      <c r="L1239" s="76"/>
      <c r="M1239" s="74"/>
      <c r="N1239" s="74"/>
      <c r="O1239" s="78"/>
      <c r="P1239" s="78"/>
      <c r="Q1239" s="78"/>
      <c r="R1239" s="78"/>
      <c r="S1239" s="79"/>
      <c r="T1239" s="79"/>
      <c r="U1239" s="79"/>
      <c r="V1239" s="79"/>
      <c r="W1239" s="79"/>
      <c r="X1239" s="79"/>
      <c r="Y1239" s="79"/>
      <c r="Z1239" s="79"/>
      <c r="AA1239" s="79"/>
    </row>
    <row r="1240" spans="1:27" x14ac:dyDescent="0.2">
      <c r="A1240" s="73"/>
      <c r="B1240" s="74"/>
      <c r="C1240" s="74"/>
      <c r="D1240" s="74"/>
      <c r="E1240" s="74"/>
      <c r="F1240" s="74"/>
      <c r="G1240" s="75"/>
      <c r="H1240" s="75"/>
      <c r="I1240" s="76"/>
      <c r="J1240" s="77"/>
      <c r="K1240" s="76"/>
      <c r="L1240" s="76"/>
      <c r="M1240" s="74"/>
      <c r="N1240" s="74"/>
      <c r="O1240" s="78"/>
      <c r="P1240" s="78"/>
      <c r="Q1240" s="78"/>
      <c r="R1240" s="78"/>
      <c r="S1240" s="79"/>
      <c r="T1240" s="79"/>
      <c r="U1240" s="79"/>
      <c r="V1240" s="79"/>
      <c r="W1240" s="79"/>
      <c r="X1240" s="79"/>
      <c r="Y1240" s="79"/>
      <c r="Z1240" s="79"/>
      <c r="AA1240" s="79"/>
    </row>
    <row r="1241" spans="1:27" x14ac:dyDescent="0.2">
      <c r="A1241" s="73"/>
      <c r="B1241" s="74"/>
      <c r="C1241" s="74"/>
      <c r="D1241" s="74"/>
      <c r="E1241" s="74"/>
      <c r="F1241" s="74"/>
      <c r="G1241" s="75"/>
      <c r="H1241" s="75"/>
      <c r="I1241" s="76"/>
      <c r="J1241" s="77"/>
      <c r="K1241" s="76"/>
      <c r="L1241" s="76"/>
      <c r="M1241" s="74"/>
      <c r="N1241" s="74"/>
      <c r="O1241" s="78"/>
      <c r="P1241" s="78"/>
      <c r="Q1241" s="78"/>
      <c r="R1241" s="78"/>
      <c r="S1241" s="79"/>
      <c r="T1241" s="79"/>
      <c r="U1241" s="79"/>
      <c r="V1241" s="79"/>
      <c r="W1241" s="79"/>
      <c r="X1241" s="79"/>
      <c r="Y1241" s="79"/>
      <c r="Z1241" s="79"/>
      <c r="AA1241" s="79"/>
    </row>
    <row r="1242" spans="1:27" x14ac:dyDescent="0.2">
      <c r="A1242" s="73"/>
      <c r="B1242" s="74"/>
      <c r="C1242" s="74"/>
      <c r="D1242" s="74"/>
      <c r="E1242" s="74"/>
      <c r="F1242" s="74"/>
      <c r="G1242" s="75"/>
      <c r="H1242" s="75"/>
      <c r="I1242" s="76"/>
      <c r="J1242" s="77"/>
      <c r="K1242" s="76"/>
      <c r="L1242" s="76"/>
      <c r="M1242" s="74"/>
      <c r="N1242" s="74"/>
      <c r="O1242" s="78"/>
      <c r="P1242" s="78"/>
      <c r="Q1242" s="78"/>
      <c r="R1242" s="78"/>
      <c r="S1242" s="79"/>
      <c r="T1242" s="79"/>
      <c r="U1242" s="79"/>
      <c r="V1242" s="79"/>
      <c r="W1242" s="79"/>
      <c r="X1242" s="79"/>
      <c r="Y1242" s="79"/>
      <c r="Z1242" s="79"/>
      <c r="AA1242" s="79"/>
    </row>
    <row r="1243" spans="1:27" x14ac:dyDescent="0.2">
      <c r="A1243" s="73"/>
      <c r="B1243" s="74"/>
      <c r="C1243" s="74"/>
      <c r="D1243" s="74"/>
      <c r="E1243" s="74"/>
      <c r="F1243" s="74"/>
      <c r="G1243" s="75"/>
      <c r="H1243" s="75"/>
      <c r="I1243" s="76"/>
      <c r="J1243" s="77"/>
      <c r="K1243" s="76"/>
      <c r="L1243" s="76"/>
      <c r="M1243" s="74"/>
      <c r="N1243" s="74"/>
      <c r="O1243" s="78"/>
      <c r="P1243" s="78"/>
      <c r="Q1243" s="78"/>
      <c r="R1243" s="78"/>
      <c r="S1243" s="79"/>
      <c r="T1243" s="79"/>
      <c r="U1243" s="79"/>
      <c r="V1243" s="79"/>
      <c r="W1243" s="79"/>
      <c r="X1243" s="79"/>
      <c r="Y1243" s="79"/>
      <c r="Z1243" s="79"/>
      <c r="AA1243" s="79"/>
    </row>
    <row r="1244" spans="1:27" x14ac:dyDescent="0.2">
      <c r="A1244" s="73"/>
      <c r="B1244" s="74"/>
      <c r="C1244" s="74"/>
      <c r="D1244" s="74"/>
      <c r="E1244" s="74"/>
      <c r="F1244" s="74"/>
      <c r="G1244" s="75"/>
      <c r="H1244" s="75"/>
      <c r="I1244" s="76"/>
      <c r="J1244" s="77"/>
      <c r="K1244" s="76"/>
      <c r="L1244" s="76"/>
      <c r="M1244" s="74"/>
      <c r="N1244" s="74"/>
      <c r="O1244" s="78"/>
      <c r="P1244" s="78"/>
      <c r="Q1244" s="78"/>
      <c r="R1244" s="78"/>
      <c r="S1244" s="79"/>
      <c r="T1244" s="79"/>
      <c r="U1244" s="79"/>
      <c r="V1244" s="79"/>
      <c r="W1244" s="79"/>
      <c r="X1244" s="79"/>
      <c r="Y1244" s="79"/>
      <c r="Z1244" s="79"/>
      <c r="AA1244" s="79"/>
    </row>
    <row r="1245" spans="1:27" x14ac:dyDescent="0.2">
      <c r="A1245" s="73"/>
      <c r="B1245" s="74"/>
      <c r="C1245" s="74"/>
      <c r="D1245" s="74"/>
      <c r="E1245" s="74"/>
      <c r="F1245" s="74"/>
      <c r="G1245" s="75"/>
      <c r="H1245" s="75"/>
      <c r="I1245" s="76"/>
      <c r="J1245" s="77"/>
      <c r="K1245" s="76"/>
      <c r="L1245" s="76"/>
      <c r="M1245" s="74"/>
      <c r="N1245" s="74"/>
      <c r="O1245" s="78"/>
      <c r="P1245" s="78"/>
      <c r="Q1245" s="78"/>
      <c r="R1245" s="78"/>
      <c r="S1245" s="79"/>
      <c r="T1245" s="79"/>
      <c r="U1245" s="79"/>
      <c r="V1245" s="79"/>
      <c r="W1245" s="79"/>
      <c r="X1245" s="79"/>
      <c r="Y1245" s="79"/>
      <c r="Z1245" s="79"/>
      <c r="AA1245" s="79"/>
    </row>
    <row r="1246" spans="1:27" x14ac:dyDescent="0.2">
      <c r="A1246" s="73"/>
      <c r="B1246" s="74"/>
      <c r="C1246" s="74"/>
      <c r="D1246" s="74"/>
      <c r="E1246" s="74"/>
      <c r="F1246" s="74"/>
      <c r="G1246" s="75"/>
      <c r="H1246" s="75"/>
      <c r="I1246" s="76"/>
      <c r="J1246" s="77"/>
      <c r="K1246" s="76"/>
      <c r="L1246" s="76"/>
      <c r="M1246" s="74"/>
      <c r="N1246" s="74"/>
      <c r="O1246" s="78"/>
      <c r="P1246" s="78"/>
      <c r="Q1246" s="78"/>
      <c r="R1246" s="78"/>
      <c r="S1246" s="79"/>
      <c r="T1246" s="79"/>
      <c r="U1246" s="79"/>
      <c r="V1246" s="79"/>
      <c r="W1246" s="79"/>
      <c r="X1246" s="79"/>
      <c r="Y1246" s="79"/>
      <c r="Z1246" s="79"/>
      <c r="AA1246" s="79"/>
    </row>
    <row r="1247" spans="1:27" x14ac:dyDescent="0.2">
      <c r="A1247" s="73"/>
      <c r="B1247" s="74"/>
      <c r="C1247" s="74"/>
      <c r="D1247" s="74"/>
      <c r="E1247" s="74"/>
      <c r="F1247" s="74"/>
      <c r="G1247" s="75"/>
      <c r="H1247" s="75"/>
      <c r="I1247" s="76"/>
      <c r="J1247" s="77"/>
      <c r="K1247" s="76"/>
      <c r="L1247" s="76"/>
      <c r="M1247" s="74"/>
      <c r="N1247" s="74"/>
      <c r="O1247" s="78"/>
      <c r="P1247" s="78"/>
      <c r="Q1247" s="78"/>
      <c r="R1247" s="78"/>
      <c r="S1247" s="79"/>
      <c r="T1247" s="79"/>
      <c r="U1247" s="79"/>
      <c r="V1247" s="79"/>
      <c r="W1247" s="79"/>
      <c r="X1247" s="79"/>
      <c r="Y1247" s="79"/>
      <c r="Z1247" s="79"/>
      <c r="AA1247" s="79"/>
    </row>
    <row r="1248" spans="1:27" x14ac:dyDescent="0.2">
      <c r="A1248" s="73"/>
      <c r="B1248" s="74"/>
      <c r="C1248" s="74"/>
      <c r="D1248" s="74"/>
      <c r="E1248" s="74"/>
      <c r="F1248" s="74"/>
      <c r="G1248" s="75"/>
      <c r="H1248" s="75"/>
      <c r="I1248" s="76"/>
      <c r="J1248" s="77"/>
      <c r="K1248" s="76"/>
      <c r="L1248" s="76"/>
      <c r="M1248" s="74"/>
      <c r="N1248" s="74"/>
      <c r="O1248" s="78"/>
      <c r="P1248" s="78"/>
      <c r="Q1248" s="78"/>
      <c r="R1248" s="78"/>
      <c r="S1248" s="79"/>
      <c r="T1248" s="79"/>
      <c r="U1248" s="79"/>
      <c r="V1248" s="79"/>
      <c r="W1248" s="79"/>
      <c r="X1248" s="79"/>
      <c r="Y1248" s="79"/>
      <c r="Z1248" s="79"/>
      <c r="AA1248" s="79"/>
    </row>
    <row r="1249" spans="1:27" x14ac:dyDescent="0.2">
      <c r="A1249" s="73"/>
      <c r="B1249" s="74"/>
      <c r="C1249" s="74"/>
      <c r="D1249" s="74"/>
      <c r="E1249" s="74"/>
      <c r="F1249" s="74"/>
      <c r="G1249" s="75"/>
      <c r="H1249" s="75"/>
      <c r="I1249" s="76"/>
      <c r="J1249" s="77"/>
      <c r="K1249" s="76"/>
      <c r="L1249" s="76"/>
      <c r="M1249" s="74"/>
      <c r="N1249" s="74"/>
      <c r="O1249" s="78"/>
      <c r="P1249" s="78"/>
      <c r="Q1249" s="78"/>
      <c r="R1249" s="78"/>
      <c r="S1249" s="79"/>
      <c r="T1249" s="79"/>
      <c r="U1249" s="79"/>
      <c r="V1249" s="79"/>
      <c r="W1249" s="79"/>
      <c r="X1249" s="79"/>
      <c r="Y1249" s="79"/>
      <c r="Z1249" s="79"/>
      <c r="AA1249" s="79"/>
    </row>
    <row r="1250" spans="1:27" x14ac:dyDescent="0.2">
      <c r="A1250" s="73"/>
      <c r="B1250" s="74"/>
      <c r="C1250" s="74"/>
      <c r="D1250" s="74"/>
      <c r="E1250" s="74"/>
      <c r="F1250" s="74"/>
      <c r="G1250" s="75"/>
      <c r="H1250" s="75"/>
      <c r="I1250" s="76"/>
      <c r="J1250" s="77"/>
      <c r="K1250" s="76"/>
      <c r="L1250" s="76"/>
      <c r="M1250" s="74"/>
      <c r="N1250" s="74"/>
      <c r="O1250" s="78"/>
      <c r="P1250" s="78"/>
      <c r="Q1250" s="78"/>
      <c r="R1250" s="78"/>
      <c r="S1250" s="79"/>
      <c r="T1250" s="79"/>
      <c r="U1250" s="79"/>
      <c r="V1250" s="79"/>
      <c r="W1250" s="79"/>
      <c r="X1250" s="79"/>
      <c r="Y1250" s="79"/>
      <c r="Z1250" s="79"/>
      <c r="AA1250" s="79"/>
    </row>
    <row r="1251" spans="1:27" x14ac:dyDescent="0.2">
      <c r="A1251" s="73"/>
      <c r="B1251" s="74"/>
      <c r="C1251" s="74"/>
      <c r="D1251" s="74"/>
      <c r="E1251" s="74"/>
      <c r="F1251" s="74"/>
      <c r="G1251" s="75"/>
      <c r="H1251" s="75"/>
      <c r="I1251" s="76"/>
      <c r="J1251" s="77"/>
      <c r="K1251" s="76"/>
      <c r="L1251" s="76"/>
      <c r="M1251" s="74"/>
      <c r="N1251" s="74"/>
      <c r="O1251" s="78"/>
      <c r="P1251" s="78"/>
      <c r="Q1251" s="78"/>
      <c r="R1251" s="78"/>
      <c r="S1251" s="79"/>
      <c r="T1251" s="79"/>
      <c r="U1251" s="79"/>
      <c r="V1251" s="79"/>
      <c r="W1251" s="79"/>
      <c r="X1251" s="79"/>
      <c r="Y1251" s="79"/>
      <c r="Z1251" s="79"/>
      <c r="AA1251" s="79"/>
    </row>
    <row r="1252" spans="1:27" x14ac:dyDescent="0.2">
      <c r="A1252" s="73"/>
      <c r="B1252" s="74"/>
      <c r="C1252" s="74"/>
      <c r="D1252" s="74"/>
      <c r="E1252" s="74"/>
      <c r="F1252" s="74"/>
      <c r="G1252" s="75"/>
      <c r="H1252" s="75"/>
      <c r="I1252" s="76"/>
      <c r="J1252" s="77"/>
      <c r="K1252" s="76"/>
      <c r="L1252" s="76"/>
      <c r="M1252" s="74"/>
      <c r="N1252" s="74"/>
      <c r="O1252" s="78"/>
      <c r="P1252" s="78"/>
      <c r="Q1252" s="78"/>
      <c r="R1252" s="78"/>
      <c r="S1252" s="79"/>
      <c r="T1252" s="79"/>
      <c r="U1252" s="79"/>
      <c r="V1252" s="79"/>
      <c r="W1252" s="79"/>
      <c r="X1252" s="79"/>
      <c r="Y1252" s="79"/>
      <c r="Z1252" s="79"/>
      <c r="AA1252" s="79"/>
    </row>
    <row r="1253" spans="1:27" x14ac:dyDescent="0.2">
      <c r="A1253" s="73"/>
      <c r="B1253" s="74"/>
      <c r="C1253" s="74"/>
      <c r="D1253" s="74"/>
      <c r="E1253" s="74"/>
      <c r="F1253" s="74"/>
      <c r="G1253" s="75"/>
      <c r="H1253" s="75"/>
      <c r="I1253" s="76"/>
      <c r="J1253" s="77"/>
      <c r="K1253" s="76"/>
      <c r="L1253" s="76"/>
      <c r="M1253" s="74"/>
      <c r="N1253" s="74"/>
      <c r="O1253" s="78"/>
      <c r="P1253" s="78"/>
      <c r="Q1253" s="78"/>
      <c r="R1253" s="78"/>
      <c r="S1253" s="79"/>
      <c r="T1253" s="79"/>
      <c r="U1253" s="79"/>
      <c r="V1253" s="79"/>
      <c r="W1253" s="79"/>
      <c r="X1253" s="79"/>
      <c r="Y1253" s="79"/>
      <c r="Z1253" s="79"/>
      <c r="AA1253" s="79"/>
    </row>
    <row r="1254" spans="1:27" x14ac:dyDescent="0.2">
      <c r="A1254" s="73"/>
      <c r="B1254" s="74"/>
      <c r="C1254" s="74"/>
      <c r="D1254" s="74"/>
      <c r="E1254" s="74"/>
      <c r="F1254" s="74"/>
      <c r="G1254" s="75"/>
      <c r="H1254" s="75"/>
      <c r="I1254" s="76"/>
      <c r="J1254" s="77"/>
      <c r="K1254" s="76"/>
      <c r="L1254" s="76"/>
      <c r="M1254" s="74"/>
      <c r="N1254" s="74"/>
      <c r="O1254" s="78"/>
      <c r="P1254" s="78"/>
      <c r="Q1254" s="78"/>
      <c r="R1254" s="78"/>
      <c r="S1254" s="79"/>
      <c r="T1254" s="79"/>
      <c r="U1254" s="79"/>
      <c r="V1254" s="79"/>
      <c r="W1254" s="79"/>
      <c r="X1254" s="79"/>
      <c r="Y1254" s="79"/>
      <c r="Z1254" s="79"/>
      <c r="AA1254" s="79"/>
    </row>
    <row r="1255" spans="1:27" x14ac:dyDescent="0.2">
      <c r="A1255" s="73"/>
      <c r="B1255" s="74"/>
      <c r="C1255" s="74"/>
      <c r="D1255" s="74"/>
      <c r="E1255" s="74"/>
      <c r="F1255" s="74"/>
      <c r="G1255" s="75"/>
      <c r="H1255" s="75"/>
      <c r="I1255" s="76"/>
      <c r="J1255" s="77"/>
      <c r="K1255" s="76"/>
      <c r="L1255" s="76"/>
      <c r="M1255" s="74"/>
      <c r="N1255" s="74"/>
      <c r="O1255" s="78"/>
      <c r="P1255" s="78"/>
      <c r="Q1255" s="78"/>
      <c r="R1255" s="78"/>
      <c r="S1255" s="79"/>
      <c r="T1255" s="79"/>
      <c r="U1255" s="79"/>
      <c r="V1255" s="79"/>
      <c r="W1255" s="79"/>
      <c r="X1255" s="79"/>
      <c r="Y1255" s="79"/>
      <c r="Z1255" s="79"/>
      <c r="AA1255" s="79"/>
    </row>
    <row r="1256" spans="1:27" x14ac:dyDescent="0.2">
      <c r="A1256" s="73"/>
      <c r="B1256" s="74"/>
      <c r="C1256" s="74"/>
      <c r="D1256" s="74"/>
      <c r="E1256" s="74"/>
      <c r="F1256" s="74"/>
      <c r="G1256" s="75"/>
      <c r="H1256" s="75"/>
      <c r="I1256" s="76"/>
      <c r="J1256" s="77"/>
      <c r="K1256" s="76"/>
      <c r="L1256" s="76"/>
      <c r="M1256" s="74"/>
      <c r="N1256" s="74"/>
      <c r="O1256" s="78"/>
      <c r="P1256" s="78"/>
      <c r="Q1256" s="78"/>
      <c r="R1256" s="78"/>
      <c r="S1256" s="79"/>
      <c r="T1256" s="79"/>
      <c r="U1256" s="79"/>
      <c r="V1256" s="79"/>
      <c r="W1256" s="79"/>
      <c r="X1256" s="79"/>
      <c r="Y1256" s="79"/>
      <c r="Z1256" s="79"/>
      <c r="AA1256" s="79"/>
    </row>
    <row r="1257" spans="1:27" x14ac:dyDescent="0.2">
      <c r="A1257" s="73"/>
      <c r="B1257" s="74"/>
      <c r="C1257" s="74"/>
      <c r="D1257" s="74"/>
      <c r="E1257" s="74"/>
      <c r="F1257" s="74"/>
      <c r="G1257" s="75"/>
      <c r="H1257" s="75"/>
      <c r="I1257" s="76"/>
      <c r="J1257" s="77"/>
      <c r="K1257" s="76"/>
      <c r="L1257" s="76"/>
      <c r="M1257" s="74"/>
      <c r="N1257" s="74"/>
      <c r="O1257" s="78"/>
      <c r="P1257" s="78"/>
      <c r="Q1257" s="78"/>
      <c r="R1257" s="78"/>
      <c r="S1257" s="79"/>
      <c r="T1257" s="79"/>
      <c r="U1257" s="79"/>
      <c r="V1257" s="79"/>
      <c r="W1257" s="79"/>
      <c r="X1257" s="79"/>
      <c r="Y1257" s="79"/>
      <c r="Z1257" s="79"/>
      <c r="AA1257" s="79"/>
    </row>
    <row r="1258" spans="1:27" x14ac:dyDescent="0.2">
      <c r="A1258" s="73"/>
      <c r="B1258" s="74"/>
      <c r="C1258" s="74"/>
      <c r="D1258" s="74"/>
      <c r="E1258" s="74"/>
      <c r="F1258" s="74"/>
      <c r="G1258" s="75"/>
      <c r="H1258" s="75"/>
      <c r="I1258" s="76"/>
      <c r="J1258" s="77"/>
      <c r="K1258" s="76"/>
      <c r="L1258" s="76"/>
      <c r="M1258" s="74"/>
      <c r="N1258" s="74"/>
      <c r="O1258" s="78"/>
      <c r="P1258" s="78"/>
      <c r="Q1258" s="78"/>
      <c r="R1258" s="78"/>
      <c r="S1258" s="79"/>
      <c r="T1258" s="79"/>
      <c r="U1258" s="79"/>
      <c r="V1258" s="79"/>
      <c r="W1258" s="79"/>
      <c r="X1258" s="79"/>
      <c r="Y1258" s="79"/>
      <c r="Z1258" s="79"/>
      <c r="AA1258" s="79"/>
    </row>
    <row r="1259" spans="1:27" x14ac:dyDescent="0.2">
      <c r="A1259" s="73"/>
      <c r="B1259" s="74"/>
      <c r="C1259" s="74"/>
      <c r="D1259" s="74"/>
      <c r="E1259" s="74"/>
      <c r="F1259" s="74"/>
      <c r="G1259" s="75"/>
      <c r="H1259" s="75"/>
      <c r="I1259" s="76"/>
      <c r="J1259" s="77"/>
      <c r="K1259" s="76"/>
      <c r="L1259" s="76"/>
      <c r="M1259" s="74"/>
      <c r="N1259" s="74"/>
      <c r="O1259" s="78"/>
      <c r="P1259" s="78"/>
      <c r="Q1259" s="78"/>
      <c r="R1259" s="78"/>
      <c r="S1259" s="79"/>
      <c r="T1259" s="79"/>
      <c r="U1259" s="79"/>
      <c r="V1259" s="79"/>
      <c r="W1259" s="79"/>
      <c r="X1259" s="79"/>
      <c r="Y1259" s="79"/>
      <c r="Z1259" s="79"/>
      <c r="AA1259" s="79"/>
    </row>
    <row r="1260" spans="1:27" x14ac:dyDescent="0.2">
      <c r="A1260" s="73"/>
      <c r="B1260" s="74"/>
      <c r="C1260" s="74"/>
      <c r="D1260" s="74"/>
      <c r="E1260" s="74"/>
      <c r="F1260" s="74"/>
      <c r="G1260" s="75"/>
      <c r="H1260" s="75"/>
      <c r="I1260" s="76"/>
      <c r="J1260" s="77"/>
      <c r="K1260" s="76"/>
      <c r="L1260" s="76"/>
      <c r="M1260" s="74"/>
      <c r="N1260" s="74"/>
      <c r="O1260" s="78"/>
      <c r="P1260" s="78"/>
      <c r="Q1260" s="78"/>
      <c r="R1260" s="78"/>
      <c r="S1260" s="79"/>
      <c r="T1260" s="79"/>
      <c r="U1260" s="79"/>
      <c r="V1260" s="79"/>
      <c r="W1260" s="79"/>
      <c r="X1260" s="79"/>
      <c r="Y1260" s="79"/>
      <c r="Z1260" s="79"/>
      <c r="AA1260" s="79"/>
    </row>
    <row r="1261" spans="1:27" x14ac:dyDescent="0.2">
      <c r="A1261" s="73"/>
      <c r="B1261" s="74"/>
      <c r="C1261" s="74"/>
      <c r="D1261" s="74"/>
      <c r="E1261" s="74"/>
      <c r="F1261" s="74"/>
      <c r="G1261" s="75"/>
      <c r="H1261" s="75"/>
      <c r="I1261" s="76"/>
      <c r="J1261" s="77"/>
      <c r="K1261" s="76"/>
      <c r="L1261" s="76"/>
      <c r="M1261" s="74"/>
      <c r="N1261" s="74"/>
      <c r="O1261" s="78"/>
      <c r="P1261" s="78"/>
      <c r="Q1261" s="78"/>
      <c r="R1261" s="78"/>
      <c r="S1261" s="79"/>
      <c r="T1261" s="79"/>
      <c r="U1261" s="79"/>
      <c r="V1261" s="79"/>
      <c r="W1261" s="79"/>
      <c r="X1261" s="79"/>
      <c r="Y1261" s="79"/>
      <c r="Z1261" s="79"/>
      <c r="AA1261" s="79"/>
    </row>
    <row r="1262" spans="1:27" x14ac:dyDescent="0.2">
      <c r="A1262" s="73"/>
      <c r="B1262" s="74"/>
      <c r="C1262" s="74"/>
      <c r="D1262" s="74"/>
      <c r="E1262" s="74"/>
      <c r="F1262" s="74"/>
      <c r="G1262" s="75"/>
      <c r="H1262" s="75"/>
      <c r="I1262" s="76"/>
      <c r="J1262" s="77"/>
      <c r="K1262" s="76"/>
      <c r="L1262" s="76"/>
      <c r="M1262" s="74"/>
      <c r="N1262" s="74"/>
      <c r="O1262" s="78"/>
      <c r="P1262" s="78"/>
      <c r="Q1262" s="78"/>
      <c r="R1262" s="78"/>
      <c r="S1262" s="79"/>
      <c r="T1262" s="79"/>
      <c r="U1262" s="79"/>
      <c r="V1262" s="79"/>
      <c r="W1262" s="79"/>
      <c r="X1262" s="79"/>
      <c r="Y1262" s="79"/>
      <c r="Z1262" s="79"/>
      <c r="AA1262" s="79"/>
    </row>
    <row r="1263" spans="1:27" x14ac:dyDescent="0.2">
      <c r="A1263" s="73"/>
      <c r="B1263" s="74"/>
      <c r="C1263" s="74"/>
      <c r="D1263" s="74"/>
      <c r="E1263" s="74"/>
      <c r="F1263" s="74"/>
      <c r="G1263" s="75"/>
      <c r="H1263" s="75"/>
      <c r="I1263" s="76"/>
      <c r="J1263" s="77"/>
      <c r="K1263" s="76"/>
      <c r="L1263" s="76"/>
      <c r="M1263" s="74"/>
      <c r="N1263" s="74"/>
      <c r="O1263" s="78"/>
      <c r="P1263" s="78"/>
      <c r="Q1263" s="78"/>
      <c r="R1263" s="78"/>
      <c r="S1263" s="79"/>
      <c r="T1263" s="79"/>
      <c r="U1263" s="79"/>
      <c r="V1263" s="79"/>
      <c r="W1263" s="79"/>
      <c r="X1263" s="79"/>
      <c r="Y1263" s="79"/>
      <c r="Z1263" s="79"/>
      <c r="AA1263" s="79"/>
    </row>
    <row r="1264" spans="1:27" x14ac:dyDescent="0.2">
      <c r="A1264" s="73"/>
      <c r="B1264" s="74"/>
      <c r="C1264" s="74"/>
      <c r="D1264" s="74"/>
      <c r="E1264" s="74"/>
      <c r="F1264" s="74"/>
      <c r="G1264" s="75"/>
      <c r="H1264" s="75"/>
      <c r="I1264" s="76"/>
      <c r="J1264" s="77"/>
      <c r="K1264" s="76"/>
      <c r="L1264" s="76"/>
      <c r="M1264" s="74"/>
      <c r="N1264" s="74"/>
      <c r="O1264" s="78"/>
      <c r="P1264" s="78"/>
      <c r="Q1264" s="78"/>
      <c r="R1264" s="78"/>
      <c r="S1264" s="79"/>
      <c r="T1264" s="79"/>
      <c r="U1264" s="79"/>
      <c r="V1264" s="79"/>
      <c r="W1264" s="79"/>
      <c r="X1264" s="79"/>
      <c r="Y1264" s="79"/>
      <c r="Z1264" s="79"/>
      <c r="AA1264" s="79"/>
    </row>
    <row r="1265" spans="1:27" x14ac:dyDescent="0.2">
      <c r="A1265" s="73"/>
      <c r="B1265" s="74"/>
      <c r="C1265" s="74"/>
      <c r="D1265" s="74"/>
      <c r="E1265" s="74"/>
      <c r="F1265" s="74"/>
      <c r="G1265" s="75"/>
      <c r="H1265" s="75"/>
      <c r="I1265" s="76"/>
      <c r="J1265" s="77"/>
      <c r="K1265" s="76"/>
      <c r="L1265" s="76"/>
      <c r="M1265" s="74"/>
      <c r="N1265" s="74"/>
      <c r="O1265" s="78"/>
      <c r="P1265" s="78"/>
      <c r="Q1265" s="78"/>
      <c r="R1265" s="78"/>
      <c r="S1265" s="79"/>
      <c r="T1265" s="79"/>
      <c r="U1265" s="79"/>
      <c r="V1265" s="79"/>
      <c r="W1265" s="79"/>
      <c r="X1265" s="79"/>
      <c r="Y1265" s="79"/>
      <c r="Z1265" s="79"/>
      <c r="AA1265" s="79"/>
    </row>
    <row r="1266" spans="1:27" x14ac:dyDescent="0.2">
      <c r="A1266" s="73"/>
      <c r="B1266" s="74"/>
      <c r="C1266" s="74"/>
      <c r="D1266" s="74"/>
      <c r="E1266" s="74"/>
      <c r="F1266" s="74"/>
      <c r="G1266" s="75"/>
      <c r="H1266" s="75"/>
      <c r="I1266" s="76"/>
      <c r="J1266" s="77"/>
      <c r="K1266" s="76"/>
      <c r="L1266" s="76"/>
      <c r="M1266" s="74"/>
      <c r="N1266" s="74"/>
      <c r="O1266" s="78"/>
      <c r="P1266" s="78"/>
      <c r="Q1266" s="78"/>
      <c r="R1266" s="78"/>
      <c r="S1266" s="79"/>
      <c r="T1266" s="79"/>
      <c r="U1266" s="79"/>
      <c r="V1266" s="79"/>
      <c r="W1266" s="79"/>
      <c r="X1266" s="79"/>
      <c r="Y1266" s="79"/>
      <c r="Z1266" s="79"/>
      <c r="AA1266" s="79"/>
    </row>
    <row r="1267" spans="1:27" x14ac:dyDescent="0.2">
      <c r="A1267" s="73"/>
      <c r="B1267" s="74"/>
      <c r="C1267" s="74"/>
      <c r="D1267" s="74"/>
      <c r="E1267" s="74"/>
      <c r="F1267" s="74"/>
      <c r="G1267" s="75"/>
      <c r="H1267" s="75"/>
      <c r="I1267" s="76"/>
      <c r="J1267" s="77"/>
      <c r="K1267" s="76"/>
      <c r="L1267" s="76"/>
      <c r="M1267" s="74"/>
      <c r="N1267" s="74"/>
      <c r="O1267" s="78"/>
      <c r="P1267" s="78"/>
      <c r="Q1267" s="78"/>
      <c r="R1267" s="78"/>
      <c r="S1267" s="79"/>
      <c r="T1267" s="79"/>
      <c r="U1267" s="79"/>
      <c r="V1267" s="79"/>
      <c r="W1267" s="79"/>
      <c r="X1267" s="79"/>
      <c r="Y1267" s="79"/>
      <c r="Z1267" s="79"/>
      <c r="AA1267" s="79"/>
    </row>
    <row r="1268" spans="1:27" x14ac:dyDescent="0.2">
      <c r="A1268" s="73"/>
      <c r="B1268" s="74"/>
      <c r="C1268" s="74"/>
      <c r="D1268" s="74"/>
      <c r="E1268" s="74"/>
      <c r="F1268" s="74"/>
      <c r="G1268" s="75"/>
      <c r="H1268" s="75"/>
      <c r="I1268" s="76"/>
      <c r="J1268" s="77"/>
      <c r="K1268" s="76"/>
      <c r="L1268" s="76"/>
      <c r="M1268" s="74"/>
      <c r="N1268" s="74"/>
      <c r="O1268" s="78"/>
      <c r="P1268" s="78"/>
      <c r="Q1268" s="78"/>
      <c r="R1268" s="78"/>
      <c r="S1268" s="79"/>
      <c r="T1268" s="79"/>
      <c r="U1268" s="79"/>
      <c r="V1268" s="79"/>
      <c r="W1268" s="79"/>
      <c r="X1268" s="79"/>
      <c r="Y1268" s="79"/>
      <c r="Z1268" s="79"/>
      <c r="AA1268" s="79"/>
    </row>
    <row r="1269" spans="1:27" x14ac:dyDescent="0.2">
      <c r="A1269" s="73"/>
      <c r="B1269" s="74"/>
      <c r="C1269" s="74"/>
      <c r="D1269" s="74"/>
      <c r="E1269" s="74"/>
      <c r="F1269" s="74"/>
      <c r="G1269" s="75"/>
      <c r="H1269" s="75"/>
      <c r="I1269" s="76"/>
      <c r="J1269" s="77"/>
      <c r="K1269" s="76"/>
      <c r="L1269" s="76"/>
      <c r="M1269" s="74"/>
      <c r="N1269" s="74"/>
      <c r="O1269" s="78"/>
      <c r="P1269" s="78"/>
      <c r="Q1269" s="78"/>
      <c r="R1269" s="78"/>
      <c r="S1269" s="79"/>
      <c r="T1269" s="79"/>
      <c r="U1269" s="79"/>
      <c r="V1269" s="79"/>
      <c r="W1269" s="79"/>
      <c r="X1269" s="79"/>
      <c r="Y1269" s="79"/>
      <c r="Z1269" s="79"/>
      <c r="AA1269" s="79"/>
    </row>
    <row r="1270" spans="1:27" x14ac:dyDescent="0.2">
      <c r="A1270" s="73"/>
      <c r="B1270" s="74"/>
      <c r="C1270" s="74"/>
      <c r="D1270" s="74"/>
      <c r="E1270" s="74"/>
      <c r="F1270" s="74"/>
      <c r="G1270" s="75"/>
      <c r="H1270" s="75"/>
      <c r="I1270" s="76"/>
      <c r="J1270" s="77"/>
      <c r="K1270" s="76"/>
      <c r="L1270" s="76"/>
      <c r="M1270" s="74"/>
      <c r="N1270" s="74"/>
      <c r="O1270" s="78"/>
      <c r="P1270" s="78"/>
      <c r="Q1270" s="78"/>
      <c r="R1270" s="78"/>
      <c r="S1270" s="79"/>
      <c r="T1270" s="79"/>
      <c r="U1270" s="79"/>
      <c r="V1270" s="79"/>
      <c r="W1270" s="79"/>
      <c r="X1270" s="79"/>
      <c r="Y1270" s="79"/>
      <c r="Z1270" s="79"/>
      <c r="AA1270" s="79"/>
    </row>
    <row r="1271" spans="1:27" x14ac:dyDescent="0.2">
      <c r="A1271" s="73"/>
      <c r="B1271" s="74"/>
      <c r="C1271" s="74"/>
      <c r="D1271" s="74"/>
      <c r="E1271" s="74"/>
      <c r="F1271" s="74"/>
      <c r="G1271" s="75"/>
      <c r="H1271" s="75"/>
      <c r="I1271" s="76"/>
      <c r="J1271" s="77"/>
      <c r="K1271" s="76"/>
      <c r="L1271" s="76"/>
      <c r="M1271" s="74"/>
      <c r="N1271" s="74"/>
      <c r="O1271" s="78"/>
      <c r="P1271" s="78"/>
      <c r="Q1271" s="78"/>
      <c r="R1271" s="78"/>
      <c r="S1271" s="79"/>
      <c r="T1271" s="79"/>
      <c r="U1271" s="79"/>
      <c r="V1271" s="79"/>
      <c r="W1271" s="79"/>
      <c r="X1271" s="79"/>
      <c r="Y1271" s="79"/>
      <c r="Z1271" s="79"/>
      <c r="AA1271" s="79"/>
    </row>
    <row r="1272" spans="1:27" x14ac:dyDescent="0.2">
      <c r="A1272" s="73"/>
      <c r="B1272" s="74"/>
      <c r="C1272" s="74"/>
      <c r="D1272" s="74"/>
      <c r="E1272" s="74"/>
      <c r="F1272" s="74"/>
      <c r="G1272" s="75"/>
      <c r="H1272" s="75"/>
      <c r="I1272" s="76"/>
      <c r="J1272" s="77"/>
      <c r="K1272" s="76"/>
      <c r="L1272" s="76"/>
      <c r="M1272" s="74"/>
      <c r="N1272" s="74"/>
      <c r="O1272" s="78"/>
      <c r="P1272" s="78"/>
      <c r="Q1272" s="78"/>
      <c r="R1272" s="78"/>
      <c r="S1272" s="79"/>
      <c r="T1272" s="79"/>
      <c r="U1272" s="79"/>
      <c r="V1272" s="79"/>
      <c r="W1272" s="79"/>
      <c r="X1272" s="79"/>
      <c r="Y1272" s="79"/>
      <c r="Z1272" s="79"/>
      <c r="AA1272" s="79"/>
    </row>
    <row r="1273" spans="1:27" x14ac:dyDescent="0.2">
      <c r="A1273" s="73"/>
      <c r="B1273" s="74"/>
      <c r="C1273" s="74"/>
      <c r="D1273" s="74"/>
      <c r="E1273" s="74"/>
      <c r="F1273" s="74"/>
      <c r="G1273" s="75"/>
      <c r="H1273" s="75"/>
      <c r="I1273" s="76"/>
      <c r="J1273" s="77"/>
      <c r="K1273" s="76"/>
      <c r="L1273" s="76"/>
      <c r="M1273" s="74"/>
      <c r="N1273" s="74"/>
      <c r="O1273" s="78"/>
      <c r="P1273" s="78"/>
      <c r="Q1273" s="78"/>
      <c r="R1273" s="78"/>
      <c r="S1273" s="79"/>
      <c r="T1273" s="79"/>
      <c r="U1273" s="79"/>
      <c r="V1273" s="79"/>
      <c r="W1273" s="79"/>
      <c r="X1273" s="79"/>
      <c r="Y1273" s="79"/>
      <c r="Z1273" s="79"/>
      <c r="AA1273" s="79"/>
    </row>
    <row r="1274" spans="1:27" x14ac:dyDescent="0.2">
      <c r="A1274" s="73"/>
      <c r="B1274" s="74"/>
      <c r="C1274" s="74"/>
      <c r="D1274" s="74"/>
      <c r="E1274" s="74"/>
      <c r="F1274" s="74"/>
      <c r="G1274" s="75"/>
      <c r="H1274" s="75"/>
      <c r="I1274" s="76"/>
      <c r="J1274" s="77"/>
      <c r="K1274" s="76"/>
      <c r="L1274" s="76"/>
      <c r="M1274" s="74"/>
      <c r="N1274" s="74"/>
      <c r="O1274" s="78"/>
      <c r="P1274" s="78"/>
      <c r="Q1274" s="78"/>
      <c r="R1274" s="78"/>
      <c r="S1274" s="79"/>
      <c r="T1274" s="79"/>
      <c r="U1274" s="79"/>
      <c r="V1274" s="79"/>
      <c r="W1274" s="79"/>
      <c r="X1274" s="79"/>
      <c r="Y1274" s="79"/>
      <c r="Z1274" s="79"/>
      <c r="AA1274" s="79"/>
    </row>
    <row r="1275" spans="1:27" x14ac:dyDescent="0.2">
      <c r="A1275" s="73"/>
      <c r="B1275" s="74"/>
      <c r="C1275" s="74"/>
      <c r="D1275" s="74"/>
      <c r="E1275" s="74"/>
      <c r="F1275" s="74"/>
      <c r="G1275" s="75"/>
      <c r="H1275" s="75"/>
      <c r="I1275" s="76"/>
      <c r="J1275" s="77"/>
      <c r="K1275" s="76"/>
      <c r="L1275" s="76"/>
      <c r="M1275" s="74"/>
      <c r="N1275" s="74"/>
      <c r="O1275" s="78"/>
      <c r="P1275" s="78"/>
      <c r="Q1275" s="78"/>
      <c r="R1275" s="78"/>
      <c r="S1275" s="79"/>
      <c r="T1275" s="79"/>
      <c r="U1275" s="79"/>
      <c r="V1275" s="79"/>
      <c r="W1275" s="79"/>
      <c r="X1275" s="79"/>
      <c r="Y1275" s="79"/>
      <c r="Z1275" s="79"/>
      <c r="AA1275" s="79"/>
    </row>
    <row r="1276" spans="1:27" x14ac:dyDescent="0.2">
      <c r="A1276" s="73"/>
      <c r="B1276" s="74"/>
      <c r="C1276" s="74"/>
      <c r="D1276" s="74"/>
      <c r="E1276" s="74"/>
      <c r="F1276" s="74"/>
      <c r="G1276" s="75"/>
      <c r="H1276" s="75"/>
      <c r="I1276" s="76"/>
      <c r="J1276" s="77"/>
      <c r="K1276" s="76"/>
      <c r="L1276" s="76"/>
      <c r="M1276" s="74"/>
      <c r="N1276" s="74"/>
      <c r="O1276" s="78"/>
      <c r="P1276" s="78"/>
      <c r="Q1276" s="78"/>
      <c r="R1276" s="78"/>
      <c r="S1276" s="79"/>
      <c r="T1276" s="79"/>
      <c r="U1276" s="79"/>
      <c r="V1276" s="79"/>
      <c r="W1276" s="79"/>
      <c r="X1276" s="79"/>
      <c r="Y1276" s="79"/>
      <c r="Z1276" s="79"/>
      <c r="AA1276" s="79"/>
    </row>
    <row r="1277" spans="1:27" x14ac:dyDescent="0.2">
      <c r="A1277" s="73"/>
      <c r="B1277" s="74"/>
      <c r="C1277" s="74"/>
      <c r="D1277" s="74"/>
      <c r="E1277" s="74"/>
      <c r="F1277" s="74"/>
      <c r="G1277" s="75"/>
      <c r="H1277" s="75"/>
      <c r="I1277" s="76"/>
      <c r="J1277" s="77"/>
      <c r="K1277" s="76"/>
      <c r="L1277" s="76"/>
      <c r="M1277" s="74"/>
      <c r="N1277" s="74"/>
      <c r="O1277" s="78"/>
      <c r="P1277" s="78"/>
      <c r="Q1277" s="78"/>
      <c r="R1277" s="78"/>
      <c r="S1277" s="79"/>
      <c r="T1277" s="79"/>
      <c r="U1277" s="79"/>
      <c r="V1277" s="79"/>
      <c r="W1277" s="79"/>
      <c r="X1277" s="79"/>
      <c r="Y1277" s="79"/>
      <c r="Z1277" s="79"/>
      <c r="AA1277" s="79"/>
    </row>
    <row r="1278" spans="1:27" x14ac:dyDescent="0.2">
      <c r="A1278" s="73"/>
      <c r="B1278" s="74"/>
      <c r="C1278" s="74"/>
      <c r="D1278" s="74"/>
      <c r="E1278" s="74"/>
      <c r="F1278" s="74"/>
      <c r="G1278" s="75"/>
      <c r="H1278" s="75"/>
      <c r="I1278" s="76"/>
      <c r="J1278" s="77"/>
      <c r="K1278" s="76"/>
      <c r="L1278" s="76"/>
      <c r="M1278" s="74"/>
      <c r="N1278" s="74"/>
      <c r="O1278" s="78"/>
      <c r="P1278" s="78"/>
      <c r="Q1278" s="78"/>
      <c r="R1278" s="78"/>
      <c r="S1278" s="79"/>
      <c r="T1278" s="79"/>
      <c r="U1278" s="79"/>
      <c r="V1278" s="79"/>
      <c r="W1278" s="79"/>
      <c r="X1278" s="79"/>
      <c r="Y1278" s="79"/>
      <c r="Z1278" s="79"/>
      <c r="AA1278" s="79"/>
    </row>
    <row r="1279" spans="1:27" x14ac:dyDescent="0.2">
      <c r="A1279" s="73"/>
      <c r="B1279" s="74"/>
      <c r="C1279" s="74"/>
      <c r="D1279" s="74"/>
      <c r="E1279" s="74"/>
      <c r="F1279" s="74"/>
      <c r="G1279" s="75"/>
      <c r="H1279" s="75"/>
      <c r="I1279" s="76"/>
      <c r="J1279" s="77"/>
      <c r="K1279" s="76"/>
      <c r="L1279" s="76"/>
      <c r="M1279" s="74"/>
      <c r="N1279" s="74"/>
      <c r="O1279" s="78"/>
      <c r="P1279" s="78"/>
      <c r="Q1279" s="78"/>
      <c r="R1279" s="78"/>
      <c r="S1279" s="79"/>
      <c r="T1279" s="79"/>
      <c r="U1279" s="79"/>
      <c r="V1279" s="79"/>
      <c r="W1279" s="79"/>
      <c r="X1279" s="79"/>
      <c r="Y1279" s="79"/>
      <c r="Z1279" s="79"/>
      <c r="AA1279" s="79"/>
    </row>
    <row r="1280" spans="1:27" x14ac:dyDescent="0.2">
      <c r="A1280" s="73"/>
      <c r="B1280" s="74"/>
      <c r="C1280" s="74"/>
      <c r="D1280" s="74"/>
      <c r="E1280" s="74"/>
      <c r="F1280" s="74"/>
      <c r="G1280" s="75"/>
      <c r="H1280" s="75"/>
      <c r="I1280" s="76"/>
      <c r="J1280" s="77"/>
      <c r="K1280" s="76"/>
      <c r="L1280" s="76"/>
      <c r="M1280" s="74"/>
      <c r="N1280" s="74"/>
      <c r="O1280" s="78"/>
      <c r="P1280" s="78"/>
      <c r="Q1280" s="78"/>
      <c r="R1280" s="78"/>
      <c r="S1280" s="79"/>
      <c r="T1280" s="79"/>
      <c r="U1280" s="79"/>
      <c r="V1280" s="79"/>
      <c r="W1280" s="79"/>
      <c r="X1280" s="79"/>
      <c r="Y1280" s="79"/>
      <c r="Z1280" s="79"/>
      <c r="AA1280" s="79"/>
    </row>
    <row r="1281" spans="1:27" x14ac:dyDescent="0.2">
      <c r="A1281" s="73"/>
      <c r="B1281" s="74"/>
      <c r="C1281" s="74"/>
      <c r="D1281" s="74"/>
      <c r="E1281" s="74"/>
      <c r="F1281" s="74"/>
      <c r="G1281" s="75"/>
      <c r="H1281" s="75"/>
      <c r="I1281" s="76"/>
      <c r="J1281" s="77"/>
      <c r="K1281" s="76"/>
      <c r="L1281" s="76"/>
      <c r="M1281" s="74"/>
      <c r="N1281" s="74"/>
      <c r="O1281" s="78"/>
      <c r="P1281" s="78"/>
      <c r="Q1281" s="78"/>
      <c r="R1281" s="78"/>
      <c r="S1281" s="79"/>
      <c r="T1281" s="79"/>
      <c r="U1281" s="79"/>
      <c r="V1281" s="79"/>
      <c r="W1281" s="79"/>
      <c r="X1281" s="79"/>
      <c r="Y1281" s="79"/>
      <c r="Z1281" s="79"/>
      <c r="AA1281" s="79"/>
    </row>
    <row r="1282" spans="1:27" x14ac:dyDescent="0.2">
      <c r="A1282" s="73"/>
      <c r="B1282" s="74"/>
      <c r="C1282" s="74"/>
      <c r="D1282" s="74"/>
      <c r="E1282" s="74"/>
      <c r="F1282" s="74"/>
      <c r="G1282" s="75"/>
      <c r="H1282" s="75"/>
      <c r="I1282" s="76"/>
      <c r="J1282" s="77"/>
      <c r="K1282" s="76"/>
      <c r="L1282" s="76"/>
      <c r="M1282" s="74"/>
      <c r="N1282" s="74"/>
      <c r="O1282" s="78"/>
      <c r="P1282" s="78"/>
      <c r="Q1282" s="78"/>
      <c r="R1282" s="78"/>
      <c r="S1282" s="79"/>
      <c r="T1282" s="79"/>
      <c r="U1282" s="79"/>
      <c r="V1282" s="79"/>
      <c r="W1282" s="79"/>
      <c r="X1282" s="79"/>
      <c r="Y1282" s="79"/>
      <c r="Z1282" s="79"/>
      <c r="AA1282" s="79"/>
    </row>
    <row r="1283" spans="1:27" x14ac:dyDescent="0.2">
      <c r="A1283" s="73"/>
      <c r="B1283" s="74"/>
      <c r="C1283" s="74"/>
      <c r="D1283" s="74"/>
      <c r="E1283" s="74"/>
      <c r="F1283" s="74"/>
      <c r="G1283" s="75"/>
      <c r="H1283" s="75"/>
      <c r="I1283" s="76"/>
      <c r="J1283" s="77"/>
      <c r="K1283" s="76"/>
      <c r="L1283" s="76"/>
      <c r="M1283" s="74"/>
      <c r="N1283" s="74"/>
      <c r="O1283" s="78"/>
      <c r="P1283" s="78"/>
      <c r="Q1283" s="78"/>
      <c r="R1283" s="78"/>
      <c r="S1283" s="79"/>
      <c r="T1283" s="79"/>
      <c r="U1283" s="79"/>
      <c r="V1283" s="79"/>
      <c r="W1283" s="79"/>
      <c r="X1283" s="79"/>
      <c r="Y1283" s="79"/>
      <c r="Z1283" s="79"/>
      <c r="AA1283" s="79"/>
    </row>
    <row r="1284" spans="1:27" x14ac:dyDescent="0.2">
      <c r="A1284" s="73"/>
      <c r="B1284" s="74"/>
      <c r="C1284" s="74"/>
      <c r="D1284" s="74"/>
      <c r="E1284" s="74"/>
      <c r="F1284" s="74"/>
      <c r="G1284" s="75"/>
      <c r="H1284" s="75"/>
      <c r="I1284" s="76"/>
      <c r="J1284" s="77"/>
      <c r="K1284" s="76"/>
      <c r="L1284" s="76"/>
      <c r="M1284" s="74"/>
      <c r="N1284" s="74"/>
      <c r="O1284" s="78"/>
      <c r="P1284" s="78"/>
      <c r="Q1284" s="78"/>
      <c r="R1284" s="78"/>
      <c r="S1284" s="79"/>
      <c r="T1284" s="79"/>
      <c r="U1284" s="79"/>
      <c r="V1284" s="79"/>
      <c r="W1284" s="79"/>
      <c r="X1284" s="79"/>
      <c r="Y1284" s="79"/>
      <c r="Z1284" s="79"/>
      <c r="AA1284" s="79"/>
    </row>
    <row r="1285" spans="1:27" x14ac:dyDescent="0.2">
      <c r="A1285" s="73"/>
      <c r="B1285" s="74"/>
      <c r="C1285" s="74"/>
      <c r="D1285" s="74"/>
      <c r="E1285" s="74"/>
      <c r="F1285" s="74"/>
      <c r="G1285" s="75"/>
      <c r="H1285" s="75"/>
      <c r="I1285" s="76"/>
      <c r="J1285" s="77"/>
      <c r="K1285" s="76"/>
      <c r="L1285" s="76"/>
      <c r="M1285" s="74"/>
      <c r="N1285" s="74"/>
      <c r="O1285" s="78"/>
      <c r="P1285" s="78"/>
      <c r="Q1285" s="78"/>
      <c r="R1285" s="78"/>
      <c r="S1285" s="79"/>
      <c r="T1285" s="79"/>
      <c r="U1285" s="79"/>
      <c r="V1285" s="79"/>
      <c r="W1285" s="79"/>
      <c r="X1285" s="79"/>
      <c r="Y1285" s="79"/>
      <c r="Z1285" s="79"/>
      <c r="AA1285" s="79"/>
    </row>
    <row r="1286" spans="1:27" x14ac:dyDescent="0.2">
      <c r="A1286" s="73"/>
      <c r="B1286" s="74"/>
      <c r="C1286" s="74"/>
      <c r="D1286" s="74"/>
      <c r="E1286" s="74"/>
      <c r="F1286" s="74"/>
      <c r="G1286" s="75"/>
      <c r="H1286" s="75"/>
      <c r="I1286" s="76"/>
      <c r="J1286" s="77"/>
      <c r="K1286" s="76"/>
      <c r="L1286" s="76"/>
      <c r="M1286" s="74"/>
      <c r="N1286" s="74"/>
      <c r="O1286" s="78"/>
      <c r="P1286" s="78"/>
      <c r="Q1286" s="78"/>
      <c r="R1286" s="78"/>
      <c r="S1286" s="79"/>
      <c r="T1286" s="79"/>
      <c r="U1286" s="79"/>
      <c r="V1286" s="79"/>
      <c r="W1286" s="79"/>
      <c r="X1286" s="79"/>
      <c r="Y1286" s="79"/>
      <c r="Z1286" s="79"/>
      <c r="AA1286" s="79"/>
    </row>
    <row r="1287" spans="1:27" x14ac:dyDescent="0.2">
      <c r="A1287" s="73"/>
      <c r="B1287" s="74"/>
      <c r="C1287" s="74"/>
      <c r="D1287" s="74"/>
      <c r="E1287" s="74"/>
      <c r="F1287" s="74"/>
      <c r="G1287" s="75"/>
      <c r="H1287" s="75"/>
      <c r="I1287" s="76"/>
      <c r="J1287" s="77"/>
      <c r="K1287" s="76"/>
      <c r="L1287" s="76"/>
      <c r="M1287" s="74"/>
      <c r="N1287" s="74"/>
      <c r="O1287" s="78"/>
      <c r="P1287" s="78"/>
      <c r="Q1287" s="78"/>
      <c r="R1287" s="78"/>
      <c r="S1287" s="79"/>
      <c r="T1287" s="79"/>
      <c r="U1287" s="79"/>
      <c r="V1287" s="79"/>
      <c r="W1287" s="79"/>
      <c r="X1287" s="79"/>
      <c r="Y1287" s="79"/>
      <c r="Z1287" s="79"/>
      <c r="AA1287" s="79"/>
    </row>
    <row r="1288" spans="1:27" x14ac:dyDescent="0.2">
      <c r="A1288" s="73"/>
      <c r="B1288" s="74"/>
      <c r="C1288" s="74"/>
      <c r="D1288" s="74"/>
      <c r="E1288" s="74"/>
      <c r="F1288" s="74"/>
      <c r="G1288" s="75"/>
      <c r="H1288" s="75"/>
      <c r="I1288" s="76"/>
      <c r="J1288" s="77"/>
      <c r="K1288" s="76"/>
      <c r="L1288" s="76"/>
      <c r="M1288" s="74"/>
      <c r="N1288" s="74"/>
      <c r="O1288" s="78"/>
      <c r="P1288" s="78"/>
      <c r="Q1288" s="78"/>
      <c r="R1288" s="78"/>
      <c r="S1288" s="79"/>
      <c r="T1288" s="79"/>
      <c r="U1288" s="79"/>
      <c r="V1288" s="79"/>
      <c r="W1288" s="79"/>
      <c r="X1288" s="79"/>
      <c r="Y1288" s="79"/>
      <c r="Z1288" s="79"/>
      <c r="AA1288" s="79"/>
    </row>
    <row r="1289" spans="1:27" x14ac:dyDescent="0.2">
      <c r="A1289" s="73"/>
      <c r="B1289" s="74"/>
      <c r="C1289" s="74"/>
      <c r="D1289" s="74"/>
      <c r="E1289" s="74"/>
      <c r="F1289" s="74"/>
      <c r="G1289" s="75"/>
      <c r="H1289" s="75"/>
      <c r="I1289" s="76"/>
      <c r="J1289" s="77"/>
      <c r="K1289" s="76"/>
      <c r="L1289" s="76"/>
      <c r="M1289" s="74"/>
      <c r="N1289" s="74"/>
      <c r="O1289" s="78"/>
      <c r="P1289" s="78"/>
      <c r="Q1289" s="78"/>
      <c r="R1289" s="78"/>
      <c r="S1289" s="79"/>
      <c r="T1289" s="79"/>
      <c r="U1289" s="79"/>
      <c r="V1289" s="79"/>
      <c r="W1289" s="79"/>
      <c r="X1289" s="79"/>
      <c r="Y1289" s="79"/>
      <c r="Z1289" s="79"/>
      <c r="AA1289" s="79"/>
    </row>
    <row r="1290" spans="1:27" x14ac:dyDescent="0.2">
      <c r="A1290" s="73"/>
      <c r="B1290" s="74"/>
      <c r="C1290" s="74"/>
      <c r="D1290" s="74"/>
      <c r="E1290" s="74"/>
      <c r="F1290" s="74"/>
      <c r="G1290" s="75"/>
      <c r="H1290" s="75"/>
      <c r="I1290" s="76"/>
      <c r="J1290" s="77"/>
      <c r="K1290" s="76"/>
      <c r="L1290" s="76"/>
      <c r="M1290" s="74"/>
      <c r="N1290" s="74"/>
      <c r="O1290" s="78"/>
      <c r="P1290" s="78"/>
      <c r="Q1290" s="78"/>
      <c r="R1290" s="78"/>
      <c r="S1290" s="79"/>
      <c r="T1290" s="79"/>
      <c r="U1290" s="79"/>
      <c r="V1290" s="79"/>
      <c r="W1290" s="79"/>
      <c r="X1290" s="79"/>
      <c r="Y1290" s="79"/>
      <c r="Z1290" s="79"/>
      <c r="AA1290" s="79"/>
    </row>
    <row r="1291" spans="1:27" x14ac:dyDescent="0.2">
      <c r="A1291" s="73"/>
      <c r="B1291" s="74"/>
      <c r="C1291" s="74"/>
      <c r="D1291" s="74"/>
      <c r="E1291" s="74"/>
      <c r="F1291" s="74"/>
      <c r="G1291" s="75"/>
      <c r="H1291" s="75"/>
      <c r="I1291" s="76"/>
      <c r="J1291" s="77"/>
      <c r="K1291" s="76"/>
      <c r="L1291" s="76"/>
      <c r="M1291" s="74"/>
      <c r="N1291" s="74"/>
      <c r="O1291" s="78"/>
      <c r="P1291" s="78"/>
      <c r="Q1291" s="78"/>
      <c r="R1291" s="78"/>
      <c r="S1291" s="79"/>
      <c r="T1291" s="79"/>
      <c r="U1291" s="79"/>
      <c r="V1291" s="79"/>
      <c r="W1291" s="79"/>
      <c r="X1291" s="79"/>
      <c r="Y1291" s="79"/>
      <c r="Z1291" s="79"/>
      <c r="AA1291" s="79"/>
    </row>
    <row r="1292" spans="1:27" x14ac:dyDescent="0.2">
      <c r="A1292" s="73"/>
      <c r="B1292" s="74"/>
      <c r="C1292" s="74"/>
      <c r="D1292" s="74"/>
      <c r="E1292" s="74"/>
      <c r="F1292" s="74"/>
      <c r="G1292" s="75"/>
      <c r="H1292" s="75"/>
      <c r="I1292" s="76"/>
      <c r="J1292" s="77"/>
      <c r="K1292" s="76"/>
      <c r="L1292" s="76"/>
      <c r="M1292" s="74"/>
      <c r="N1292" s="74"/>
      <c r="O1292" s="78"/>
      <c r="P1292" s="78"/>
      <c r="Q1292" s="78"/>
      <c r="R1292" s="78"/>
      <c r="S1292" s="79"/>
      <c r="T1292" s="79"/>
      <c r="U1292" s="79"/>
      <c r="V1292" s="79"/>
      <c r="W1292" s="79"/>
      <c r="X1292" s="79"/>
      <c r="Y1292" s="79"/>
      <c r="Z1292" s="79"/>
      <c r="AA1292" s="79"/>
    </row>
    <row r="1293" spans="1:27" x14ac:dyDescent="0.2">
      <c r="A1293" s="73"/>
      <c r="B1293" s="74"/>
      <c r="C1293" s="74"/>
      <c r="D1293" s="74"/>
      <c r="E1293" s="74"/>
      <c r="F1293" s="74"/>
      <c r="G1293" s="75"/>
      <c r="H1293" s="75"/>
      <c r="I1293" s="76"/>
      <c r="J1293" s="77"/>
      <c r="K1293" s="76"/>
      <c r="L1293" s="76"/>
      <c r="M1293" s="74"/>
      <c r="N1293" s="74"/>
      <c r="O1293" s="78"/>
      <c r="P1293" s="78"/>
      <c r="Q1293" s="78"/>
      <c r="R1293" s="78"/>
      <c r="S1293" s="79"/>
      <c r="T1293" s="79"/>
      <c r="U1293" s="79"/>
      <c r="V1293" s="79"/>
      <c r="W1293" s="79"/>
      <c r="X1293" s="79"/>
      <c r="Y1293" s="79"/>
      <c r="Z1293" s="79"/>
      <c r="AA1293" s="79"/>
    </row>
    <row r="1294" spans="1:27" x14ac:dyDescent="0.2">
      <c r="A1294" s="73"/>
      <c r="B1294" s="74"/>
      <c r="C1294" s="74"/>
      <c r="D1294" s="74"/>
      <c r="E1294" s="74"/>
      <c r="F1294" s="74"/>
      <c r="G1294" s="75"/>
      <c r="H1294" s="75"/>
      <c r="I1294" s="76"/>
      <c r="J1294" s="77"/>
      <c r="K1294" s="76"/>
      <c r="L1294" s="76"/>
      <c r="M1294" s="74"/>
      <c r="N1294" s="74"/>
      <c r="O1294" s="78"/>
      <c r="P1294" s="78"/>
      <c r="Q1294" s="78"/>
      <c r="R1294" s="78"/>
      <c r="S1294" s="79"/>
      <c r="T1294" s="79"/>
      <c r="U1294" s="79"/>
      <c r="V1294" s="79"/>
      <c r="W1294" s="79"/>
      <c r="X1294" s="79"/>
      <c r="Y1294" s="79"/>
      <c r="Z1294" s="79"/>
      <c r="AA1294" s="79"/>
    </row>
    <row r="1295" spans="1:27" x14ac:dyDescent="0.2">
      <c r="A1295" s="73"/>
      <c r="B1295" s="74"/>
      <c r="C1295" s="74"/>
      <c r="D1295" s="74"/>
      <c r="E1295" s="74"/>
      <c r="F1295" s="74"/>
      <c r="G1295" s="75"/>
      <c r="H1295" s="75"/>
      <c r="I1295" s="76"/>
      <c r="J1295" s="77"/>
      <c r="K1295" s="76"/>
      <c r="L1295" s="76"/>
      <c r="M1295" s="74"/>
      <c r="N1295" s="74"/>
      <c r="O1295" s="78"/>
      <c r="P1295" s="78"/>
      <c r="Q1295" s="78"/>
      <c r="R1295" s="78"/>
      <c r="S1295" s="79"/>
      <c r="T1295" s="79"/>
      <c r="U1295" s="79"/>
      <c r="V1295" s="79"/>
      <c r="W1295" s="79"/>
      <c r="X1295" s="79"/>
      <c r="Y1295" s="79"/>
      <c r="Z1295" s="79"/>
      <c r="AA1295" s="79"/>
    </row>
    <row r="1296" spans="1:27" x14ac:dyDescent="0.2">
      <c r="A1296" s="73"/>
      <c r="B1296" s="74"/>
      <c r="C1296" s="74"/>
      <c r="D1296" s="74"/>
      <c r="E1296" s="74"/>
      <c r="F1296" s="74"/>
      <c r="G1296" s="75"/>
      <c r="H1296" s="75"/>
      <c r="I1296" s="76"/>
      <c r="J1296" s="77"/>
      <c r="K1296" s="76"/>
      <c r="L1296" s="76"/>
      <c r="M1296" s="74"/>
      <c r="N1296" s="74"/>
      <c r="O1296" s="78"/>
      <c r="P1296" s="78"/>
      <c r="Q1296" s="78"/>
      <c r="R1296" s="78"/>
      <c r="S1296" s="79"/>
      <c r="T1296" s="79"/>
      <c r="U1296" s="79"/>
      <c r="V1296" s="79"/>
      <c r="W1296" s="79"/>
      <c r="X1296" s="79"/>
      <c r="Y1296" s="79"/>
      <c r="Z1296" s="79"/>
      <c r="AA1296" s="79"/>
    </row>
    <row r="1297" spans="1:27" x14ac:dyDescent="0.2">
      <c r="A1297" s="73"/>
      <c r="B1297" s="74"/>
      <c r="C1297" s="74"/>
      <c r="D1297" s="74"/>
      <c r="E1297" s="74"/>
      <c r="F1297" s="74"/>
      <c r="G1297" s="75"/>
      <c r="H1297" s="75"/>
      <c r="I1297" s="76"/>
      <c r="J1297" s="77"/>
      <c r="K1297" s="76"/>
      <c r="L1297" s="76"/>
      <c r="M1297" s="74"/>
      <c r="N1297" s="74"/>
      <c r="O1297" s="78"/>
      <c r="P1297" s="78"/>
      <c r="Q1297" s="78"/>
      <c r="R1297" s="78"/>
      <c r="S1297" s="79"/>
      <c r="T1297" s="79"/>
      <c r="U1297" s="79"/>
      <c r="V1297" s="79"/>
      <c r="W1297" s="79"/>
      <c r="X1297" s="79"/>
      <c r="Y1297" s="79"/>
      <c r="Z1297" s="79"/>
      <c r="AA1297" s="79"/>
    </row>
    <row r="1298" spans="1:27" x14ac:dyDescent="0.2">
      <c r="A1298" s="73"/>
      <c r="B1298" s="74"/>
      <c r="C1298" s="74"/>
      <c r="D1298" s="74"/>
      <c r="E1298" s="74"/>
      <c r="F1298" s="74"/>
      <c r="G1298" s="75"/>
      <c r="H1298" s="75"/>
      <c r="I1298" s="76"/>
      <c r="J1298" s="77"/>
      <c r="K1298" s="76"/>
      <c r="L1298" s="76"/>
      <c r="M1298" s="74"/>
      <c r="N1298" s="74"/>
      <c r="O1298" s="78"/>
      <c r="P1298" s="78"/>
      <c r="Q1298" s="78"/>
      <c r="R1298" s="78"/>
      <c r="S1298" s="79"/>
      <c r="T1298" s="79"/>
      <c r="U1298" s="79"/>
      <c r="V1298" s="79"/>
      <c r="W1298" s="79"/>
      <c r="X1298" s="79"/>
      <c r="Y1298" s="79"/>
      <c r="Z1298" s="79"/>
      <c r="AA1298" s="79"/>
    </row>
    <row r="1299" spans="1:27" x14ac:dyDescent="0.2">
      <c r="A1299" s="73"/>
      <c r="B1299" s="74"/>
      <c r="C1299" s="74"/>
      <c r="D1299" s="74"/>
      <c r="E1299" s="74"/>
      <c r="F1299" s="74"/>
      <c r="G1299" s="75"/>
      <c r="H1299" s="75"/>
      <c r="I1299" s="76"/>
      <c r="J1299" s="77"/>
      <c r="K1299" s="76"/>
      <c r="L1299" s="76"/>
      <c r="M1299" s="74"/>
      <c r="N1299" s="74"/>
      <c r="O1299" s="78"/>
      <c r="P1299" s="78"/>
      <c r="Q1299" s="78"/>
      <c r="R1299" s="78"/>
      <c r="S1299" s="79"/>
      <c r="T1299" s="79"/>
      <c r="U1299" s="79"/>
      <c r="V1299" s="79"/>
      <c r="W1299" s="79"/>
      <c r="X1299" s="79"/>
      <c r="Y1299" s="79"/>
      <c r="Z1299" s="79"/>
      <c r="AA1299" s="79"/>
    </row>
    <row r="1300" spans="1:27" x14ac:dyDescent="0.2">
      <c r="A1300" s="73"/>
      <c r="B1300" s="74"/>
      <c r="C1300" s="74"/>
      <c r="D1300" s="74"/>
      <c r="E1300" s="74"/>
      <c r="F1300" s="74"/>
      <c r="G1300" s="75"/>
      <c r="H1300" s="75"/>
      <c r="I1300" s="76"/>
      <c r="J1300" s="77"/>
      <c r="K1300" s="76"/>
      <c r="L1300" s="76"/>
      <c r="M1300" s="74"/>
      <c r="N1300" s="74"/>
      <c r="O1300" s="78"/>
      <c r="P1300" s="78"/>
      <c r="Q1300" s="78"/>
      <c r="R1300" s="78"/>
      <c r="S1300" s="79"/>
      <c r="T1300" s="79"/>
      <c r="U1300" s="79"/>
      <c r="V1300" s="79"/>
      <c r="W1300" s="79"/>
      <c r="X1300" s="79"/>
      <c r="Y1300" s="79"/>
      <c r="Z1300" s="79"/>
      <c r="AA1300" s="79"/>
    </row>
    <row r="1301" spans="1:27" x14ac:dyDescent="0.2">
      <c r="A1301" s="73"/>
      <c r="B1301" s="74"/>
      <c r="C1301" s="74"/>
      <c r="D1301" s="74"/>
      <c r="E1301" s="74"/>
      <c r="F1301" s="74"/>
      <c r="G1301" s="75"/>
      <c r="H1301" s="75"/>
      <c r="I1301" s="76"/>
      <c r="J1301" s="77"/>
      <c r="K1301" s="76"/>
      <c r="L1301" s="76"/>
      <c r="M1301" s="74"/>
      <c r="N1301" s="74"/>
      <c r="O1301" s="78"/>
      <c r="P1301" s="78"/>
      <c r="Q1301" s="78"/>
      <c r="R1301" s="78"/>
      <c r="S1301" s="79"/>
      <c r="T1301" s="79"/>
      <c r="U1301" s="79"/>
      <c r="V1301" s="79"/>
      <c r="W1301" s="79"/>
      <c r="X1301" s="79"/>
      <c r="Y1301" s="79"/>
      <c r="Z1301" s="79"/>
      <c r="AA1301" s="79"/>
    </row>
    <row r="1302" spans="1:27" x14ac:dyDescent="0.2">
      <c r="A1302" s="73"/>
      <c r="B1302" s="74"/>
      <c r="C1302" s="74"/>
      <c r="D1302" s="74"/>
      <c r="E1302" s="74"/>
      <c r="F1302" s="74"/>
      <c r="G1302" s="75"/>
      <c r="H1302" s="75"/>
      <c r="I1302" s="76"/>
      <c r="J1302" s="77"/>
      <c r="K1302" s="76"/>
      <c r="L1302" s="76"/>
      <c r="M1302" s="74"/>
      <c r="N1302" s="74"/>
      <c r="O1302" s="78"/>
      <c r="P1302" s="78"/>
      <c r="Q1302" s="78"/>
      <c r="R1302" s="78"/>
      <c r="S1302" s="79"/>
      <c r="T1302" s="79"/>
      <c r="U1302" s="79"/>
      <c r="V1302" s="79"/>
      <c r="W1302" s="79"/>
      <c r="X1302" s="79"/>
      <c r="Y1302" s="79"/>
      <c r="Z1302" s="79"/>
      <c r="AA1302" s="79"/>
    </row>
    <row r="1303" spans="1:27" x14ac:dyDescent="0.2">
      <c r="A1303" s="73"/>
      <c r="B1303" s="74"/>
      <c r="C1303" s="74"/>
      <c r="D1303" s="74"/>
      <c r="E1303" s="74"/>
      <c r="F1303" s="74"/>
      <c r="G1303" s="75"/>
      <c r="H1303" s="75"/>
      <c r="I1303" s="76"/>
      <c r="J1303" s="77"/>
      <c r="K1303" s="76"/>
      <c r="L1303" s="76"/>
      <c r="M1303" s="74"/>
      <c r="N1303" s="74"/>
      <c r="O1303" s="78"/>
      <c r="P1303" s="78"/>
      <c r="Q1303" s="78"/>
      <c r="R1303" s="78"/>
      <c r="S1303" s="79"/>
      <c r="T1303" s="79"/>
      <c r="U1303" s="79"/>
      <c r="V1303" s="79"/>
      <c r="W1303" s="79"/>
      <c r="X1303" s="79"/>
      <c r="Y1303" s="79"/>
      <c r="Z1303" s="79"/>
      <c r="AA1303" s="79"/>
    </row>
    <row r="1304" spans="1:27" x14ac:dyDescent="0.2">
      <c r="A1304" s="73"/>
      <c r="B1304" s="74"/>
      <c r="C1304" s="74"/>
      <c r="D1304" s="74"/>
      <c r="E1304" s="74"/>
      <c r="F1304" s="74"/>
      <c r="G1304" s="75"/>
      <c r="H1304" s="75"/>
      <c r="I1304" s="76"/>
      <c r="J1304" s="77"/>
      <c r="K1304" s="76"/>
      <c r="L1304" s="76"/>
      <c r="M1304" s="74"/>
      <c r="N1304" s="74"/>
      <c r="O1304" s="78"/>
      <c r="P1304" s="78"/>
      <c r="Q1304" s="78"/>
      <c r="R1304" s="78"/>
      <c r="S1304" s="79"/>
      <c r="T1304" s="79"/>
      <c r="U1304" s="79"/>
      <c r="V1304" s="79"/>
      <c r="W1304" s="79"/>
      <c r="X1304" s="79"/>
      <c r="Y1304" s="79"/>
      <c r="Z1304" s="79"/>
      <c r="AA1304" s="79"/>
    </row>
    <row r="1305" spans="1:27" x14ac:dyDescent="0.2">
      <c r="A1305" s="73"/>
      <c r="B1305" s="74"/>
      <c r="C1305" s="74"/>
      <c r="D1305" s="74"/>
      <c r="E1305" s="74"/>
      <c r="F1305" s="74"/>
      <c r="G1305" s="75"/>
      <c r="H1305" s="75"/>
      <c r="I1305" s="76"/>
      <c r="J1305" s="77"/>
      <c r="K1305" s="76"/>
      <c r="L1305" s="76"/>
      <c r="M1305" s="74"/>
      <c r="N1305" s="74"/>
      <c r="O1305" s="78"/>
      <c r="P1305" s="78"/>
      <c r="Q1305" s="78"/>
      <c r="R1305" s="78"/>
      <c r="S1305" s="79"/>
      <c r="T1305" s="79"/>
      <c r="U1305" s="79"/>
      <c r="V1305" s="79"/>
      <c r="W1305" s="79"/>
      <c r="X1305" s="79"/>
      <c r="Y1305" s="79"/>
      <c r="Z1305" s="79"/>
      <c r="AA1305" s="79"/>
    </row>
    <row r="1306" spans="1:27" x14ac:dyDescent="0.2">
      <c r="A1306" s="73"/>
      <c r="B1306" s="74"/>
      <c r="C1306" s="74"/>
      <c r="D1306" s="74"/>
      <c r="E1306" s="74"/>
      <c r="F1306" s="74"/>
      <c r="G1306" s="75"/>
      <c r="H1306" s="75"/>
      <c r="I1306" s="76"/>
      <c r="J1306" s="77"/>
      <c r="K1306" s="76"/>
      <c r="L1306" s="76"/>
      <c r="M1306" s="74"/>
      <c r="N1306" s="74"/>
      <c r="O1306" s="78"/>
      <c r="P1306" s="78"/>
      <c r="Q1306" s="78"/>
      <c r="R1306" s="78"/>
      <c r="S1306" s="79"/>
      <c r="T1306" s="79"/>
      <c r="U1306" s="79"/>
      <c r="V1306" s="79"/>
      <c r="W1306" s="79"/>
      <c r="X1306" s="79"/>
      <c r="Y1306" s="79"/>
      <c r="Z1306" s="79"/>
      <c r="AA1306" s="79"/>
    </row>
    <row r="1307" spans="1:27" x14ac:dyDescent="0.2">
      <c r="A1307" s="73"/>
      <c r="B1307" s="74"/>
      <c r="C1307" s="74"/>
      <c r="D1307" s="74"/>
      <c r="E1307" s="74"/>
      <c r="F1307" s="74"/>
      <c r="G1307" s="75"/>
      <c r="H1307" s="75"/>
      <c r="I1307" s="76"/>
      <c r="J1307" s="77"/>
      <c r="K1307" s="76"/>
      <c r="L1307" s="76"/>
      <c r="M1307" s="74"/>
      <c r="N1307" s="74"/>
      <c r="O1307" s="78"/>
      <c r="P1307" s="78"/>
      <c r="Q1307" s="78"/>
      <c r="R1307" s="78"/>
      <c r="S1307" s="79"/>
      <c r="T1307" s="79"/>
      <c r="U1307" s="79"/>
      <c r="V1307" s="79"/>
      <c r="W1307" s="79"/>
      <c r="X1307" s="79"/>
      <c r="Y1307" s="79"/>
      <c r="Z1307" s="79"/>
      <c r="AA1307" s="79"/>
    </row>
    <row r="1308" spans="1:27" x14ac:dyDescent="0.2">
      <c r="A1308" s="73"/>
      <c r="B1308" s="74"/>
      <c r="C1308" s="74"/>
      <c r="D1308" s="74"/>
      <c r="E1308" s="74"/>
      <c r="F1308" s="74"/>
      <c r="G1308" s="75"/>
      <c r="H1308" s="75"/>
      <c r="I1308" s="76"/>
      <c r="J1308" s="77"/>
      <c r="K1308" s="76"/>
      <c r="L1308" s="76"/>
      <c r="M1308" s="74"/>
      <c r="N1308" s="74"/>
      <c r="O1308" s="78"/>
      <c r="P1308" s="78"/>
      <c r="Q1308" s="78"/>
      <c r="R1308" s="78"/>
      <c r="S1308" s="79"/>
      <c r="T1308" s="79"/>
      <c r="U1308" s="79"/>
      <c r="V1308" s="79"/>
      <c r="W1308" s="79"/>
      <c r="X1308" s="79"/>
      <c r="Y1308" s="79"/>
      <c r="Z1308" s="79"/>
      <c r="AA1308" s="79"/>
    </row>
    <row r="1309" spans="1:27" x14ac:dyDescent="0.2">
      <c r="A1309" s="73"/>
      <c r="B1309" s="74"/>
      <c r="C1309" s="74"/>
      <c r="D1309" s="74"/>
      <c r="E1309" s="74"/>
      <c r="F1309" s="74"/>
      <c r="G1309" s="75"/>
      <c r="H1309" s="75"/>
      <c r="I1309" s="76"/>
      <c r="J1309" s="77"/>
      <c r="K1309" s="76"/>
      <c r="L1309" s="76"/>
      <c r="M1309" s="74"/>
      <c r="N1309" s="74"/>
      <c r="O1309" s="78"/>
      <c r="P1309" s="78"/>
      <c r="Q1309" s="78"/>
      <c r="R1309" s="78"/>
      <c r="S1309" s="79"/>
      <c r="T1309" s="79"/>
      <c r="U1309" s="79"/>
      <c r="V1309" s="79"/>
      <c r="W1309" s="79"/>
      <c r="X1309" s="79"/>
      <c r="Y1309" s="79"/>
      <c r="Z1309" s="79"/>
      <c r="AA1309" s="79"/>
    </row>
    <row r="1310" spans="1:27" x14ac:dyDescent="0.2">
      <c r="A1310" s="73"/>
      <c r="B1310" s="74"/>
      <c r="C1310" s="74"/>
      <c r="D1310" s="74"/>
      <c r="E1310" s="74"/>
      <c r="F1310" s="74"/>
      <c r="G1310" s="75"/>
      <c r="H1310" s="75"/>
      <c r="I1310" s="76"/>
      <c r="J1310" s="77"/>
      <c r="K1310" s="76"/>
      <c r="L1310" s="76"/>
      <c r="M1310" s="74"/>
      <c r="N1310" s="74"/>
      <c r="O1310" s="78"/>
      <c r="P1310" s="78"/>
      <c r="Q1310" s="78"/>
      <c r="R1310" s="78"/>
      <c r="S1310" s="79"/>
      <c r="T1310" s="79"/>
      <c r="U1310" s="79"/>
      <c r="V1310" s="79"/>
      <c r="W1310" s="79"/>
      <c r="X1310" s="79"/>
      <c r="Y1310" s="79"/>
      <c r="Z1310" s="79"/>
      <c r="AA1310" s="79"/>
    </row>
    <row r="1311" spans="1:27" x14ac:dyDescent="0.2">
      <c r="A1311" s="73"/>
      <c r="B1311" s="74"/>
      <c r="C1311" s="74"/>
      <c r="D1311" s="74"/>
      <c r="E1311" s="74"/>
      <c r="F1311" s="74"/>
      <c r="G1311" s="75"/>
      <c r="H1311" s="75"/>
      <c r="I1311" s="76"/>
      <c r="J1311" s="77"/>
      <c r="K1311" s="76"/>
      <c r="L1311" s="76"/>
      <c r="M1311" s="74"/>
      <c r="N1311" s="74"/>
      <c r="O1311" s="78"/>
      <c r="P1311" s="78"/>
      <c r="Q1311" s="78"/>
      <c r="R1311" s="78"/>
      <c r="S1311" s="79"/>
      <c r="T1311" s="79"/>
      <c r="U1311" s="79"/>
      <c r="V1311" s="79"/>
      <c r="W1311" s="79"/>
      <c r="X1311" s="79"/>
      <c r="Y1311" s="79"/>
      <c r="Z1311" s="79"/>
      <c r="AA1311" s="79"/>
    </row>
    <row r="1312" spans="1:27" x14ac:dyDescent="0.2">
      <c r="A1312" s="73"/>
      <c r="B1312" s="74"/>
      <c r="C1312" s="74"/>
      <c r="D1312" s="74"/>
      <c r="E1312" s="74"/>
      <c r="F1312" s="74"/>
      <c r="G1312" s="75"/>
      <c r="H1312" s="75"/>
      <c r="I1312" s="76"/>
      <c r="J1312" s="77"/>
      <c r="K1312" s="76"/>
      <c r="L1312" s="76"/>
      <c r="M1312" s="74"/>
      <c r="N1312" s="74"/>
      <c r="O1312" s="78"/>
      <c r="P1312" s="78"/>
      <c r="Q1312" s="78"/>
      <c r="R1312" s="78"/>
      <c r="S1312" s="79"/>
      <c r="T1312" s="79"/>
      <c r="U1312" s="79"/>
      <c r="V1312" s="79"/>
      <c r="W1312" s="79"/>
      <c r="X1312" s="79"/>
      <c r="Y1312" s="79"/>
      <c r="Z1312" s="79"/>
      <c r="AA1312" s="79"/>
    </row>
    <row r="1313" spans="1:27" x14ac:dyDescent="0.2">
      <c r="A1313" s="73"/>
      <c r="B1313" s="74"/>
      <c r="C1313" s="74"/>
      <c r="D1313" s="74"/>
      <c r="E1313" s="74"/>
      <c r="F1313" s="74"/>
      <c r="G1313" s="75"/>
      <c r="H1313" s="75"/>
      <c r="I1313" s="76"/>
      <c r="J1313" s="77"/>
      <c r="K1313" s="76"/>
      <c r="L1313" s="76"/>
      <c r="M1313" s="74"/>
      <c r="N1313" s="74"/>
      <c r="O1313" s="78"/>
      <c r="P1313" s="78"/>
      <c r="Q1313" s="78"/>
      <c r="R1313" s="78"/>
      <c r="S1313" s="79"/>
      <c r="T1313" s="79"/>
      <c r="U1313" s="79"/>
      <c r="V1313" s="79"/>
      <c r="W1313" s="79"/>
      <c r="X1313" s="79"/>
      <c r="Y1313" s="79"/>
      <c r="Z1313" s="79"/>
      <c r="AA1313" s="79"/>
    </row>
    <row r="1314" spans="1:27" x14ac:dyDescent="0.2">
      <c r="A1314" s="73"/>
      <c r="B1314" s="74"/>
      <c r="C1314" s="74"/>
      <c r="D1314" s="74"/>
      <c r="E1314" s="74"/>
      <c r="F1314" s="74"/>
      <c r="G1314" s="75"/>
      <c r="H1314" s="75"/>
      <c r="I1314" s="76"/>
      <c r="J1314" s="77"/>
      <c r="K1314" s="76"/>
      <c r="L1314" s="76"/>
      <c r="M1314" s="74"/>
      <c r="N1314" s="74"/>
      <c r="O1314" s="78"/>
      <c r="P1314" s="78"/>
      <c r="Q1314" s="78"/>
      <c r="R1314" s="78"/>
      <c r="S1314" s="79"/>
      <c r="T1314" s="79"/>
      <c r="U1314" s="79"/>
      <c r="V1314" s="79"/>
      <c r="W1314" s="79"/>
      <c r="X1314" s="79"/>
      <c r="Y1314" s="79"/>
      <c r="Z1314" s="79"/>
      <c r="AA1314" s="79"/>
    </row>
    <row r="1315" spans="1:27" x14ac:dyDescent="0.2">
      <c r="A1315" s="73"/>
      <c r="B1315" s="74"/>
      <c r="C1315" s="74"/>
      <c r="D1315" s="74"/>
      <c r="E1315" s="74"/>
      <c r="F1315" s="74"/>
      <c r="G1315" s="75"/>
      <c r="H1315" s="75"/>
      <c r="I1315" s="76"/>
      <c r="J1315" s="77"/>
      <c r="K1315" s="76"/>
      <c r="L1315" s="76"/>
      <c r="M1315" s="74"/>
      <c r="N1315" s="74"/>
      <c r="O1315" s="78"/>
      <c r="P1315" s="78"/>
      <c r="Q1315" s="78"/>
      <c r="R1315" s="78"/>
      <c r="S1315" s="79"/>
      <c r="T1315" s="79"/>
      <c r="U1315" s="79"/>
      <c r="V1315" s="79"/>
      <c r="W1315" s="79"/>
      <c r="X1315" s="79"/>
      <c r="Y1315" s="79"/>
      <c r="Z1315" s="79"/>
      <c r="AA1315" s="79"/>
    </row>
    <row r="1316" spans="1:27" x14ac:dyDescent="0.2">
      <c r="A1316" s="73"/>
      <c r="B1316" s="74"/>
      <c r="C1316" s="74"/>
      <c r="D1316" s="74"/>
      <c r="E1316" s="74"/>
      <c r="F1316" s="74"/>
      <c r="G1316" s="75"/>
      <c r="H1316" s="75"/>
      <c r="I1316" s="76"/>
      <c r="J1316" s="77"/>
      <c r="K1316" s="76"/>
      <c r="L1316" s="76"/>
      <c r="M1316" s="74"/>
      <c r="N1316" s="74"/>
      <c r="O1316" s="78"/>
      <c r="P1316" s="78"/>
      <c r="Q1316" s="78"/>
      <c r="R1316" s="78"/>
      <c r="S1316" s="79"/>
      <c r="T1316" s="79"/>
      <c r="U1316" s="79"/>
      <c r="V1316" s="79"/>
      <c r="W1316" s="79"/>
      <c r="X1316" s="79"/>
      <c r="Y1316" s="79"/>
      <c r="Z1316" s="79"/>
      <c r="AA1316" s="79"/>
    </row>
    <row r="1317" spans="1:27" x14ac:dyDescent="0.2">
      <c r="A1317" s="73"/>
      <c r="B1317" s="74"/>
      <c r="C1317" s="74"/>
      <c r="D1317" s="74"/>
      <c r="E1317" s="74"/>
      <c r="F1317" s="74"/>
      <c r="G1317" s="75"/>
      <c r="H1317" s="75"/>
      <c r="I1317" s="76"/>
      <c r="J1317" s="77"/>
      <c r="K1317" s="76"/>
      <c r="L1317" s="76"/>
      <c r="M1317" s="74"/>
      <c r="N1317" s="74"/>
      <c r="O1317" s="78"/>
      <c r="P1317" s="78"/>
      <c r="Q1317" s="78"/>
      <c r="R1317" s="78"/>
      <c r="S1317" s="79"/>
      <c r="T1317" s="79"/>
      <c r="U1317" s="79"/>
      <c r="V1317" s="79"/>
      <c r="W1317" s="79"/>
      <c r="X1317" s="79"/>
      <c r="Y1317" s="79"/>
      <c r="Z1317" s="79"/>
      <c r="AA1317" s="79"/>
    </row>
    <row r="1318" spans="1:27" x14ac:dyDescent="0.2">
      <c r="A1318" s="73"/>
      <c r="B1318" s="74"/>
      <c r="C1318" s="74"/>
      <c r="D1318" s="74"/>
      <c r="E1318" s="74"/>
      <c r="F1318" s="74"/>
      <c r="G1318" s="75"/>
      <c r="H1318" s="75"/>
      <c r="I1318" s="76"/>
      <c r="J1318" s="77"/>
      <c r="K1318" s="76"/>
      <c r="L1318" s="76"/>
      <c r="M1318" s="74"/>
      <c r="N1318" s="74"/>
      <c r="O1318" s="78"/>
      <c r="P1318" s="78"/>
      <c r="Q1318" s="78"/>
      <c r="R1318" s="78"/>
      <c r="S1318" s="79"/>
      <c r="T1318" s="79"/>
      <c r="U1318" s="79"/>
      <c r="V1318" s="79"/>
      <c r="W1318" s="79"/>
      <c r="X1318" s="79"/>
      <c r="Y1318" s="79"/>
      <c r="Z1318" s="79"/>
      <c r="AA1318" s="79"/>
    </row>
    <row r="1319" spans="1:27" x14ac:dyDescent="0.2">
      <c r="A1319" s="73"/>
      <c r="B1319" s="74"/>
      <c r="C1319" s="74"/>
      <c r="D1319" s="74"/>
      <c r="E1319" s="74"/>
      <c r="F1319" s="74"/>
      <c r="G1319" s="75"/>
      <c r="H1319" s="75"/>
      <c r="I1319" s="76"/>
      <c r="J1319" s="77"/>
      <c r="K1319" s="76"/>
      <c r="L1319" s="76"/>
      <c r="M1319" s="74"/>
      <c r="N1319" s="74"/>
      <c r="O1319" s="78"/>
      <c r="P1319" s="78"/>
      <c r="Q1319" s="78"/>
      <c r="R1319" s="78"/>
      <c r="S1319" s="79"/>
      <c r="T1319" s="79"/>
      <c r="U1319" s="79"/>
      <c r="V1319" s="79"/>
      <c r="W1319" s="79"/>
      <c r="X1319" s="79"/>
      <c r="Y1319" s="79"/>
      <c r="Z1319" s="79"/>
      <c r="AA1319" s="79"/>
    </row>
    <row r="1320" spans="1:27" x14ac:dyDescent="0.2">
      <c r="A1320" s="73"/>
      <c r="B1320" s="74"/>
      <c r="C1320" s="74"/>
      <c r="D1320" s="74"/>
      <c r="E1320" s="74"/>
      <c r="F1320" s="74"/>
      <c r="G1320" s="75"/>
      <c r="H1320" s="75"/>
      <c r="I1320" s="76"/>
      <c r="J1320" s="77"/>
      <c r="K1320" s="76"/>
      <c r="L1320" s="76"/>
      <c r="M1320" s="74"/>
      <c r="N1320" s="74"/>
      <c r="O1320" s="78"/>
      <c r="P1320" s="78"/>
      <c r="Q1320" s="78"/>
      <c r="R1320" s="78"/>
      <c r="S1320" s="79"/>
      <c r="T1320" s="79"/>
      <c r="U1320" s="79"/>
      <c r="V1320" s="79"/>
      <c r="W1320" s="79"/>
      <c r="X1320" s="79"/>
      <c r="Y1320" s="79"/>
      <c r="Z1320" s="79"/>
      <c r="AA1320" s="79"/>
    </row>
    <row r="1321" spans="1:27" x14ac:dyDescent="0.2">
      <c r="A1321" s="73"/>
      <c r="B1321" s="74"/>
      <c r="C1321" s="74"/>
      <c r="D1321" s="74"/>
      <c r="E1321" s="74"/>
      <c r="F1321" s="74"/>
      <c r="G1321" s="75"/>
      <c r="H1321" s="75"/>
      <c r="I1321" s="76"/>
      <c r="J1321" s="77"/>
      <c r="K1321" s="76"/>
      <c r="L1321" s="76"/>
      <c r="M1321" s="74"/>
      <c r="N1321" s="74"/>
      <c r="O1321" s="78"/>
      <c r="P1321" s="78"/>
      <c r="Q1321" s="78"/>
      <c r="R1321" s="78"/>
      <c r="S1321" s="79"/>
      <c r="T1321" s="79"/>
      <c r="U1321" s="79"/>
      <c r="V1321" s="79"/>
      <c r="W1321" s="79"/>
      <c r="X1321" s="79"/>
      <c r="Y1321" s="79"/>
      <c r="Z1321" s="79"/>
      <c r="AA1321" s="79"/>
    </row>
    <row r="1322" spans="1:27" x14ac:dyDescent="0.2">
      <c r="A1322" s="73"/>
      <c r="B1322" s="74"/>
      <c r="C1322" s="74"/>
      <c r="D1322" s="74"/>
      <c r="E1322" s="74"/>
      <c r="F1322" s="74"/>
      <c r="G1322" s="75"/>
      <c r="H1322" s="75"/>
      <c r="I1322" s="76"/>
      <c r="J1322" s="77"/>
      <c r="K1322" s="76"/>
      <c r="L1322" s="76"/>
      <c r="M1322" s="74"/>
      <c r="N1322" s="74"/>
      <c r="O1322" s="78"/>
      <c r="P1322" s="78"/>
      <c r="Q1322" s="78"/>
      <c r="R1322" s="78"/>
      <c r="S1322" s="79"/>
      <c r="T1322" s="79"/>
      <c r="U1322" s="79"/>
      <c r="V1322" s="79"/>
      <c r="W1322" s="79"/>
      <c r="X1322" s="79"/>
      <c r="Y1322" s="79"/>
      <c r="Z1322" s="79"/>
      <c r="AA1322" s="79"/>
    </row>
    <row r="1323" spans="1:27" x14ac:dyDescent="0.2">
      <c r="A1323" s="73"/>
      <c r="B1323" s="74"/>
      <c r="C1323" s="74"/>
      <c r="D1323" s="74"/>
      <c r="E1323" s="74"/>
      <c r="F1323" s="74"/>
      <c r="G1323" s="75"/>
      <c r="H1323" s="75"/>
      <c r="I1323" s="76"/>
      <c r="J1323" s="77"/>
      <c r="K1323" s="76"/>
      <c r="L1323" s="76"/>
      <c r="M1323" s="74"/>
      <c r="N1323" s="74"/>
      <c r="O1323" s="78"/>
      <c r="P1323" s="78"/>
      <c r="Q1323" s="78"/>
      <c r="R1323" s="78"/>
      <c r="S1323" s="79"/>
      <c r="T1323" s="79"/>
      <c r="U1323" s="79"/>
      <c r="V1323" s="79"/>
      <c r="W1323" s="79"/>
      <c r="X1323" s="79"/>
      <c r="Y1323" s="79"/>
      <c r="Z1323" s="79"/>
      <c r="AA1323" s="79"/>
    </row>
    <row r="1324" spans="1:27" x14ac:dyDescent="0.2">
      <c r="A1324" s="73"/>
      <c r="B1324" s="74"/>
      <c r="C1324" s="74"/>
      <c r="D1324" s="74"/>
      <c r="E1324" s="74"/>
      <c r="F1324" s="74"/>
      <c r="G1324" s="75"/>
      <c r="H1324" s="75"/>
      <c r="I1324" s="76"/>
      <c r="J1324" s="77"/>
      <c r="K1324" s="76"/>
      <c r="L1324" s="76"/>
      <c r="M1324" s="74"/>
      <c r="N1324" s="74"/>
      <c r="O1324" s="78"/>
      <c r="P1324" s="78"/>
      <c r="Q1324" s="78"/>
      <c r="R1324" s="78"/>
      <c r="S1324" s="79"/>
      <c r="T1324" s="79"/>
      <c r="U1324" s="79"/>
      <c r="V1324" s="79"/>
      <c r="W1324" s="79"/>
      <c r="X1324" s="79"/>
      <c r="Y1324" s="79"/>
      <c r="Z1324" s="79"/>
      <c r="AA1324" s="79"/>
    </row>
    <row r="1325" spans="1:27" x14ac:dyDescent="0.2">
      <c r="A1325" s="73"/>
      <c r="B1325" s="74"/>
      <c r="C1325" s="74"/>
      <c r="D1325" s="74"/>
      <c r="E1325" s="74"/>
      <c r="F1325" s="74"/>
      <c r="G1325" s="75"/>
      <c r="H1325" s="75"/>
      <c r="I1325" s="76"/>
      <c r="J1325" s="77"/>
      <c r="K1325" s="76"/>
      <c r="L1325" s="76"/>
      <c r="M1325" s="74"/>
      <c r="N1325" s="74"/>
      <c r="O1325" s="78"/>
      <c r="P1325" s="78"/>
      <c r="Q1325" s="78"/>
      <c r="R1325" s="78"/>
      <c r="S1325" s="79"/>
      <c r="T1325" s="79"/>
      <c r="U1325" s="79"/>
      <c r="V1325" s="79"/>
      <c r="W1325" s="79"/>
      <c r="X1325" s="79"/>
      <c r="Y1325" s="79"/>
      <c r="Z1325" s="79"/>
      <c r="AA1325" s="79"/>
    </row>
    <row r="1326" spans="1:27" x14ac:dyDescent="0.2">
      <c r="A1326" s="73"/>
      <c r="B1326" s="74"/>
      <c r="C1326" s="74"/>
      <c r="D1326" s="74"/>
      <c r="E1326" s="74"/>
      <c r="F1326" s="74"/>
      <c r="G1326" s="75"/>
      <c r="H1326" s="75"/>
      <c r="I1326" s="76"/>
      <c r="J1326" s="77"/>
      <c r="K1326" s="76"/>
      <c r="L1326" s="76"/>
      <c r="M1326" s="74"/>
      <c r="N1326" s="74"/>
      <c r="O1326" s="78"/>
      <c r="P1326" s="78"/>
      <c r="Q1326" s="78"/>
      <c r="R1326" s="78"/>
      <c r="S1326" s="79"/>
      <c r="T1326" s="79"/>
      <c r="U1326" s="79"/>
      <c r="V1326" s="79"/>
      <c r="W1326" s="79"/>
      <c r="X1326" s="79"/>
      <c r="Y1326" s="79"/>
      <c r="Z1326" s="79"/>
      <c r="AA1326" s="79"/>
    </row>
    <row r="1327" spans="1:27" x14ac:dyDescent="0.2">
      <c r="A1327" s="73"/>
      <c r="B1327" s="74"/>
      <c r="C1327" s="74"/>
      <c r="D1327" s="74"/>
      <c r="E1327" s="74"/>
      <c r="F1327" s="74"/>
      <c r="G1327" s="75"/>
      <c r="H1327" s="75"/>
      <c r="I1327" s="76"/>
      <c r="J1327" s="77"/>
      <c r="K1327" s="76"/>
      <c r="L1327" s="76"/>
      <c r="M1327" s="74"/>
      <c r="N1327" s="74"/>
      <c r="O1327" s="78"/>
      <c r="P1327" s="78"/>
      <c r="Q1327" s="78"/>
      <c r="R1327" s="78"/>
      <c r="S1327" s="79"/>
      <c r="T1327" s="79"/>
      <c r="U1327" s="79"/>
      <c r="V1327" s="79"/>
      <c r="W1327" s="79"/>
      <c r="X1327" s="79"/>
      <c r="Y1327" s="79"/>
      <c r="Z1327" s="79"/>
      <c r="AA1327" s="79"/>
    </row>
    <row r="1328" spans="1:27" x14ac:dyDescent="0.2">
      <c r="A1328" s="73"/>
      <c r="B1328" s="74"/>
      <c r="C1328" s="74"/>
      <c r="D1328" s="74"/>
      <c r="E1328" s="74"/>
      <c r="F1328" s="74"/>
      <c r="G1328" s="75"/>
      <c r="H1328" s="75"/>
      <c r="I1328" s="76"/>
      <c r="J1328" s="77"/>
      <c r="K1328" s="76"/>
      <c r="L1328" s="76"/>
      <c r="M1328" s="74"/>
      <c r="N1328" s="74"/>
      <c r="O1328" s="78"/>
      <c r="P1328" s="78"/>
      <c r="Q1328" s="78"/>
      <c r="R1328" s="78"/>
      <c r="S1328" s="79"/>
      <c r="T1328" s="79"/>
      <c r="U1328" s="79"/>
      <c r="V1328" s="79"/>
      <c r="W1328" s="79"/>
      <c r="X1328" s="79"/>
      <c r="Y1328" s="79"/>
      <c r="Z1328" s="79"/>
      <c r="AA1328" s="79"/>
    </row>
    <row r="1329" spans="1:27" x14ac:dyDescent="0.2">
      <c r="A1329" s="73"/>
      <c r="B1329" s="74"/>
      <c r="C1329" s="74"/>
      <c r="D1329" s="74"/>
      <c r="E1329" s="74"/>
      <c r="F1329" s="74"/>
      <c r="G1329" s="75"/>
      <c r="H1329" s="75"/>
      <c r="I1329" s="76"/>
      <c r="J1329" s="77"/>
      <c r="K1329" s="76"/>
      <c r="L1329" s="76"/>
      <c r="M1329" s="74"/>
      <c r="N1329" s="74"/>
      <c r="O1329" s="78"/>
      <c r="P1329" s="78"/>
      <c r="Q1329" s="78"/>
      <c r="R1329" s="78"/>
      <c r="S1329" s="79"/>
      <c r="T1329" s="79"/>
      <c r="U1329" s="79"/>
      <c r="V1329" s="79"/>
      <c r="W1329" s="79"/>
      <c r="X1329" s="79"/>
      <c r="Y1329" s="79"/>
      <c r="Z1329" s="79"/>
      <c r="AA1329" s="79"/>
    </row>
    <row r="1330" spans="1:27" x14ac:dyDescent="0.2">
      <c r="A1330" s="73"/>
      <c r="B1330" s="74"/>
      <c r="C1330" s="74"/>
      <c r="D1330" s="74"/>
      <c r="E1330" s="74"/>
      <c r="F1330" s="74"/>
      <c r="G1330" s="75"/>
      <c r="H1330" s="75"/>
      <c r="I1330" s="76"/>
      <c r="J1330" s="77"/>
      <c r="K1330" s="76"/>
      <c r="L1330" s="76"/>
      <c r="M1330" s="74"/>
      <c r="N1330" s="74"/>
      <c r="O1330" s="78"/>
      <c r="P1330" s="78"/>
      <c r="Q1330" s="78"/>
      <c r="R1330" s="78"/>
      <c r="S1330" s="79"/>
      <c r="T1330" s="79"/>
      <c r="U1330" s="79"/>
      <c r="V1330" s="79"/>
      <c r="W1330" s="79"/>
      <c r="X1330" s="79"/>
      <c r="Y1330" s="79"/>
      <c r="Z1330" s="79"/>
      <c r="AA1330" s="79"/>
    </row>
    <row r="1331" spans="1:27" x14ac:dyDescent="0.2">
      <c r="A1331" s="73"/>
      <c r="B1331" s="74"/>
      <c r="C1331" s="74"/>
      <c r="D1331" s="74"/>
      <c r="E1331" s="74"/>
      <c r="F1331" s="74"/>
      <c r="G1331" s="75"/>
      <c r="H1331" s="75"/>
      <c r="I1331" s="76"/>
      <c r="J1331" s="77"/>
      <c r="K1331" s="76"/>
      <c r="L1331" s="76"/>
      <c r="M1331" s="74"/>
      <c r="N1331" s="74"/>
      <c r="O1331" s="78"/>
      <c r="P1331" s="78"/>
      <c r="Q1331" s="78"/>
      <c r="R1331" s="78"/>
      <c r="S1331" s="79"/>
      <c r="T1331" s="79"/>
      <c r="U1331" s="79"/>
      <c r="V1331" s="79"/>
      <c r="W1331" s="79"/>
      <c r="X1331" s="79"/>
      <c r="Y1331" s="79"/>
      <c r="Z1331" s="79"/>
      <c r="AA1331" s="79"/>
    </row>
    <row r="1332" spans="1:27" x14ac:dyDescent="0.2">
      <c r="A1332" s="73"/>
      <c r="B1332" s="74"/>
      <c r="C1332" s="74"/>
      <c r="D1332" s="74"/>
      <c r="E1332" s="74"/>
      <c r="F1332" s="74"/>
      <c r="G1332" s="75"/>
      <c r="H1332" s="75"/>
      <c r="I1332" s="76"/>
      <c r="J1332" s="77"/>
      <c r="K1332" s="76"/>
      <c r="L1332" s="76"/>
      <c r="M1332" s="74"/>
      <c r="N1332" s="74"/>
      <c r="O1332" s="78"/>
      <c r="P1332" s="78"/>
      <c r="Q1332" s="78"/>
      <c r="R1332" s="78"/>
      <c r="S1332" s="79"/>
      <c r="T1332" s="79"/>
      <c r="U1332" s="79"/>
      <c r="V1332" s="79"/>
      <c r="W1332" s="79"/>
      <c r="X1332" s="79"/>
      <c r="Y1332" s="79"/>
      <c r="Z1332" s="79"/>
      <c r="AA1332" s="79"/>
    </row>
    <row r="1333" spans="1:27" x14ac:dyDescent="0.2">
      <c r="A1333" s="73"/>
      <c r="B1333" s="74"/>
      <c r="C1333" s="74"/>
      <c r="D1333" s="74"/>
      <c r="E1333" s="74"/>
      <c r="F1333" s="74"/>
      <c r="G1333" s="75"/>
      <c r="H1333" s="75"/>
      <c r="I1333" s="76"/>
      <c r="J1333" s="77"/>
      <c r="K1333" s="76"/>
      <c r="L1333" s="76"/>
      <c r="M1333" s="74"/>
      <c r="N1333" s="74"/>
      <c r="O1333" s="78"/>
      <c r="P1333" s="78"/>
      <c r="Q1333" s="78"/>
      <c r="R1333" s="78"/>
      <c r="S1333" s="79"/>
      <c r="T1333" s="79"/>
      <c r="U1333" s="79"/>
      <c r="V1333" s="79"/>
      <c r="W1333" s="79"/>
      <c r="X1333" s="79"/>
      <c r="Y1333" s="79"/>
      <c r="Z1333" s="79"/>
      <c r="AA1333" s="79"/>
    </row>
    <row r="1334" spans="1:27" x14ac:dyDescent="0.2">
      <c r="A1334" s="73"/>
      <c r="B1334" s="74"/>
      <c r="C1334" s="74"/>
      <c r="D1334" s="74"/>
      <c r="E1334" s="74"/>
      <c r="F1334" s="74"/>
      <c r="G1334" s="75"/>
      <c r="H1334" s="75"/>
      <c r="I1334" s="76"/>
      <c r="J1334" s="77"/>
      <c r="K1334" s="76"/>
      <c r="L1334" s="76"/>
      <c r="M1334" s="74"/>
      <c r="N1334" s="74"/>
      <c r="O1334" s="78"/>
      <c r="P1334" s="78"/>
      <c r="Q1334" s="78"/>
      <c r="R1334" s="78"/>
      <c r="S1334" s="79"/>
      <c r="T1334" s="79"/>
      <c r="U1334" s="79"/>
      <c r="V1334" s="79"/>
      <c r="W1334" s="79"/>
      <c r="X1334" s="79"/>
      <c r="Y1334" s="79"/>
      <c r="Z1334" s="79"/>
      <c r="AA1334" s="79"/>
    </row>
    <row r="1335" spans="1:27" x14ac:dyDescent="0.2">
      <c r="A1335" s="73"/>
      <c r="B1335" s="74"/>
      <c r="C1335" s="74"/>
      <c r="D1335" s="74"/>
      <c r="E1335" s="74"/>
      <c r="F1335" s="74"/>
      <c r="G1335" s="75"/>
      <c r="H1335" s="75"/>
      <c r="I1335" s="76"/>
      <c r="J1335" s="77"/>
      <c r="K1335" s="76"/>
      <c r="L1335" s="76"/>
      <c r="M1335" s="74"/>
      <c r="N1335" s="74"/>
      <c r="O1335" s="78"/>
      <c r="P1335" s="78"/>
      <c r="Q1335" s="78"/>
      <c r="R1335" s="78"/>
      <c r="S1335" s="79"/>
      <c r="T1335" s="79"/>
      <c r="U1335" s="79"/>
      <c r="V1335" s="79"/>
      <c r="W1335" s="79"/>
      <c r="X1335" s="79"/>
      <c r="Y1335" s="79"/>
      <c r="Z1335" s="79"/>
      <c r="AA1335" s="79"/>
    </row>
    <row r="1336" spans="1:27" x14ac:dyDescent="0.2">
      <c r="A1336" s="73"/>
      <c r="B1336" s="74"/>
      <c r="C1336" s="74"/>
      <c r="D1336" s="74"/>
      <c r="E1336" s="74"/>
      <c r="F1336" s="74"/>
      <c r="G1336" s="75"/>
      <c r="H1336" s="75"/>
      <c r="I1336" s="76"/>
      <c r="J1336" s="77"/>
      <c r="K1336" s="76"/>
      <c r="L1336" s="76"/>
      <c r="M1336" s="74"/>
      <c r="N1336" s="74"/>
      <c r="O1336" s="78"/>
      <c r="P1336" s="78"/>
      <c r="Q1336" s="78"/>
      <c r="R1336" s="78"/>
      <c r="S1336" s="79"/>
      <c r="T1336" s="79"/>
      <c r="U1336" s="79"/>
      <c r="V1336" s="79"/>
      <c r="W1336" s="79"/>
      <c r="X1336" s="79"/>
      <c r="Y1336" s="79"/>
      <c r="Z1336" s="79"/>
      <c r="AA1336" s="79"/>
    </row>
    <row r="1337" spans="1:27" x14ac:dyDescent="0.2">
      <c r="A1337" s="73"/>
      <c r="B1337" s="74"/>
      <c r="C1337" s="74"/>
      <c r="D1337" s="74"/>
      <c r="E1337" s="74"/>
      <c r="F1337" s="74"/>
      <c r="G1337" s="75"/>
      <c r="H1337" s="75"/>
      <c r="I1337" s="76"/>
      <c r="J1337" s="77"/>
      <c r="K1337" s="76"/>
      <c r="L1337" s="76"/>
      <c r="M1337" s="74"/>
      <c r="N1337" s="74"/>
      <c r="O1337" s="78"/>
      <c r="P1337" s="78"/>
      <c r="Q1337" s="78"/>
      <c r="R1337" s="78"/>
      <c r="S1337" s="79"/>
      <c r="T1337" s="79"/>
      <c r="U1337" s="79"/>
      <c r="V1337" s="79"/>
      <c r="W1337" s="79"/>
      <c r="X1337" s="79"/>
      <c r="Y1337" s="79"/>
      <c r="Z1337" s="79"/>
      <c r="AA1337" s="79"/>
    </row>
    <row r="1338" spans="1:27" x14ac:dyDescent="0.2">
      <c r="A1338" s="73"/>
      <c r="B1338" s="74"/>
      <c r="C1338" s="74"/>
      <c r="D1338" s="74"/>
      <c r="E1338" s="74"/>
      <c r="F1338" s="74"/>
      <c r="G1338" s="75"/>
      <c r="H1338" s="75"/>
      <c r="I1338" s="76"/>
      <c r="J1338" s="77"/>
      <c r="K1338" s="76"/>
      <c r="L1338" s="76"/>
      <c r="M1338" s="74"/>
      <c r="N1338" s="74"/>
      <c r="O1338" s="78"/>
      <c r="P1338" s="78"/>
      <c r="Q1338" s="78"/>
      <c r="R1338" s="78"/>
      <c r="S1338" s="79"/>
      <c r="T1338" s="79"/>
      <c r="U1338" s="79"/>
      <c r="V1338" s="79"/>
      <c r="W1338" s="79"/>
      <c r="X1338" s="79"/>
      <c r="Y1338" s="79"/>
      <c r="Z1338" s="79"/>
      <c r="AA1338" s="79"/>
    </row>
    <row r="1339" spans="1:27" x14ac:dyDescent="0.2">
      <c r="A1339" s="73"/>
      <c r="B1339" s="74"/>
      <c r="C1339" s="74"/>
      <c r="D1339" s="74"/>
      <c r="E1339" s="74"/>
      <c r="F1339" s="74"/>
      <c r="G1339" s="75"/>
      <c r="H1339" s="75"/>
      <c r="I1339" s="76"/>
      <c r="J1339" s="77"/>
      <c r="K1339" s="76"/>
      <c r="L1339" s="76"/>
      <c r="M1339" s="74"/>
      <c r="N1339" s="74"/>
      <c r="O1339" s="78"/>
      <c r="P1339" s="78"/>
      <c r="Q1339" s="78"/>
      <c r="R1339" s="78"/>
      <c r="S1339" s="79"/>
      <c r="T1339" s="79"/>
      <c r="U1339" s="79"/>
      <c r="V1339" s="79"/>
      <c r="W1339" s="79"/>
      <c r="X1339" s="79"/>
      <c r="Y1339" s="79"/>
      <c r="Z1339" s="79"/>
      <c r="AA1339" s="79"/>
    </row>
    <row r="1340" spans="1:27" x14ac:dyDescent="0.2">
      <c r="A1340" s="73"/>
      <c r="B1340" s="74"/>
      <c r="C1340" s="74"/>
      <c r="D1340" s="74"/>
      <c r="E1340" s="74"/>
      <c r="F1340" s="74"/>
      <c r="G1340" s="75"/>
      <c r="H1340" s="75"/>
      <c r="I1340" s="76"/>
      <c r="J1340" s="77"/>
      <c r="K1340" s="76"/>
      <c r="L1340" s="76"/>
      <c r="M1340" s="74"/>
      <c r="N1340" s="74"/>
      <c r="O1340" s="78"/>
      <c r="P1340" s="78"/>
      <c r="Q1340" s="78"/>
      <c r="R1340" s="78"/>
      <c r="S1340" s="79"/>
      <c r="T1340" s="79"/>
      <c r="U1340" s="79"/>
      <c r="V1340" s="79"/>
      <c r="W1340" s="79"/>
      <c r="X1340" s="79"/>
      <c r="Y1340" s="79"/>
      <c r="Z1340" s="79"/>
      <c r="AA1340" s="79"/>
    </row>
    <row r="1341" spans="1:27" x14ac:dyDescent="0.2">
      <c r="A1341" s="73"/>
      <c r="B1341" s="74"/>
      <c r="C1341" s="74"/>
      <c r="D1341" s="74"/>
      <c r="E1341" s="74"/>
      <c r="F1341" s="74"/>
      <c r="G1341" s="75"/>
      <c r="H1341" s="75"/>
      <c r="I1341" s="76"/>
      <c r="J1341" s="77"/>
      <c r="K1341" s="76"/>
      <c r="L1341" s="76"/>
      <c r="M1341" s="74"/>
      <c r="N1341" s="74"/>
      <c r="O1341" s="78"/>
      <c r="P1341" s="78"/>
      <c r="Q1341" s="78"/>
      <c r="R1341" s="78"/>
      <c r="S1341" s="79"/>
      <c r="T1341" s="79"/>
      <c r="U1341" s="79"/>
      <c r="V1341" s="79"/>
      <c r="W1341" s="79"/>
      <c r="X1341" s="79"/>
      <c r="Y1341" s="79"/>
      <c r="Z1341" s="79"/>
      <c r="AA1341" s="79"/>
    </row>
    <row r="1342" spans="1:27" x14ac:dyDescent="0.2">
      <c r="A1342" s="73"/>
      <c r="B1342" s="74"/>
      <c r="C1342" s="74"/>
      <c r="D1342" s="74"/>
      <c r="E1342" s="74"/>
      <c r="F1342" s="74"/>
      <c r="G1342" s="75"/>
      <c r="H1342" s="75"/>
      <c r="I1342" s="76"/>
      <c r="J1342" s="77"/>
      <c r="K1342" s="76"/>
      <c r="L1342" s="76"/>
      <c r="M1342" s="74"/>
      <c r="N1342" s="74"/>
      <c r="O1342" s="78"/>
      <c r="P1342" s="78"/>
      <c r="Q1342" s="78"/>
      <c r="R1342" s="78"/>
      <c r="S1342" s="79"/>
      <c r="T1342" s="79"/>
      <c r="U1342" s="79"/>
      <c r="V1342" s="79"/>
      <c r="W1342" s="79"/>
      <c r="X1342" s="79"/>
      <c r="Y1342" s="79"/>
      <c r="Z1342" s="79"/>
      <c r="AA1342" s="79"/>
    </row>
    <row r="1343" spans="1:27" x14ac:dyDescent="0.2">
      <c r="A1343" s="73"/>
      <c r="B1343" s="74"/>
      <c r="C1343" s="74"/>
      <c r="D1343" s="74"/>
      <c r="E1343" s="74"/>
      <c r="F1343" s="74"/>
      <c r="G1343" s="75"/>
      <c r="H1343" s="75"/>
      <c r="I1343" s="76"/>
      <c r="J1343" s="77"/>
      <c r="K1343" s="76"/>
      <c r="L1343" s="76"/>
      <c r="M1343" s="74"/>
      <c r="N1343" s="74"/>
      <c r="O1343" s="78"/>
      <c r="P1343" s="78"/>
      <c r="Q1343" s="78"/>
      <c r="R1343" s="78"/>
      <c r="S1343" s="79"/>
      <c r="T1343" s="79"/>
      <c r="U1343" s="79"/>
      <c r="V1343" s="79"/>
      <c r="W1343" s="79"/>
      <c r="X1343" s="79"/>
      <c r="Y1343" s="79"/>
      <c r="Z1343" s="79"/>
      <c r="AA1343" s="79"/>
    </row>
    <row r="1344" spans="1:27" x14ac:dyDescent="0.2">
      <c r="A1344" s="73"/>
      <c r="B1344" s="74"/>
      <c r="C1344" s="74"/>
      <c r="D1344" s="74"/>
      <c r="E1344" s="74"/>
      <c r="F1344" s="74"/>
      <c r="G1344" s="75"/>
      <c r="H1344" s="75"/>
      <c r="I1344" s="76"/>
      <c r="J1344" s="77"/>
      <c r="K1344" s="76"/>
      <c r="L1344" s="76"/>
      <c r="M1344" s="74"/>
      <c r="N1344" s="74"/>
      <c r="O1344" s="78"/>
      <c r="P1344" s="78"/>
      <c r="Q1344" s="78"/>
      <c r="R1344" s="78"/>
      <c r="S1344" s="79"/>
      <c r="T1344" s="79"/>
      <c r="U1344" s="79"/>
      <c r="V1344" s="79"/>
      <c r="W1344" s="79"/>
      <c r="X1344" s="79"/>
      <c r="Y1344" s="79"/>
      <c r="Z1344" s="79"/>
      <c r="AA1344" s="79"/>
    </row>
    <row r="1345" spans="1:27" x14ac:dyDescent="0.2">
      <c r="A1345" s="73"/>
      <c r="B1345" s="74"/>
      <c r="C1345" s="74"/>
      <c r="D1345" s="74"/>
      <c r="E1345" s="74"/>
      <c r="F1345" s="74"/>
      <c r="G1345" s="75"/>
      <c r="H1345" s="75"/>
      <c r="I1345" s="76"/>
      <c r="J1345" s="77"/>
      <c r="K1345" s="76"/>
      <c r="L1345" s="76"/>
      <c r="M1345" s="74"/>
      <c r="N1345" s="74"/>
      <c r="O1345" s="78"/>
      <c r="P1345" s="78"/>
      <c r="Q1345" s="78"/>
      <c r="R1345" s="78"/>
      <c r="S1345" s="79"/>
      <c r="T1345" s="79"/>
      <c r="U1345" s="79"/>
      <c r="V1345" s="79"/>
      <c r="W1345" s="79"/>
      <c r="X1345" s="79"/>
      <c r="Y1345" s="79"/>
      <c r="Z1345" s="79"/>
      <c r="AA1345" s="79"/>
    </row>
    <row r="1346" spans="1:27" x14ac:dyDescent="0.2">
      <c r="A1346" s="73"/>
      <c r="B1346" s="74"/>
      <c r="C1346" s="74"/>
      <c r="D1346" s="74"/>
      <c r="E1346" s="74"/>
      <c r="F1346" s="74"/>
      <c r="G1346" s="75"/>
      <c r="H1346" s="75"/>
      <c r="I1346" s="76"/>
      <c r="J1346" s="77"/>
      <c r="K1346" s="76"/>
      <c r="L1346" s="76"/>
      <c r="M1346" s="74"/>
      <c r="N1346" s="74"/>
      <c r="O1346" s="78"/>
      <c r="P1346" s="78"/>
      <c r="Q1346" s="78"/>
      <c r="R1346" s="78"/>
      <c r="S1346" s="79"/>
      <c r="T1346" s="79"/>
      <c r="U1346" s="79"/>
      <c r="V1346" s="79"/>
      <c r="W1346" s="79"/>
      <c r="X1346" s="79"/>
      <c r="Y1346" s="79"/>
      <c r="Z1346" s="79"/>
      <c r="AA1346" s="79"/>
    </row>
    <row r="1347" spans="1:27" x14ac:dyDescent="0.2">
      <c r="A1347" s="73"/>
      <c r="B1347" s="74"/>
      <c r="C1347" s="74"/>
      <c r="D1347" s="74"/>
      <c r="E1347" s="74"/>
      <c r="F1347" s="74"/>
      <c r="G1347" s="75"/>
      <c r="H1347" s="75"/>
      <c r="I1347" s="76"/>
      <c r="J1347" s="77"/>
      <c r="K1347" s="76"/>
      <c r="L1347" s="76"/>
      <c r="M1347" s="74"/>
      <c r="N1347" s="74"/>
      <c r="O1347" s="78"/>
      <c r="P1347" s="78"/>
      <c r="Q1347" s="78"/>
      <c r="R1347" s="78"/>
      <c r="S1347" s="79"/>
      <c r="T1347" s="79"/>
      <c r="U1347" s="79"/>
      <c r="V1347" s="79"/>
      <c r="W1347" s="79"/>
      <c r="X1347" s="79"/>
      <c r="Y1347" s="79"/>
      <c r="Z1347" s="79"/>
      <c r="AA1347" s="79"/>
    </row>
    <row r="1348" spans="1:27" x14ac:dyDescent="0.2">
      <c r="A1348" s="73"/>
      <c r="B1348" s="74"/>
      <c r="C1348" s="74"/>
      <c r="D1348" s="74"/>
      <c r="E1348" s="74"/>
      <c r="F1348" s="74"/>
      <c r="G1348" s="75"/>
      <c r="H1348" s="75"/>
      <c r="I1348" s="76"/>
      <c r="J1348" s="77"/>
      <c r="K1348" s="76"/>
      <c r="L1348" s="76"/>
      <c r="M1348" s="74"/>
      <c r="N1348" s="74"/>
      <c r="O1348" s="78"/>
      <c r="P1348" s="78"/>
      <c r="Q1348" s="78"/>
      <c r="R1348" s="78"/>
      <c r="S1348" s="79"/>
      <c r="T1348" s="79"/>
      <c r="U1348" s="79"/>
      <c r="V1348" s="79"/>
      <c r="W1348" s="79"/>
      <c r="X1348" s="79"/>
      <c r="Y1348" s="79"/>
      <c r="Z1348" s="79"/>
      <c r="AA1348" s="79"/>
    </row>
    <row r="1349" spans="1:27" x14ac:dyDescent="0.2">
      <c r="A1349" s="73"/>
      <c r="B1349" s="74"/>
      <c r="C1349" s="74"/>
      <c r="D1349" s="74"/>
      <c r="E1349" s="74"/>
      <c r="F1349" s="74"/>
      <c r="G1349" s="75"/>
      <c r="H1349" s="75"/>
      <c r="I1349" s="76"/>
      <c r="J1349" s="77"/>
      <c r="K1349" s="76"/>
      <c r="L1349" s="76"/>
      <c r="M1349" s="74"/>
      <c r="N1349" s="74"/>
      <c r="O1349" s="78"/>
      <c r="P1349" s="78"/>
      <c r="Q1349" s="78"/>
      <c r="R1349" s="78"/>
      <c r="S1349" s="79"/>
      <c r="T1349" s="79"/>
      <c r="U1349" s="79"/>
      <c r="V1349" s="79"/>
      <c r="W1349" s="79"/>
      <c r="X1349" s="79"/>
      <c r="Y1349" s="79"/>
      <c r="Z1349" s="79"/>
      <c r="AA1349" s="79"/>
    </row>
    <row r="1350" spans="1:27" x14ac:dyDescent="0.2">
      <c r="A1350" s="73"/>
      <c r="B1350" s="74"/>
      <c r="C1350" s="74"/>
      <c r="D1350" s="74"/>
      <c r="E1350" s="74"/>
      <c r="F1350" s="74"/>
      <c r="G1350" s="75"/>
      <c r="H1350" s="75"/>
      <c r="I1350" s="76"/>
      <c r="J1350" s="77"/>
      <c r="K1350" s="76"/>
      <c r="L1350" s="76"/>
      <c r="M1350" s="74"/>
      <c r="N1350" s="74"/>
      <c r="O1350" s="78"/>
      <c r="P1350" s="78"/>
      <c r="Q1350" s="78"/>
      <c r="R1350" s="78"/>
      <c r="S1350" s="79"/>
      <c r="T1350" s="79"/>
      <c r="U1350" s="79"/>
      <c r="V1350" s="79"/>
      <c r="W1350" s="79"/>
      <c r="X1350" s="79"/>
      <c r="Y1350" s="79"/>
      <c r="Z1350" s="79"/>
      <c r="AA1350" s="79"/>
    </row>
    <row r="1351" spans="1:27" x14ac:dyDescent="0.2">
      <c r="A1351" s="73"/>
      <c r="B1351" s="74"/>
      <c r="C1351" s="74"/>
      <c r="D1351" s="74"/>
      <c r="E1351" s="74"/>
      <c r="F1351" s="74"/>
      <c r="G1351" s="75"/>
      <c r="H1351" s="75"/>
      <c r="I1351" s="76"/>
      <c r="J1351" s="77"/>
      <c r="K1351" s="76"/>
      <c r="L1351" s="76"/>
      <c r="M1351" s="74"/>
      <c r="N1351" s="74"/>
      <c r="O1351" s="78"/>
      <c r="P1351" s="78"/>
      <c r="Q1351" s="78"/>
      <c r="R1351" s="78"/>
      <c r="S1351" s="79"/>
      <c r="T1351" s="79"/>
      <c r="U1351" s="79"/>
      <c r="V1351" s="79"/>
      <c r="W1351" s="79"/>
      <c r="X1351" s="79"/>
      <c r="Y1351" s="79"/>
      <c r="Z1351" s="79"/>
      <c r="AA1351" s="79"/>
    </row>
    <row r="1352" spans="1:27" x14ac:dyDescent="0.2">
      <c r="A1352" s="73"/>
      <c r="B1352" s="74"/>
      <c r="C1352" s="74"/>
      <c r="D1352" s="74"/>
      <c r="E1352" s="74"/>
      <c r="F1352" s="74"/>
      <c r="G1352" s="75"/>
      <c r="H1352" s="75"/>
      <c r="I1352" s="76"/>
      <c r="J1352" s="77"/>
      <c r="K1352" s="76"/>
      <c r="L1352" s="76"/>
      <c r="M1352" s="74"/>
      <c r="N1352" s="74"/>
      <c r="O1352" s="78"/>
      <c r="P1352" s="78"/>
      <c r="Q1352" s="78"/>
      <c r="R1352" s="78"/>
      <c r="S1352" s="79"/>
      <c r="T1352" s="79"/>
      <c r="U1352" s="79"/>
      <c r="V1352" s="79"/>
      <c r="W1352" s="79"/>
      <c r="X1352" s="79"/>
      <c r="Y1352" s="79"/>
      <c r="Z1352" s="79"/>
      <c r="AA1352" s="79"/>
    </row>
    <row r="1353" spans="1:27" x14ac:dyDescent="0.2">
      <c r="A1353" s="73"/>
      <c r="B1353" s="74"/>
      <c r="C1353" s="74"/>
      <c r="D1353" s="74"/>
      <c r="E1353" s="74"/>
      <c r="F1353" s="74"/>
      <c r="G1353" s="75"/>
      <c r="H1353" s="75"/>
      <c r="I1353" s="76"/>
      <c r="J1353" s="77"/>
      <c r="K1353" s="76"/>
      <c r="L1353" s="76"/>
      <c r="M1353" s="74"/>
      <c r="N1353" s="74"/>
      <c r="O1353" s="78"/>
      <c r="P1353" s="78"/>
      <c r="Q1353" s="78"/>
      <c r="R1353" s="78"/>
      <c r="S1353" s="79"/>
      <c r="T1353" s="79"/>
      <c r="U1353" s="79"/>
      <c r="V1353" s="79"/>
      <c r="W1353" s="79"/>
      <c r="X1353" s="79"/>
      <c r="Y1353" s="79"/>
      <c r="Z1353" s="79"/>
      <c r="AA1353" s="79"/>
    </row>
    <row r="1354" spans="1:27" x14ac:dyDescent="0.2">
      <c r="A1354" s="73"/>
      <c r="B1354" s="74"/>
      <c r="C1354" s="74"/>
      <c r="D1354" s="74"/>
      <c r="E1354" s="74"/>
      <c r="F1354" s="74"/>
      <c r="G1354" s="75"/>
      <c r="H1354" s="75"/>
      <c r="I1354" s="76"/>
      <c r="J1354" s="77"/>
      <c r="K1354" s="76"/>
      <c r="L1354" s="76"/>
      <c r="M1354" s="74"/>
      <c r="N1354" s="74"/>
      <c r="O1354" s="78"/>
      <c r="P1354" s="78"/>
      <c r="Q1354" s="78"/>
      <c r="R1354" s="78"/>
      <c r="S1354" s="79"/>
      <c r="T1354" s="79"/>
      <c r="U1354" s="79"/>
      <c r="V1354" s="79"/>
      <c r="W1354" s="79"/>
      <c r="X1354" s="79"/>
      <c r="Y1354" s="79"/>
      <c r="Z1354" s="79"/>
      <c r="AA1354" s="79"/>
    </row>
    <row r="1355" spans="1:27" x14ac:dyDescent="0.2">
      <c r="A1355" s="73"/>
      <c r="B1355" s="74"/>
      <c r="C1355" s="74"/>
      <c r="D1355" s="74"/>
      <c r="E1355" s="74"/>
      <c r="F1355" s="74"/>
      <c r="G1355" s="75"/>
      <c r="H1355" s="75"/>
      <c r="I1355" s="76"/>
      <c r="J1355" s="77"/>
      <c r="K1355" s="76"/>
      <c r="L1355" s="76"/>
      <c r="M1355" s="74"/>
      <c r="N1355" s="74"/>
      <c r="O1355" s="78"/>
      <c r="P1355" s="78"/>
      <c r="Q1355" s="78"/>
      <c r="R1355" s="78"/>
      <c r="S1355" s="79"/>
      <c r="T1355" s="79"/>
      <c r="U1355" s="79"/>
      <c r="V1355" s="79"/>
      <c r="W1355" s="79"/>
      <c r="X1355" s="79"/>
      <c r="Y1355" s="79"/>
      <c r="Z1355" s="79"/>
      <c r="AA1355" s="79"/>
    </row>
    <row r="1356" spans="1:27" x14ac:dyDescent="0.2">
      <c r="A1356" s="73"/>
      <c r="B1356" s="74"/>
      <c r="C1356" s="74"/>
      <c r="D1356" s="74"/>
      <c r="E1356" s="74"/>
      <c r="F1356" s="74"/>
      <c r="G1356" s="75"/>
      <c r="H1356" s="75"/>
      <c r="I1356" s="76"/>
      <c r="J1356" s="77"/>
      <c r="K1356" s="76"/>
      <c r="L1356" s="76"/>
      <c r="M1356" s="74"/>
      <c r="N1356" s="74"/>
      <c r="O1356" s="78"/>
      <c r="P1356" s="78"/>
      <c r="Q1356" s="78"/>
      <c r="R1356" s="78"/>
      <c r="S1356" s="79"/>
      <c r="T1356" s="79"/>
      <c r="U1356" s="79"/>
      <c r="V1356" s="79"/>
      <c r="W1356" s="79"/>
      <c r="X1356" s="79"/>
      <c r="Y1356" s="79"/>
      <c r="Z1356" s="79"/>
      <c r="AA1356" s="79"/>
    </row>
    <row r="1357" spans="1:27" x14ac:dyDescent="0.2">
      <c r="A1357" s="73"/>
      <c r="B1357" s="74"/>
      <c r="C1357" s="74"/>
      <c r="D1357" s="74"/>
      <c r="E1357" s="74"/>
      <c r="F1357" s="74"/>
      <c r="G1357" s="75"/>
      <c r="H1357" s="75"/>
      <c r="I1357" s="76"/>
      <c r="J1357" s="77"/>
      <c r="K1357" s="76"/>
      <c r="L1357" s="76"/>
      <c r="M1357" s="74"/>
      <c r="N1357" s="74"/>
      <c r="O1357" s="78"/>
      <c r="P1357" s="78"/>
      <c r="Q1357" s="78"/>
      <c r="R1357" s="78"/>
      <c r="S1357" s="79"/>
      <c r="T1357" s="79"/>
      <c r="U1357" s="79"/>
      <c r="V1357" s="79"/>
      <c r="W1357" s="79"/>
      <c r="X1357" s="79"/>
      <c r="Y1357" s="79"/>
      <c r="Z1357" s="79"/>
      <c r="AA1357" s="79"/>
    </row>
    <row r="1358" spans="1:27" x14ac:dyDescent="0.2">
      <c r="A1358" s="73"/>
      <c r="B1358" s="74"/>
      <c r="C1358" s="74"/>
      <c r="D1358" s="74"/>
      <c r="E1358" s="74"/>
      <c r="F1358" s="74"/>
      <c r="G1358" s="75"/>
      <c r="H1358" s="75"/>
      <c r="I1358" s="76"/>
      <c r="J1358" s="77"/>
      <c r="K1358" s="76"/>
      <c r="L1358" s="76"/>
      <c r="M1358" s="74"/>
      <c r="N1358" s="74"/>
      <c r="O1358" s="78"/>
      <c r="P1358" s="78"/>
      <c r="Q1358" s="78"/>
      <c r="R1358" s="78"/>
      <c r="S1358" s="79"/>
      <c r="T1358" s="79"/>
      <c r="U1358" s="79"/>
      <c r="V1358" s="79"/>
      <c r="W1358" s="79"/>
      <c r="X1358" s="79"/>
      <c r="Y1358" s="79"/>
      <c r="Z1358" s="79"/>
      <c r="AA1358" s="79"/>
    </row>
    <row r="1359" spans="1:27" x14ac:dyDescent="0.2">
      <c r="A1359" s="73"/>
      <c r="B1359" s="74"/>
      <c r="C1359" s="74"/>
      <c r="D1359" s="74"/>
      <c r="E1359" s="74"/>
      <c r="F1359" s="74"/>
      <c r="G1359" s="75"/>
      <c r="H1359" s="75"/>
      <c r="I1359" s="76"/>
      <c r="J1359" s="77"/>
      <c r="K1359" s="76"/>
      <c r="L1359" s="76"/>
      <c r="M1359" s="74"/>
      <c r="N1359" s="74"/>
      <c r="O1359" s="78"/>
      <c r="P1359" s="78"/>
      <c r="Q1359" s="78"/>
      <c r="R1359" s="78"/>
      <c r="S1359" s="79"/>
      <c r="T1359" s="79"/>
      <c r="U1359" s="79"/>
      <c r="V1359" s="79"/>
      <c r="W1359" s="79"/>
      <c r="X1359" s="79"/>
      <c r="Y1359" s="79"/>
      <c r="Z1359" s="79"/>
      <c r="AA1359" s="79"/>
    </row>
    <row r="1360" spans="1:27" x14ac:dyDescent="0.2">
      <c r="A1360" s="73"/>
      <c r="B1360" s="74"/>
      <c r="C1360" s="74"/>
      <c r="D1360" s="74"/>
      <c r="E1360" s="74"/>
      <c r="F1360" s="74"/>
      <c r="G1360" s="75"/>
      <c r="H1360" s="75"/>
      <c r="I1360" s="76"/>
      <c r="J1360" s="77"/>
      <c r="K1360" s="76"/>
      <c r="L1360" s="76"/>
      <c r="M1360" s="74"/>
      <c r="N1360" s="74"/>
      <c r="O1360" s="78"/>
      <c r="P1360" s="78"/>
      <c r="Q1360" s="78"/>
      <c r="R1360" s="78"/>
      <c r="S1360" s="79"/>
      <c r="T1360" s="79"/>
      <c r="U1360" s="79"/>
      <c r="V1360" s="79"/>
      <c r="W1360" s="79"/>
      <c r="X1360" s="79"/>
      <c r="Y1360" s="79"/>
      <c r="Z1360" s="79"/>
      <c r="AA1360" s="79"/>
    </row>
    <row r="1361" spans="1:27" x14ac:dyDescent="0.2">
      <c r="A1361" s="73"/>
      <c r="B1361" s="74"/>
      <c r="C1361" s="74"/>
      <c r="D1361" s="74"/>
      <c r="E1361" s="74"/>
      <c r="F1361" s="74"/>
      <c r="G1361" s="75"/>
      <c r="H1361" s="75"/>
      <c r="I1361" s="76"/>
      <c r="J1361" s="77"/>
      <c r="K1361" s="76"/>
      <c r="L1361" s="76"/>
      <c r="M1361" s="74"/>
      <c r="N1361" s="74"/>
      <c r="O1361" s="78"/>
      <c r="P1361" s="78"/>
      <c r="Q1361" s="78"/>
      <c r="R1361" s="78"/>
      <c r="S1361" s="79"/>
      <c r="T1361" s="79"/>
      <c r="U1361" s="79"/>
      <c r="V1361" s="79"/>
      <c r="W1361" s="79"/>
      <c r="X1361" s="79"/>
      <c r="Y1361" s="79"/>
      <c r="Z1361" s="79"/>
      <c r="AA1361" s="79"/>
    </row>
    <row r="1362" spans="1:27" x14ac:dyDescent="0.2">
      <c r="A1362" s="73"/>
      <c r="B1362" s="74"/>
      <c r="C1362" s="74"/>
      <c r="D1362" s="74"/>
      <c r="E1362" s="74"/>
      <c r="F1362" s="74"/>
      <c r="G1362" s="75"/>
      <c r="H1362" s="75"/>
      <c r="I1362" s="76"/>
      <c r="J1362" s="77"/>
      <c r="K1362" s="76"/>
      <c r="L1362" s="76"/>
      <c r="M1362" s="74"/>
      <c r="N1362" s="74"/>
      <c r="O1362" s="78"/>
      <c r="P1362" s="78"/>
      <c r="Q1362" s="78"/>
      <c r="R1362" s="78"/>
      <c r="S1362" s="79"/>
      <c r="T1362" s="79"/>
      <c r="U1362" s="79"/>
      <c r="V1362" s="79"/>
      <c r="W1362" s="79"/>
      <c r="X1362" s="79"/>
      <c r="Y1362" s="79"/>
      <c r="Z1362" s="79"/>
      <c r="AA1362" s="79"/>
    </row>
    <row r="1363" spans="1:27" x14ac:dyDescent="0.2">
      <c r="A1363" s="73"/>
      <c r="B1363" s="74"/>
      <c r="C1363" s="74"/>
      <c r="D1363" s="74"/>
      <c r="E1363" s="74"/>
      <c r="F1363" s="74"/>
      <c r="G1363" s="75"/>
      <c r="H1363" s="75"/>
      <c r="I1363" s="76"/>
      <c r="J1363" s="77"/>
      <c r="K1363" s="76"/>
      <c r="L1363" s="76"/>
      <c r="M1363" s="74"/>
      <c r="N1363" s="74"/>
      <c r="O1363" s="78"/>
      <c r="P1363" s="78"/>
      <c r="Q1363" s="78"/>
      <c r="R1363" s="78"/>
      <c r="S1363" s="79"/>
      <c r="T1363" s="79"/>
      <c r="U1363" s="79"/>
      <c r="V1363" s="79"/>
      <c r="W1363" s="79"/>
      <c r="X1363" s="79"/>
      <c r="Y1363" s="79"/>
      <c r="Z1363" s="79"/>
      <c r="AA1363" s="79"/>
    </row>
    <row r="1364" spans="1:27" x14ac:dyDescent="0.2">
      <c r="A1364" s="73"/>
      <c r="B1364" s="74"/>
      <c r="C1364" s="74"/>
      <c r="D1364" s="74"/>
      <c r="E1364" s="74"/>
      <c r="F1364" s="74"/>
      <c r="G1364" s="75"/>
      <c r="H1364" s="75"/>
      <c r="I1364" s="76"/>
      <c r="J1364" s="77"/>
      <c r="K1364" s="76"/>
      <c r="L1364" s="76"/>
      <c r="M1364" s="74"/>
      <c r="N1364" s="74"/>
      <c r="O1364" s="78"/>
      <c r="P1364" s="78"/>
      <c r="Q1364" s="78"/>
      <c r="R1364" s="78"/>
      <c r="S1364" s="79"/>
      <c r="T1364" s="79"/>
      <c r="U1364" s="79"/>
      <c r="V1364" s="79"/>
      <c r="W1364" s="79"/>
      <c r="X1364" s="79"/>
      <c r="Y1364" s="79"/>
      <c r="Z1364" s="79"/>
      <c r="AA1364" s="79"/>
    </row>
    <row r="1365" spans="1:27" x14ac:dyDescent="0.2">
      <c r="A1365" s="73"/>
      <c r="B1365" s="74"/>
      <c r="C1365" s="74"/>
      <c r="D1365" s="74"/>
      <c r="E1365" s="74"/>
      <c r="F1365" s="74"/>
      <c r="G1365" s="75"/>
      <c r="H1365" s="75"/>
      <c r="I1365" s="76"/>
      <c r="J1365" s="77"/>
      <c r="K1365" s="76"/>
      <c r="L1365" s="76"/>
      <c r="M1365" s="74"/>
      <c r="N1365" s="74"/>
      <c r="O1365" s="78"/>
      <c r="P1365" s="78"/>
      <c r="Q1365" s="78"/>
      <c r="R1365" s="78"/>
      <c r="S1365" s="79"/>
      <c r="T1365" s="79"/>
      <c r="U1365" s="79"/>
      <c r="V1365" s="79"/>
      <c r="W1365" s="79"/>
      <c r="X1365" s="79"/>
      <c r="Y1365" s="79"/>
      <c r="Z1365" s="79"/>
      <c r="AA1365" s="79"/>
    </row>
    <row r="1366" spans="1:27" x14ac:dyDescent="0.2">
      <c r="A1366" s="73"/>
      <c r="B1366" s="74"/>
      <c r="C1366" s="74"/>
      <c r="D1366" s="74"/>
      <c r="E1366" s="74"/>
      <c r="F1366" s="74"/>
      <c r="G1366" s="75"/>
      <c r="H1366" s="75"/>
      <c r="I1366" s="76"/>
      <c r="J1366" s="77"/>
      <c r="K1366" s="76"/>
      <c r="L1366" s="76"/>
      <c r="M1366" s="74"/>
      <c r="N1366" s="74"/>
      <c r="O1366" s="78"/>
      <c r="P1366" s="78"/>
      <c r="Q1366" s="78"/>
      <c r="R1366" s="78"/>
      <c r="S1366" s="79"/>
      <c r="T1366" s="79"/>
      <c r="U1366" s="79"/>
      <c r="V1366" s="79"/>
      <c r="W1366" s="79"/>
      <c r="X1366" s="79"/>
      <c r="Y1366" s="79"/>
      <c r="Z1366" s="79"/>
      <c r="AA1366" s="79"/>
    </row>
    <row r="1367" spans="1:27" x14ac:dyDescent="0.2">
      <c r="A1367" s="73"/>
      <c r="B1367" s="74"/>
      <c r="C1367" s="74"/>
      <c r="D1367" s="74"/>
      <c r="E1367" s="74"/>
      <c r="F1367" s="74"/>
      <c r="G1367" s="75"/>
      <c r="H1367" s="75"/>
      <c r="I1367" s="76"/>
      <c r="J1367" s="77"/>
      <c r="K1367" s="76"/>
      <c r="L1367" s="76"/>
      <c r="M1367" s="74"/>
      <c r="N1367" s="74"/>
      <c r="O1367" s="78"/>
      <c r="P1367" s="78"/>
      <c r="Q1367" s="78"/>
      <c r="R1367" s="78"/>
      <c r="S1367" s="79"/>
      <c r="T1367" s="79"/>
      <c r="U1367" s="79"/>
      <c r="V1367" s="79"/>
      <c r="W1367" s="79"/>
      <c r="X1367" s="79"/>
      <c r="Y1367" s="79"/>
      <c r="Z1367" s="79"/>
      <c r="AA1367" s="79"/>
    </row>
    <row r="1368" spans="1:27" x14ac:dyDescent="0.2">
      <c r="A1368" s="73"/>
      <c r="B1368" s="74"/>
      <c r="C1368" s="74"/>
      <c r="D1368" s="74"/>
      <c r="E1368" s="74"/>
      <c r="F1368" s="74"/>
      <c r="G1368" s="75"/>
      <c r="H1368" s="75"/>
      <c r="I1368" s="76"/>
      <c r="J1368" s="77"/>
      <c r="K1368" s="76"/>
      <c r="L1368" s="76"/>
      <c r="M1368" s="74"/>
      <c r="N1368" s="74"/>
      <c r="O1368" s="78"/>
      <c r="P1368" s="78"/>
      <c r="Q1368" s="78"/>
      <c r="R1368" s="78"/>
      <c r="S1368" s="79"/>
      <c r="T1368" s="79"/>
      <c r="U1368" s="79"/>
      <c r="V1368" s="79"/>
      <c r="W1368" s="79"/>
      <c r="X1368" s="79"/>
      <c r="Y1368" s="79"/>
      <c r="Z1368" s="79"/>
      <c r="AA1368" s="79"/>
    </row>
    <row r="1369" spans="1:27" x14ac:dyDescent="0.2">
      <c r="A1369" s="73"/>
      <c r="B1369" s="74"/>
      <c r="C1369" s="74"/>
      <c r="D1369" s="74"/>
      <c r="E1369" s="74"/>
      <c r="F1369" s="74"/>
      <c r="G1369" s="75"/>
      <c r="H1369" s="75"/>
      <c r="I1369" s="76"/>
      <c r="J1369" s="77"/>
      <c r="K1369" s="76"/>
      <c r="L1369" s="76"/>
      <c r="M1369" s="74"/>
      <c r="N1369" s="74"/>
      <c r="O1369" s="78"/>
      <c r="P1369" s="78"/>
      <c r="Q1369" s="78"/>
      <c r="R1369" s="78"/>
      <c r="S1369" s="79"/>
      <c r="T1369" s="79"/>
      <c r="U1369" s="79"/>
      <c r="V1369" s="79"/>
      <c r="W1369" s="79"/>
      <c r="X1369" s="79"/>
      <c r="Y1369" s="79"/>
      <c r="Z1369" s="79"/>
      <c r="AA1369" s="79"/>
    </row>
    <row r="1370" spans="1:27" x14ac:dyDescent="0.2">
      <c r="A1370" s="73"/>
      <c r="B1370" s="74"/>
      <c r="C1370" s="74"/>
      <c r="D1370" s="74"/>
      <c r="E1370" s="74"/>
      <c r="F1370" s="74"/>
      <c r="G1370" s="75"/>
      <c r="H1370" s="75"/>
      <c r="I1370" s="76"/>
      <c r="J1370" s="77"/>
      <c r="K1370" s="76"/>
      <c r="L1370" s="76"/>
      <c r="M1370" s="74"/>
      <c r="N1370" s="74"/>
      <c r="O1370" s="78"/>
      <c r="P1370" s="78"/>
      <c r="Q1370" s="78"/>
      <c r="R1370" s="78"/>
      <c r="S1370" s="79"/>
      <c r="T1370" s="79"/>
      <c r="U1370" s="79"/>
      <c r="V1370" s="79"/>
      <c r="W1370" s="79"/>
      <c r="X1370" s="79"/>
      <c r="Y1370" s="79"/>
      <c r="Z1370" s="79"/>
      <c r="AA1370" s="79"/>
    </row>
    <row r="1371" spans="1:27" x14ac:dyDescent="0.2">
      <c r="A1371" s="73"/>
      <c r="B1371" s="74"/>
      <c r="C1371" s="74"/>
      <c r="D1371" s="74"/>
      <c r="E1371" s="74"/>
      <c r="F1371" s="74"/>
      <c r="G1371" s="75"/>
      <c r="H1371" s="75"/>
      <c r="I1371" s="76"/>
      <c r="J1371" s="77"/>
      <c r="K1371" s="76"/>
      <c r="L1371" s="76"/>
      <c r="M1371" s="74"/>
      <c r="N1371" s="74"/>
      <c r="O1371" s="78"/>
      <c r="P1371" s="78"/>
      <c r="Q1371" s="78"/>
      <c r="R1371" s="78"/>
      <c r="S1371" s="79"/>
      <c r="T1371" s="79"/>
      <c r="U1371" s="79"/>
      <c r="V1371" s="79"/>
      <c r="W1371" s="79"/>
      <c r="X1371" s="79"/>
      <c r="Y1371" s="79"/>
      <c r="Z1371" s="79"/>
      <c r="AA1371" s="79"/>
    </row>
    <row r="1372" spans="1:27" x14ac:dyDescent="0.2">
      <c r="A1372" s="73"/>
      <c r="B1372" s="74"/>
      <c r="C1372" s="74"/>
      <c r="D1372" s="74"/>
      <c r="E1372" s="74"/>
      <c r="F1372" s="74"/>
      <c r="G1372" s="75"/>
      <c r="H1372" s="75"/>
      <c r="I1372" s="76"/>
      <c r="J1372" s="77"/>
      <c r="K1372" s="76"/>
      <c r="L1372" s="76"/>
      <c r="M1372" s="74"/>
      <c r="N1372" s="74"/>
      <c r="O1372" s="78"/>
      <c r="P1372" s="78"/>
      <c r="Q1372" s="78"/>
      <c r="R1372" s="78"/>
      <c r="S1372" s="79"/>
      <c r="T1372" s="79"/>
      <c r="U1372" s="79"/>
      <c r="V1372" s="79"/>
      <c r="W1372" s="79"/>
      <c r="X1372" s="79"/>
      <c r="Y1372" s="79"/>
      <c r="Z1372" s="79"/>
      <c r="AA1372" s="79"/>
    </row>
    <row r="1373" spans="1:27" x14ac:dyDescent="0.2">
      <c r="A1373" s="73"/>
      <c r="B1373" s="74"/>
      <c r="C1373" s="74"/>
      <c r="D1373" s="74"/>
      <c r="E1373" s="74"/>
      <c r="F1373" s="74"/>
      <c r="G1373" s="75"/>
      <c r="H1373" s="75"/>
      <c r="I1373" s="76"/>
      <c r="J1373" s="77"/>
      <c r="K1373" s="76"/>
      <c r="L1373" s="76"/>
      <c r="M1373" s="74"/>
      <c r="N1373" s="74"/>
      <c r="O1373" s="78"/>
      <c r="P1373" s="78"/>
      <c r="Q1373" s="78"/>
      <c r="R1373" s="78"/>
      <c r="S1373" s="79"/>
      <c r="T1373" s="79"/>
      <c r="U1373" s="79"/>
      <c r="V1373" s="79"/>
      <c r="W1373" s="79"/>
      <c r="X1373" s="79"/>
      <c r="Y1373" s="79"/>
      <c r="Z1373" s="79"/>
      <c r="AA1373" s="79"/>
    </row>
    <row r="1374" spans="1:27" x14ac:dyDescent="0.2">
      <c r="A1374" s="73"/>
      <c r="B1374" s="74"/>
      <c r="C1374" s="74"/>
      <c r="D1374" s="74"/>
      <c r="E1374" s="74"/>
      <c r="F1374" s="74"/>
      <c r="G1374" s="75"/>
      <c r="H1374" s="75"/>
      <c r="I1374" s="76"/>
      <c r="J1374" s="77"/>
      <c r="K1374" s="76"/>
      <c r="L1374" s="76"/>
      <c r="M1374" s="74"/>
      <c r="N1374" s="74"/>
      <c r="O1374" s="78"/>
      <c r="P1374" s="78"/>
      <c r="Q1374" s="78"/>
      <c r="R1374" s="78"/>
      <c r="S1374" s="79"/>
      <c r="T1374" s="79"/>
      <c r="U1374" s="79"/>
      <c r="V1374" s="79"/>
      <c r="W1374" s="79"/>
      <c r="X1374" s="79"/>
      <c r="Y1374" s="79"/>
      <c r="Z1374" s="79"/>
      <c r="AA1374" s="79"/>
    </row>
    <row r="1375" spans="1:27" x14ac:dyDescent="0.2">
      <c r="A1375" s="73"/>
      <c r="B1375" s="74"/>
      <c r="C1375" s="74"/>
      <c r="D1375" s="74"/>
      <c r="E1375" s="74"/>
      <c r="F1375" s="74"/>
      <c r="G1375" s="75"/>
      <c r="H1375" s="75"/>
      <c r="I1375" s="76"/>
      <c r="J1375" s="77"/>
      <c r="K1375" s="76"/>
      <c r="L1375" s="76"/>
      <c r="M1375" s="74"/>
      <c r="N1375" s="74"/>
      <c r="O1375" s="78"/>
      <c r="P1375" s="78"/>
      <c r="Q1375" s="78"/>
      <c r="R1375" s="78"/>
      <c r="S1375" s="79"/>
      <c r="T1375" s="79"/>
      <c r="U1375" s="79"/>
      <c r="V1375" s="79"/>
      <c r="W1375" s="79"/>
      <c r="X1375" s="79"/>
      <c r="Y1375" s="79"/>
      <c r="Z1375" s="79"/>
      <c r="AA1375" s="79"/>
    </row>
    <row r="1376" spans="1:27" x14ac:dyDescent="0.2">
      <c r="A1376" s="73"/>
      <c r="B1376" s="74"/>
      <c r="C1376" s="74"/>
      <c r="D1376" s="74"/>
      <c r="E1376" s="74"/>
      <c r="F1376" s="74"/>
      <c r="G1376" s="75"/>
      <c r="H1376" s="75"/>
      <c r="I1376" s="76"/>
      <c r="J1376" s="77"/>
      <c r="K1376" s="76"/>
      <c r="L1376" s="76"/>
      <c r="M1376" s="74"/>
      <c r="N1376" s="74"/>
      <c r="O1376" s="78"/>
      <c r="P1376" s="78"/>
      <c r="Q1376" s="78"/>
      <c r="R1376" s="78"/>
      <c r="S1376" s="79"/>
      <c r="T1376" s="79"/>
      <c r="U1376" s="79"/>
      <c r="V1376" s="79"/>
      <c r="W1376" s="79"/>
      <c r="X1376" s="79"/>
      <c r="Y1376" s="79"/>
      <c r="Z1376" s="79"/>
      <c r="AA1376" s="79"/>
    </row>
    <row r="1377" spans="1:27" x14ac:dyDescent="0.2">
      <c r="A1377" s="73"/>
      <c r="B1377" s="74"/>
      <c r="C1377" s="74"/>
      <c r="D1377" s="74"/>
      <c r="E1377" s="74"/>
      <c r="F1377" s="74"/>
      <c r="G1377" s="75"/>
      <c r="H1377" s="75"/>
      <c r="I1377" s="76"/>
      <c r="J1377" s="77"/>
      <c r="K1377" s="76"/>
      <c r="L1377" s="76"/>
      <c r="M1377" s="74"/>
      <c r="N1377" s="74"/>
      <c r="O1377" s="78"/>
      <c r="P1377" s="78"/>
      <c r="Q1377" s="78"/>
      <c r="R1377" s="78"/>
      <c r="S1377" s="79"/>
      <c r="T1377" s="79"/>
      <c r="U1377" s="79"/>
      <c r="V1377" s="79"/>
      <c r="W1377" s="79"/>
      <c r="X1377" s="79"/>
      <c r="Y1377" s="79"/>
      <c r="Z1377" s="79"/>
      <c r="AA1377" s="79"/>
    </row>
    <row r="1378" spans="1:27" x14ac:dyDescent="0.2">
      <c r="A1378" s="73"/>
      <c r="B1378" s="74"/>
      <c r="C1378" s="74"/>
      <c r="D1378" s="74"/>
      <c r="E1378" s="74"/>
      <c r="F1378" s="74"/>
      <c r="G1378" s="75"/>
      <c r="H1378" s="75"/>
      <c r="I1378" s="76"/>
      <c r="J1378" s="77"/>
      <c r="K1378" s="76"/>
      <c r="L1378" s="76"/>
      <c r="M1378" s="74"/>
      <c r="N1378" s="74"/>
      <c r="O1378" s="78"/>
      <c r="P1378" s="78"/>
      <c r="Q1378" s="78"/>
      <c r="R1378" s="78"/>
      <c r="S1378" s="79"/>
      <c r="T1378" s="79"/>
      <c r="U1378" s="79"/>
      <c r="V1378" s="79"/>
      <c r="W1378" s="79"/>
      <c r="X1378" s="79"/>
      <c r="Y1378" s="79"/>
      <c r="Z1378" s="79"/>
      <c r="AA1378" s="79"/>
    </row>
    <row r="1379" spans="1:27" x14ac:dyDescent="0.2">
      <c r="A1379" s="73"/>
      <c r="B1379" s="74"/>
      <c r="C1379" s="74"/>
      <c r="D1379" s="74"/>
      <c r="E1379" s="74"/>
      <c r="F1379" s="74"/>
      <c r="G1379" s="75"/>
      <c r="H1379" s="75"/>
      <c r="I1379" s="76"/>
      <c r="J1379" s="77"/>
      <c r="K1379" s="76"/>
      <c r="L1379" s="76"/>
      <c r="M1379" s="74"/>
      <c r="N1379" s="74"/>
      <c r="O1379" s="78"/>
      <c r="P1379" s="78"/>
      <c r="Q1379" s="78"/>
      <c r="R1379" s="78"/>
      <c r="S1379" s="79"/>
      <c r="T1379" s="79"/>
      <c r="U1379" s="79"/>
      <c r="V1379" s="79"/>
      <c r="W1379" s="79"/>
      <c r="X1379" s="79"/>
      <c r="Y1379" s="79"/>
      <c r="Z1379" s="79"/>
      <c r="AA1379" s="79"/>
    </row>
    <row r="1380" spans="1:27" x14ac:dyDescent="0.2">
      <c r="A1380" s="73"/>
      <c r="B1380" s="74"/>
      <c r="C1380" s="74"/>
      <c r="D1380" s="74"/>
      <c r="E1380" s="74"/>
      <c r="F1380" s="74"/>
      <c r="G1380" s="75"/>
      <c r="H1380" s="75"/>
      <c r="I1380" s="76"/>
      <c r="J1380" s="77"/>
      <c r="K1380" s="76"/>
      <c r="L1380" s="76"/>
      <c r="M1380" s="74"/>
      <c r="N1380" s="74"/>
      <c r="O1380" s="78"/>
      <c r="P1380" s="78"/>
      <c r="Q1380" s="78"/>
      <c r="R1380" s="78"/>
      <c r="S1380" s="79"/>
      <c r="T1380" s="79"/>
      <c r="U1380" s="79"/>
      <c r="V1380" s="79"/>
      <c r="W1380" s="79"/>
      <c r="X1380" s="79"/>
      <c r="Y1380" s="79"/>
      <c r="Z1380" s="79"/>
      <c r="AA1380" s="79"/>
    </row>
    <row r="1381" spans="1:27" x14ac:dyDescent="0.2">
      <c r="A1381" s="73"/>
      <c r="B1381" s="74"/>
      <c r="C1381" s="74"/>
      <c r="D1381" s="74"/>
      <c r="E1381" s="74"/>
      <c r="F1381" s="74"/>
      <c r="G1381" s="75"/>
      <c r="H1381" s="75"/>
      <c r="I1381" s="76"/>
      <c r="J1381" s="77"/>
      <c r="K1381" s="76"/>
      <c r="L1381" s="76"/>
      <c r="M1381" s="74"/>
      <c r="N1381" s="74"/>
      <c r="O1381" s="78"/>
      <c r="P1381" s="78"/>
      <c r="Q1381" s="78"/>
      <c r="R1381" s="78"/>
      <c r="S1381" s="79"/>
      <c r="T1381" s="79"/>
      <c r="U1381" s="79"/>
      <c r="V1381" s="79"/>
      <c r="W1381" s="79"/>
      <c r="X1381" s="79"/>
      <c r="Y1381" s="79"/>
      <c r="Z1381" s="79"/>
      <c r="AA1381" s="79"/>
    </row>
    <row r="1382" spans="1:27" x14ac:dyDescent="0.2">
      <c r="A1382" s="73"/>
      <c r="B1382" s="74"/>
      <c r="C1382" s="74"/>
      <c r="D1382" s="74"/>
      <c r="E1382" s="74"/>
      <c r="F1382" s="74"/>
      <c r="G1382" s="75"/>
      <c r="H1382" s="75"/>
      <c r="I1382" s="76"/>
      <c r="J1382" s="77"/>
      <c r="K1382" s="76"/>
      <c r="L1382" s="76"/>
      <c r="M1382" s="74"/>
      <c r="N1382" s="74"/>
      <c r="O1382" s="78"/>
      <c r="P1382" s="78"/>
      <c r="Q1382" s="78"/>
      <c r="R1382" s="78"/>
      <c r="S1382" s="79"/>
      <c r="T1382" s="79"/>
      <c r="U1382" s="79"/>
      <c r="V1382" s="79"/>
      <c r="W1382" s="79"/>
      <c r="X1382" s="79"/>
      <c r="Y1382" s="79"/>
      <c r="Z1382" s="79"/>
      <c r="AA1382" s="79"/>
    </row>
    <row r="1383" spans="1:27" x14ac:dyDescent="0.2">
      <c r="A1383" s="73"/>
      <c r="B1383" s="74"/>
      <c r="C1383" s="74"/>
      <c r="D1383" s="74"/>
      <c r="E1383" s="74"/>
      <c r="F1383" s="74"/>
      <c r="G1383" s="75"/>
      <c r="H1383" s="75"/>
      <c r="I1383" s="76"/>
      <c r="J1383" s="77"/>
      <c r="K1383" s="76"/>
      <c r="L1383" s="76"/>
      <c r="M1383" s="74"/>
      <c r="N1383" s="74"/>
      <c r="O1383" s="78"/>
      <c r="P1383" s="78"/>
      <c r="Q1383" s="78"/>
      <c r="R1383" s="78"/>
      <c r="S1383" s="79"/>
      <c r="T1383" s="79"/>
      <c r="U1383" s="79"/>
      <c r="V1383" s="79"/>
      <c r="W1383" s="79"/>
      <c r="X1383" s="79"/>
      <c r="Y1383" s="79"/>
      <c r="Z1383" s="79"/>
      <c r="AA1383" s="79"/>
    </row>
    <row r="1384" spans="1:27" x14ac:dyDescent="0.2">
      <c r="A1384" s="73"/>
      <c r="B1384" s="74"/>
      <c r="C1384" s="74"/>
      <c r="D1384" s="74"/>
      <c r="E1384" s="74"/>
      <c r="F1384" s="74"/>
      <c r="G1384" s="75"/>
      <c r="H1384" s="75"/>
      <c r="I1384" s="76"/>
      <c r="J1384" s="77"/>
      <c r="K1384" s="76"/>
      <c r="L1384" s="76"/>
      <c r="M1384" s="74"/>
      <c r="N1384" s="74"/>
      <c r="O1384" s="78"/>
      <c r="P1384" s="78"/>
      <c r="Q1384" s="78"/>
      <c r="R1384" s="78"/>
      <c r="S1384" s="79"/>
      <c r="T1384" s="79"/>
      <c r="U1384" s="79"/>
      <c r="V1384" s="79"/>
      <c r="W1384" s="79"/>
      <c r="X1384" s="79"/>
      <c r="Y1384" s="79"/>
      <c r="Z1384" s="79"/>
      <c r="AA1384" s="79"/>
    </row>
    <row r="1385" spans="1:27" x14ac:dyDescent="0.2">
      <c r="A1385" s="73"/>
      <c r="B1385" s="74"/>
      <c r="C1385" s="74"/>
      <c r="D1385" s="74"/>
      <c r="E1385" s="74"/>
      <c r="F1385" s="74"/>
      <c r="G1385" s="75"/>
      <c r="H1385" s="75"/>
      <c r="I1385" s="76"/>
      <c r="J1385" s="77"/>
      <c r="K1385" s="76"/>
      <c r="L1385" s="76"/>
      <c r="M1385" s="74"/>
      <c r="N1385" s="74"/>
      <c r="O1385" s="78"/>
      <c r="P1385" s="78"/>
      <c r="Q1385" s="78"/>
      <c r="R1385" s="78"/>
      <c r="S1385" s="79"/>
      <c r="T1385" s="79"/>
      <c r="U1385" s="79"/>
      <c r="V1385" s="79"/>
      <c r="W1385" s="79"/>
      <c r="X1385" s="79"/>
      <c r="Y1385" s="79"/>
      <c r="Z1385" s="79"/>
      <c r="AA1385" s="79"/>
    </row>
    <row r="1386" spans="1:27" x14ac:dyDescent="0.2">
      <c r="A1386" s="73"/>
      <c r="B1386" s="74"/>
      <c r="C1386" s="74"/>
      <c r="D1386" s="74"/>
      <c r="E1386" s="74"/>
      <c r="F1386" s="74"/>
      <c r="G1386" s="75"/>
      <c r="H1386" s="75"/>
      <c r="I1386" s="76"/>
      <c r="J1386" s="77"/>
      <c r="K1386" s="76"/>
      <c r="L1386" s="76"/>
      <c r="M1386" s="74"/>
      <c r="N1386" s="74"/>
      <c r="O1386" s="78"/>
      <c r="P1386" s="78"/>
      <c r="Q1386" s="78"/>
      <c r="R1386" s="78"/>
      <c r="S1386" s="79"/>
      <c r="T1386" s="79"/>
      <c r="U1386" s="79"/>
      <c r="V1386" s="79"/>
      <c r="W1386" s="79"/>
      <c r="X1386" s="79"/>
      <c r="Y1386" s="79"/>
      <c r="Z1386" s="79"/>
      <c r="AA1386" s="79"/>
    </row>
    <row r="1387" spans="1:27" x14ac:dyDescent="0.2">
      <c r="A1387" s="73"/>
      <c r="B1387" s="74"/>
      <c r="C1387" s="74"/>
      <c r="D1387" s="74"/>
      <c r="E1387" s="74"/>
      <c r="F1387" s="74"/>
      <c r="G1387" s="75"/>
      <c r="H1387" s="75"/>
      <c r="I1387" s="76"/>
      <c r="J1387" s="77"/>
      <c r="K1387" s="76"/>
      <c r="L1387" s="76"/>
      <c r="M1387" s="74"/>
      <c r="N1387" s="74"/>
      <c r="O1387" s="78"/>
      <c r="P1387" s="78"/>
      <c r="Q1387" s="78"/>
      <c r="R1387" s="78"/>
      <c r="S1387" s="79"/>
      <c r="T1387" s="79"/>
      <c r="U1387" s="79"/>
      <c r="V1387" s="79"/>
      <c r="W1387" s="79"/>
      <c r="X1387" s="79"/>
      <c r="Y1387" s="79"/>
      <c r="Z1387" s="79"/>
      <c r="AA1387" s="79"/>
    </row>
    <row r="1388" spans="1:27" x14ac:dyDescent="0.2">
      <c r="A1388" s="73"/>
      <c r="B1388" s="74"/>
      <c r="C1388" s="74"/>
      <c r="D1388" s="74"/>
      <c r="E1388" s="74"/>
      <c r="F1388" s="74"/>
      <c r="G1388" s="75"/>
      <c r="H1388" s="75"/>
      <c r="I1388" s="76"/>
      <c r="J1388" s="77"/>
      <c r="K1388" s="76"/>
      <c r="L1388" s="76"/>
      <c r="M1388" s="74"/>
      <c r="N1388" s="74"/>
      <c r="O1388" s="78"/>
      <c r="P1388" s="78"/>
      <c r="Q1388" s="78"/>
      <c r="R1388" s="78"/>
      <c r="S1388" s="79"/>
      <c r="T1388" s="79"/>
      <c r="U1388" s="79"/>
      <c r="V1388" s="79"/>
      <c r="W1388" s="79"/>
      <c r="X1388" s="79"/>
      <c r="Y1388" s="79"/>
      <c r="Z1388" s="79"/>
      <c r="AA1388" s="79"/>
    </row>
    <row r="1389" spans="1:27" x14ac:dyDescent="0.2">
      <c r="A1389" s="73"/>
      <c r="B1389" s="74"/>
      <c r="C1389" s="74"/>
      <c r="D1389" s="74"/>
      <c r="E1389" s="74"/>
      <c r="F1389" s="74"/>
      <c r="G1389" s="75"/>
      <c r="H1389" s="75"/>
      <c r="I1389" s="76"/>
      <c r="J1389" s="77"/>
      <c r="K1389" s="76"/>
      <c r="L1389" s="76"/>
      <c r="M1389" s="74"/>
      <c r="N1389" s="74"/>
      <c r="O1389" s="78"/>
      <c r="P1389" s="78"/>
      <c r="Q1389" s="78"/>
      <c r="R1389" s="78"/>
      <c r="S1389" s="79"/>
      <c r="T1389" s="79"/>
      <c r="U1389" s="79"/>
      <c r="V1389" s="79"/>
      <c r="W1389" s="79"/>
      <c r="X1389" s="79"/>
      <c r="Y1389" s="79"/>
      <c r="Z1389" s="79"/>
      <c r="AA1389" s="79"/>
    </row>
    <row r="1390" spans="1:27" x14ac:dyDescent="0.2">
      <c r="A1390" s="73"/>
      <c r="B1390" s="74"/>
      <c r="C1390" s="74"/>
      <c r="D1390" s="74"/>
      <c r="E1390" s="74"/>
      <c r="F1390" s="74"/>
      <c r="G1390" s="75"/>
      <c r="H1390" s="75"/>
      <c r="I1390" s="76"/>
      <c r="J1390" s="77"/>
      <c r="K1390" s="76"/>
      <c r="L1390" s="76"/>
      <c r="M1390" s="74"/>
      <c r="N1390" s="74"/>
      <c r="O1390" s="78"/>
      <c r="P1390" s="78"/>
      <c r="Q1390" s="78"/>
      <c r="R1390" s="78"/>
      <c r="S1390" s="79"/>
      <c r="T1390" s="79"/>
      <c r="U1390" s="79"/>
      <c r="V1390" s="79"/>
      <c r="W1390" s="79"/>
      <c r="X1390" s="79"/>
      <c r="Y1390" s="79"/>
      <c r="Z1390" s="79"/>
      <c r="AA1390" s="79"/>
    </row>
    <row r="1391" spans="1:27" x14ac:dyDescent="0.2">
      <c r="A1391" s="73"/>
      <c r="B1391" s="74"/>
      <c r="C1391" s="74"/>
      <c r="D1391" s="74"/>
      <c r="E1391" s="74"/>
      <c r="F1391" s="74"/>
      <c r="G1391" s="75"/>
      <c r="H1391" s="75"/>
      <c r="I1391" s="76"/>
      <c r="J1391" s="77"/>
      <c r="K1391" s="76"/>
      <c r="L1391" s="76"/>
      <c r="M1391" s="74"/>
      <c r="N1391" s="74"/>
      <c r="O1391" s="78"/>
      <c r="P1391" s="78"/>
      <c r="Q1391" s="78"/>
      <c r="R1391" s="78"/>
      <c r="S1391" s="79"/>
      <c r="T1391" s="79"/>
      <c r="U1391" s="79"/>
      <c r="V1391" s="79"/>
      <c r="W1391" s="79"/>
      <c r="X1391" s="79"/>
      <c r="Y1391" s="79"/>
      <c r="Z1391" s="79"/>
      <c r="AA1391" s="79"/>
    </row>
    <row r="1392" spans="1:27" x14ac:dyDescent="0.2">
      <c r="A1392" s="73"/>
      <c r="B1392" s="74"/>
      <c r="C1392" s="74"/>
      <c r="D1392" s="74"/>
      <c r="E1392" s="74"/>
      <c r="F1392" s="74"/>
      <c r="G1392" s="75"/>
      <c r="H1392" s="75"/>
      <c r="I1392" s="76"/>
      <c r="J1392" s="77"/>
      <c r="K1392" s="76"/>
      <c r="L1392" s="76"/>
      <c r="M1392" s="74"/>
      <c r="N1392" s="74"/>
      <c r="O1392" s="78"/>
      <c r="P1392" s="78"/>
      <c r="Q1392" s="78"/>
      <c r="R1392" s="78"/>
      <c r="S1392" s="79"/>
      <c r="T1392" s="79"/>
      <c r="U1392" s="79"/>
      <c r="V1392" s="79"/>
      <c r="W1392" s="79"/>
      <c r="X1392" s="79"/>
      <c r="Y1392" s="79"/>
      <c r="Z1392" s="79"/>
      <c r="AA1392" s="79"/>
    </row>
    <row r="1393" spans="1:27" x14ac:dyDescent="0.2">
      <c r="A1393" s="73"/>
      <c r="B1393" s="74"/>
      <c r="C1393" s="74"/>
      <c r="D1393" s="74"/>
      <c r="E1393" s="74"/>
      <c r="F1393" s="74"/>
      <c r="G1393" s="75"/>
      <c r="H1393" s="75"/>
      <c r="I1393" s="76"/>
      <c r="J1393" s="77"/>
      <c r="K1393" s="76"/>
      <c r="L1393" s="76"/>
      <c r="M1393" s="74"/>
      <c r="N1393" s="74"/>
      <c r="O1393" s="78"/>
      <c r="P1393" s="78"/>
      <c r="Q1393" s="78"/>
      <c r="R1393" s="78"/>
      <c r="S1393" s="79"/>
      <c r="T1393" s="79"/>
      <c r="U1393" s="79"/>
      <c r="V1393" s="79"/>
      <c r="W1393" s="79"/>
      <c r="X1393" s="79"/>
      <c r="Y1393" s="79"/>
      <c r="Z1393" s="79"/>
      <c r="AA1393" s="79"/>
    </row>
    <row r="1394" spans="1:27" x14ac:dyDescent="0.2">
      <c r="A1394" s="73"/>
      <c r="B1394" s="74"/>
      <c r="C1394" s="74"/>
      <c r="D1394" s="74"/>
      <c r="E1394" s="74"/>
      <c r="F1394" s="74"/>
      <c r="G1394" s="75"/>
      <c r="H1394" s="75"/>
      <c r="I1394" s="76"/>
      <c r="J1394" s="77"/>
      <c r="K1394" s="76"/>
      <c r="L1394" s="76"/>
      <c r="M1394" s="74"/>
      <c r="N1394" s="74"/>
      <c r="O1394" s="78"/>
      <c r="P1394" s="78"/>
      <c r="Q1394" s="78"/>
      <c r="R1394" s="78"/>
      <c r="S1394" s="79"/>
      <c r="T1394" s="79"/>
      <c r="U1394" s="79"/>
      <c r="V1394" s="79"/>
      <c r="W1394" s="79"/>
      <c r="X1394" s="79"/>
      <c r="Y1394" s="79"/>
      <c r="Z1394" s="79"/>
      <c r="AA1394" s="79"/>
    </row>
    <row r="1395" spans="1:27" x14ac:dyDescent="0.2">
      <c r="A1395" s="73"/>
      <c r="B1395" s="74"/>
      <c r="C1395" s="74"/>
      <c r="D1395" s="74"/>
      <c r="E1395" s="74"/>
      <c r="F1395" s="74"/>
      <c r="G1395" s="75"/>
      <c r="H1395" s="75"/>
      <c r="I1395" s="76"/>
      <c r="J1395" s="77"/>
      <c r="K1395" s="76"/>
      <c r="L1395" s="76"/>
      <c r="M1395" s="74"/>
      <c r="N1395" s="74"/>
      <c r="O1395" s="78"/>
      <c r="P1395" s="78"/>
      <c r="Q1395" s="78"/>
      <c r="R1395" s="78"/>
      <c r="S1395" s="79"/>
      <c r="T1395" s="79"/>
      <c r="U1395" s="79"/>
      <c r="V1395" s="79"/>
      <c r="W1395" s="79"/>
      <c r="X1395" s="79"/>
      <c r="Y1395" s="79"/>
      <c r="Z1395" s="79"/>
      <c r="AA1395" s="79"/>
    </row>
    <row r="1396" spans="1:27" x14ac:dyDescent="0.2">
      <c r="A1396" s="73"/>
      <c r="B1396" s="74"/>
      <c r="C1396" s="74"/>
      <c r="D1396" s="74"/>
      <c r="E1396" s="74"/>
      <c r="F1396" s="74"/>
      <c r="G1396" s="75"/>
      <c r="H1396" s="75"/>
      <c r="I1396" s="76"/>
      <c r="J1396" s="77"/>
      <c r="K1396" s="76"/>
      <c r="L1396" s="76"/>
      <c r="M1396" s="74"/>
      <c r="N1396" s="74"/>
      <c r="O1396" s="78"/>
      <c r="P1396" s="78"/>
      <c r="Q1396" s="78"/>
      <c r="R1396" s="78"/>
      <c r="S1396" s="79"/>
      <c r="T1396" s="79"/>
      <c r="U1396" s="79"/>
      <c r="V1396" s="79"/>
      <c r="W1396" s="79"/>
      <c r="X1396" s="79"/>
      <c r="Y1396" s="79"/>
      <c r="Z1396" s="79"/>
      <c r="AA1396" s="79"/>
    </row>
    <row r="1397" spans="1:27" x14ac:dyDescent="0.2">
      <c r="A1397" s="73"/>
      <c r="B1397" s="74"/>
      <c r="C1397" s="74"/>
      <c r="D1397" s="74"/>
      <c r="E1397" s="74"/>
      <c r="F1397" s="74"/>
      <c r="G1397" s="75"/>
      <c r="H1397" s="75"/>
      <c r="I1397" s="76"/>
      <c r="J1397" s="77"/>
      <c r="K1397" s="76"/>
      <c r="L1397" s="76"/>
      <c r="M1397" s="74"/>
      <c r="N1397" s="74"/>
      <c r="O1397" s="78"/>
      <c r="P1397" s="78"/>
      <c r="Q1397" s="78"/>
      <c r="R1397" s="78"/>
      <c r="S1397" s="79"/>
      <c r="T1397" s="79"/>
      <c r="U1397" s="79"/>
      <c r="V1397" s="79"/>
      <c r="W1397" s="79"/>
      <c r="X1397" s="79"/>
      <c r="Y1397" s="79"/>
      <c r="Z1397" s="79"/>
      <c r="AA1397" s="79"/>
    </row>
    <row r="1398" spans="1:27" x14ac:dyDescent="0.2">
      <c r="A1398" s="73"/>
      <c r="B1398" s="74"/>
      <c r="C1398" s="74"/>
      <c r="D1398" s="74"/>
      <c r="E1398" s="74"/>
      <c r="F1398" s="74"/>
      <c r="G1398" s="75"/>
      <c r="H1398" s="75"/>
      <c r="I1398" s="76"/>
      <c r="J1398" s="77"/>
      <c r="K1398" s="76"/>
      <c r="L1398" s="76"/>
      <c r="M1398" s="74"/>
      <c r="N1398" s="74"/>
      <c r="O1398" s="78"/>
      <c r="P1398" s="78"/>
      <c r="Q1398" s="78"/>
      <c r="R1398" s="78"/>
      <c r="S1398" s="79"/>
      <c r="T1398" s="79"/>
      <c r="U1398" s="79"/>
      <c r="V1398" s="79"/>
      <c r="W1398" s="79"/>
      <c r="X1398" s="79"/>
      <c r="Y1398" s="79"/>
      <c r="Z1398" s="79"/>
      <c r="AA1398" s="79"/>
    </row>
    <row r="1399" spans="1:27" x14ac:dyDescent="0.2">
      <c r="A1399" s="73"/>
      <c r="B1399" s="74"/>
      <c r="C1399" s="74"/>
      <c r="D1399" s="74"/>
      <c r="E1399" s="74"/>
      <c r="F1399" s="74"/>
      <c r="G1399" s="75"/>
      <c r="H1399" s="75"/>
      <c r="I1399" s="76"/>
      <c r="J1399" s="77"/>
      <c r="K1399" s="76"/>
      <c r="L1399" s="76"/>
      <c r="M1399" s="74"/>
      <c r="N1399" s="74"/>
      <c r="O1399" s="78"/>
      <c r="P1399" s="78"/>
      <c r="Q1399" s="78"/>
      <c r="R1399" s="78"/>
      <c r="S1399" s="79"/>
      <c r="T1399" s="79"/>
      <c r="U1399" s="79"/>
      <c r="V1399" s="79"/>
      <c r="W1399" s="79"/>
      <c r="X1399" s="79"/>
      <c r="Y1399" s="79"/>
      <c r="Z1399" s="79"/>
      <c r="AA1399" s="79"/>
    </row>
    <row r="1400" spans="1:27" x14ac:dyDescent="0.2">
      <c r="A1400" s="73"/>
      <c r="B1400" s="74"/>
      <c r="C1400" s="74"/>
      <c r="D1400" s="74"/>
      <c r="E1400" s="74"/>
      <c r="F1400" s="74"/>
      <c r="G1400" s="75"/>
      <c r="H1400" s="75"/>
      <c r="I1400" s="76"/>
      <c r="J1400" s="77"/>
      <c r="K1400" s="76"/>
      <c r="L1400" s="76"/>
      <c r="M1400" s="74"/>
      <c r="N1400" s="74"/>
      <c r="O1400" s="78"/>
      <c r="P1400" s="78"/>
      <c r="Q1400" s="78"/>
      <c r="R1400" s="78"/>
      <c r="S1400" s="79"/>
      <c r="T1400" s="79"/>
      <c r="U1400" s="79"/>
      <c r="V1400" s="79"/>
      <c r="W1400" s="79"/>
      <c r="X1400" s="79"/>
      <c r="Y1400" s="79"/>
      <c r="Z1400" s="79"/>
      <c r="AA1400" s="79"/>
    </row>
    <row r="1401" spans="1:27" x14ac:dyDescent="0.2">
      <c r="A1401" s="73"/>
      <c r="B1401" s="74"/>
      <c r="C1401" s="74"/>
      <c r="D1401" s="74"/>
      <c r="E1401" s="74"/>
      <c r="F1401" s="74"/>
      <c r="G1401" s="75"/>
      <c r="H1401" s="75"/>
      <c r="I1401" s="76"/>
      <c r="J1401" s="77"/>
      <c r="K1401" s="76"/>
      <c r="L1401" s="76"/>
      <c r="M1401" s="74"/>
      <c r="N1401" s="74"/>
      <c r="O1401" s="78"/>
      <c r="P1401" s="78"/>
      <c r="Q1401" s="78"/>
      <c r="R1401" s="78"/>
      <c r="S1401" s="79"/>
      <c r="T1401" s="79"/>
      <c r="U1401" s="79"/>
      <c r="V1401" s="79"/>
      <c r="W1401" s="79"/>
      <c r="X1401" s="79"/>
      <c r="Y1401" s="79"/>
      <c r="Z1401" s="79"/>
      <c r="AA1401" s="79"/>
    </row>
    <row r="1402" spans="1:27" x14ac:dyDescent="0.2">
      <c r="A1402" s="73"/>
      <c r="B1402" s="74"/>
      <c r="C1402" s="74"/>
      <c r="D1402" s="74"/>
      <c r="E1402" s="74"/>
      <c r="F1402" s="74"/>
      <c r="G1402" s="75"/>
      <c r="H1402" s="75"/>
      <c r="I1402" s="76"/>
      <c r="J1402" s="77"/>
      <c r="K1402" s="76"/>
      <c r="L1402" s="76"/>
      <c r="M1402" s="74"/>
      <c r="N1402" s="74"/>
      <c r="O1402" s="78"/>
      <c r="P1402" s="78"/>
      <c r="Q1402" s="78"/>
      <c r="R1402" s="78"/>
      <c r="S1402" s="79"/>
      <c r="T1402" s="79"/>
      <c r="U1402" s="79"/>
      <c r="V1402" s="79"/>
      <c r="W1402" s="79"/>
      <c r="X1402" s="79"/>
      <c r="Y1402" s="79"/>
      <c r="Z1402" s="79"/>
      <c r="AA1402" s="79"/>
    </row>
    <row r="1403" spans="1:27" x14ac:dyDescent="0.2">
      <c r="A1403" s="73"/>
      <c r="B1403" s="74"/>
      <c r="C1403" s="74"/>
      <c r="D1403" s="74"/>
      <c r="E1403" s="74"/>
      <c r="F1403" s="74"/>
      <c r="G1403" s="75"/>
      <c r="H1403" s="75"/>
      <c r="I1403" s="76"/>
      <c r="J1403" s="77"/>
      <c r="K1403" s="76"/>
      <c r="L1403" s="76"/>
      <c r="M1403" s="74"/>
      <c r="N1403" s="74"/>
      <c r="O1403" s="78"/>
      <c r="P1403" s="78"/>
      <c r="Q1403" s="78"/>
      <c r="R1403" s="78"/>
      <c r="S1403" s="79"/>
      <c r="T1403" s="79"/>
      <c r="U1403" s="79"/>
      <c r="V1403" s="79"/>
      <c r="W1403" s="79"/>
      <c r="X1403" s="79"/>
      <c r="Y1403" s="79"/>
      <c r="Z1403" s="79"/>
      <c r="AA1403" s="79"/>
    </row>
    <row r="1404" spans="1:27" x14ac:dyDescent="0.2">
      <c r="A1404" s="73"/>
      <c r="B1404" s="74"/>
      <c r="C1404" s="74"/>
      <c r="D1404" s="74"/>
      <c r="E1404" s="74"/>
      <c r="F1404" s="74"/>
      <c r="G1404" s="75"/>
      <c r="H1404" s="75"/>
      <c r="I1404" s="76"/>
      <c r="J1404" s="77"/>
      <c r="K1404" s="76"/>
      <c r="L1404" s="76"/>
      <c r="M1404" s="74"/>
      <c r="N1404" s="74"/>
      <c r="O1404" s="78"/>
      <c r="P1404" s="78"/>
      <c r="Q1404" s="78"/>
      <c r="R1404" s="78"/>
      <c r="S1404" s="79"/>
      <c r="T1404" s="79"/>
      <c r="U1404" s="79"/>
      <c r="V1404" s="79"/>
      <c r="W1404" s="79"/>
      <c r="X1404" s="79"/>
      <c r="Y1404" s="79"/>
      <c r="Z1404" s="79"/>
      <c r="AA1404" s="79"/>
    </row>
    <row r="1405" spans="1:27" x14ac:dyDescent="0.2">
      <c r="A1405" s="73"/>
      <c r="B1405" s="74"/>
      <c r="C1405" s="74"/>
      <c r="D1405" s="74"/>
      <c r="E1405" s="74"/>
      <c r="F1405" s="74"/>
      <c r="G1405" s="75"/>
      <c r="H1405" s="75"/>
      <c r="I1405" s="76"/>
      <c r="J1405" s="77"/>
      <c r="K1405" s="76"/>
      <c r="L1405" s="76"/>
      <c r="M1405" s="74"/>
      <c r="N1405" s="74"/>
      <c r="O1405" s="78"/>
      <c r="P1405" s="78"/>
      <c r="Q1405" s="78"/>
      <c r="R1405" s="78"/>
      <c r="S1405" s="79"/>
      <c r="T1405" s="79"/>
      <c r="U1405" s="79"/>
      <c r="V1405" s="79"/>
      <c r="W1405" s="79"/>
      <c r="X1405" s="79"/>
      <c r="Y1405" s="79"/>
      <c r="Z1405" s="79"/>
      <c r="AA1405" s="79"/>
    </row>
    <row r="1406" spans="1:27" x14ac:dyDescent="0.2">
      <c r="A1406" s="73"/>
      <c r="B1406" s="74"/>
      <c r="C1406" s="74"/>
      <c r="D1406" s="74"/>
      <c r="E1406" s="74"/>
      <c r="F1406" s="74"/>
      <c r="G1406" s="75"/>
      <c r="H1406" s="75"/>
      <c r="I1406" s="76"/>
      <c r="J1406" s="77"/>
      <c r="K1406" s="76"/>
      <c r="L1406" s="76"/>
      <c r="M1406" s="74"/>
      <c r="N1406" s="74"/>
      <c r="O1406" s="78"/>
      <c r="P1406" s="78"/>
      <c r="Q1406" s="78"/>
      <c r="R1406" s="78"/>
      <c r="S1406" s="79"/>
      <c r="T1406" s="79"/>
      <c r="U1406" s="79"/>
      <c r="V1406" s="79"/>
      <c r="W1406" s="79"/>
      <c r="X1406" s="79"/>
      <c r="Y1406" s="79"/>
      <c r="Z1406" s="79"/>
      <c r="AA1406" s="79"/>
    </row>
    <row r="1407" spans="1:27" x14ac:dyDescent="0.2">
      <c r="A1407" s="73"/>
      <c r="B1407" s="74"/>
      <c r="C1407" s="74"/>
      <c r="D1407" s="74"/>
      <c r="E1407" s="74"/>
      <c r="F1407" s="74"/>
      <c r="G1407" s="75"/>
      <c r="H1407" s="75"/>
      <c r="I1407" s="76"/>
      <c r="J1407" s="77"/>
      <c r="K1407" s="76"/>
      <c r="L1407" s="76"/>
      <c r="M1407" s="74"/>
      <c r="N1407" s="74"/>
      <c r="O1407" s="78"/>
      <c r="P1407" s="78"/>
      <c r="Q1407" s="78"/>
      <c r="R1407" s="78"/>
      <c r="S1407" s="79"/>
      <c r="T1407" s="79"/>
      <c r="U1407" s="79"/>
      <c r="V1407" s="79"/>
      <c r="W1407" s="79"/>
      <c r="X1407" s="79"/>
      <c r="Y1407" s="79"/>
      <c r="Z1407" s="79"/>
      <c r="AA1407" s="79"/>
    </row>
    <row r="1408" spans="1:27" x14ac:dyDescent="0.2">
      <c r="A1408" s="73"/>
      <c r="B1408" s="74"/>
      <c r="C1408" s="74"/>
      <c r="D1408" s="74"/>
      <c r="E1408" s="74"/>
      <c r="F1408" s="74"/>
      <c r="G1408" s="75"/>
      <c r="H1408" s="75"/>
      <c r="I1408" s="76"/>
      <c r="J1408" s="77"/>
      <c r="K1408" s="76"/>
      <c r="L1408" s="76"/>
      <c r="M1408" s="74"/>
      <c r="N1408" s="74"/>
      <c r="O1408" s="78"/>
      <c r="P1408" s="78"/>
      <c r="Q1408" s="78"/>
      <c r="R1408" s="78"/>
      <c r="S1408" s="79"/>
      <c r="T1408" s="79"/>
      <c r="U1408" s="79"/>
      <c r="V1408" s="79"/>
      <c r="W1408" s="79"/>
      <c r="X1408" s="79"/>
      <c r="Y1408" s="79"/>
      <c r="Z1408" s="79"/>
      <c r="AA1408" s="79"/>
    </row>
    <row r="1409" spans="1:27" x14ac:dyDescent="0.2">
      <c r="A1409" s="73"/>
      <c r="B1409" s="74"/>
      <c r="C1409" s="74"/>
      <c r="D1409" s="74"/>
      <c r="E1409" s="74"/>
      <c r="F1409" s="74"/>
      <c r="G1409" s="75"/>
      <c r="H1409" s="75"/>
      <c r="I1409" s="76"/>
      <c r="J1409" s="77"/>
      <c r="K1409" s="76"/>
      <c r="L1409" s="76"/>
      <c r="M1409" s="74"/>
      <c r="N1409" s="74"/>
      <c r="O1409" s="78"/>
      <c r="P1409" s="78"/>
      <c r="Q1409" s="78"/>
      <c r="R1409" s="78"/>
      <c r="S1409" s="79"/>
      <c r="T1409" s="79"/>
      <c r="U1409" s="79"/>
      <c r="V1409" s="79"/>
      <c r="W1409" s="79"/>
      <c r="X1409" s="79"/>
      <c r="Y1409" s="79"/>
      <c r="Z1409" s="79"/>
      <c r="AA1409" s="79"/>
    </row>
    <row r="1410" spans="1:27" x14ac:dyDescent="0.2">
      <c r="A1410" s="73"/>
      <c r="B1410" s="74"/>
      <c r="C1410" s="74"/>
      <c r="D1410" s="74"/>
      <c r="E1410" s="74"/>
      <c r="F1410" s="74"/>
      <c r="G1410" s="75"/>
      <c r="H1410" s="75"/>
      <c r="I1410" s="76"/>
      <c r="J1410" s="77"/>
      <c r="K1410" s="76"/>
      <c r="L1410" s="76"/>
      <c r="M1410" s="74"/>
      <c r="N1410" s="74"/>
      <c r="O1410" s="78"/>
      <c r="P1410" s="78"/>
      <c r="Q1410" s="78"/>
      <c r="R1410" s="78"/>
      <c r="S1410" s="79"/>
      <c r="T1410" s="79"/>
      <c r="U1410" s="79"/>
      <c r="V1410" s="79"/>
      <c r="W1410" s="79"/>
      <c r="X1410" s="79"/>
      <c r="Y1410" s="79"/>
      <c r="Z1410" s="79"/>
      <c r="AA1410" s="79"/>
    </row>
    <row r="1411" spans="1:27" x14ac:dyDescent="0.2">
      <c r="A1411" s="73"/>
      <c r="B1411" s="74"/>
      <c r="C1411" s="74"/>
      <c r="D1411" s="74"/>
      <c r="E1411" s="74"/>
      <c r="F1411" s="74"/>
      <c r="G1411" s="75"/>
      <c r="H1411" s="75"/>
      <c r="I1411" s="76"/>
      <c r="J1411" s="77"/>
      <c r="K1411" s="76"/>
      <c r="L1411" s="76"/>
      <c r="M1411" s="74"/>
      <c r="N1411" s="74"/>
      <c r="O1411" s="78"/>
      <c r="P1411" s="78"/>
      <c r="Q1411" s="78"/>
      <c r="R1411" s="78"/>
      <c r="S1411" s="79"/>
      <c r="T1411" s="79"/>
      <c r="U1411" s="79"/>
      <c r="V1411" s="79"/>
      <c r="W1411" s="79"/>
      <c r="X1411" s="79"/>
      <c r="Y1411" s="79"/>
      <c r="Z1411" s="79"/>
      <c r="AA1411" s="79"/>
    </row>
    <row r="1412" spans="1:27" x14ac:dyDescent="0.2">
      <c r="A1412" s="73"/>
      <c r="B1412" s="74"/>
      <c r="C1412" s="74"/>
      <c r="D1412" s="74"/>
      <c r="E1412" s="74"/>
      <c r="F1412" s="74"/>
      <c r="G1412" s="75"/>
      <c r="H1412" s="75"/>
      <c r="I1412" s="76"/>
      <c r="J1412" s="77"/>
      <c r="K1412" s="76"/>
      <c r="L1412" s="76"/>
      <c r="M1412" s="74"/>
      <c r="N1412" s="74"/>
      <c r="O1412" s="78"/>
      <c r="P1412" s="78"/>
      <c r="Q1412" s="78"/>
      <c r="R1412" s="78"/>
      <c r="S1412" s="79"/>
      <c r="T1412" s="79"/>
      <c r="U1412" s="79"/>
      <c r="V1412" s="79"/>
      <c r="W1412" s="79"/>
      <c r="X1412" s="79"/>
      <c r="Y1412" s="79"/>
      <c r="Z1412" s="79"/>
      <c r="AA1412" s="79"/>
    </row>
    <row r="1413" spans="1:27" x14ac:dyDescent="0.2">
      <c r="A1413" s="73"/>
      <c r="B1413" s="74"/>
      <c r="C1413" s="74"/>
      <c r="D1413" s="74"/>
      <c r="E1413" s="74"/>
      <c r="F1413" s="74"/>
      <c r="G1413" s="75"/>
      <c r="H1413" s="75"/>
      <c r="I1413" s="76"/>
      <c r="J1413" s="77"/>
      <c r="K1413" s="76"/>
      <c r="L1413" s="76"/>
      <c r="M1413" s="74"/>
      <c r="N1413" s="74"/>
      <c r="O1413" s="78"/>
      <c r="P1413" s="78"/>
      <c r="Q1413" s="78"/>
      <c r="R1413" s="78"/>
      <c r="S1413" s="79"/>
      <c r="T1413" s="79"/>
      <c r="U1413" s="79"/>
      <c r="V1413" s="79"/>
      <c r="W1413" s="79"/>
      <c r="X1413" s="79"/>
      <c r="Y1413" s="79"/>
      <c r="Z1413" s="79"/>
      <c r="AA1413" s="79"/>
    </row>
    <row r="1414" spans="1:27" x14ac:dyDescent="0.2">
      <c r="A1414" s="73"/>
      <c r="B1414" s="74"/>
      <c r="C1414" s="74"/>
      <c r="D1414" s="74"/>
      <c r="E1414" s="74"/>
      <c r="F1414" s="74"/>
      <c r="G1414" s="75"/>
      <c r="H1414" s="75"/>
      <c r="I1414" s="76"/>
      <c r="J1414" s="77"/>
      <c r="K1414" s="76"/>
      <c r="L1414" s="76"/>
      <c r="M1414" s="74"/>
      <c r="N1414" s="74"/>
      <c r="O1414" s="78"/>
      <c r="P1414" s="78"/>
      <c r="Q1414" s="78"/>
      <c r="R1414" s="78"/>
      <c r="S1414" s="79"/>
      <c r="T1414" s="79"/>
      <c r="U1414" s="79"/>
      <c r="V1414" s="79"/>
      <c r="W1414" s="79"/>
      <c r="X1414" s="79"/>
      <c r="Y1414" s="79"/>
      <c r="Z1414" s="79"/>
      <c r="AA1414" s="79"/>
    </row>
    <row r="1415" spans="1:27" x14ac:dyDescent="0.2">
      <c r="A1415" s="73"/>
      <c r="B1415" s="74"/>
      <c r="C1415" s="74"/>
      <c r="D1415" s="74"/>
      <c r="E1415" s="74"/>
      <c r="F1415" s="74"/>
      <c r="G1415" s="75"/>
      <c r="H1415" s="75"/>
      <c r="I1415" s="76"/>
      <c r="J1415" s="77"/>
      <c r="K1415" s="76"/>
      <c r="L1415" s="76"/>
      <c r="M1415" s="74"/>
      <c r="N1415" s="74"/>
      <c r="O1415" s="78"/>
      <c r="P1415" s="78"/>
      <c r="Q1415" s="78"/>
      <c r="R1415" s="78"/>
      <c r="S1415" s="79"/>
      <c r="T1415" s="79"/>
      <c r="U1415" s="79"/>
      <c r="V1415" s="79"/>
      <c r="W1415" s="79"/>
      <c r="X1415" s="79"/>
      <c r="Y1415" s="79"/>
      <c r="Z1415" s="79"/>
      <c r="AA1415" s="79"/>
    </row>
    <row r="1416" spans="1:27" x14ac:dyDescent="0.2">
      <c r="A1416" s="73"/>
      <c r="B1416" s="74"/>
      <c r="C1416" s="74"/>
      <c r="D1416" s="74"/>
      <c r="E1416" s="74"/>
      <c r="F1416" s="74"/>
      <c r="G1416" s="75"/>
      <c r="H1416" s="75"/>
      <c r="I1416" s="76"/>
      <c r="J1416" s="77"/>
      <c r="K1416" s="76"/>
      <c r="L1416" s="76"/>
      <c r="M1416" s="74"/>
      <c r="N1416" s="74"/>
      <c r="O1416" s="78"/>
      <c r="P1416" s="78"/>
      <c r="Q1416" s="78"/>
      <c r="R1416" s="78"/>
      <c r="S1416" s="79"/>
      <c r="T1416" s="79"/>
      <c r="U1416" s="79"/>
      <c r="V1416" s="79"/>
      <c r="W1416" s="79"/>
      <c r="X1416" s="79"/>
      <c r="Y1416" s="79"/>
      <c r="Z1416" s="79"/>
      <c r="AA1416" s="79"/>
    </row>
    <row r="1417" spans="1:27" x14ac:dyDescent="0.2">
      <c r="A1417" s="73"/>
      <c r="B1417" s="74"/>
      <c r="C1417" s="74"/>
      <c r="D1417" s="74"/>
      <c r="E1417" s="74"/>
      <c r="F1417" s="74"/>
      <c r="G1417" s="75"/>
      <c r="H1417" s="75"/>
      <c r="I1417" s="76"/>
      <c r="J1417" s="77"/>
      <c r="K1417" s="76"/>
      <c r="L1417" s="76"/>
      <c r="M1417" s="74"/>
      <c r="N1417" s="74"/>
      <c r="O1417" s="78"/>
      <c r="P1417" s="78"/>
      <c r="Q1417" s="78"/>
      <c r="R1417" s="78"/>
      <c r="S1417" s="79"/>
      <c r="T1417" s="79"/>
      <c r="U1417" s="79"/>
      <c r="V1417" s="79"/>
      <c r="W1417" s="79"/>
      <c r="X1417" s="79"/>
      <c r="Y1417" s="79"/>
      <c r="Z1417" s="79"/>
      <c r="AA1417" s="79"/>
    </row>
    <row r="1418" spans="1:27" x14ac:dyDescent="0.2">
      <c r="A1418" s="73"/>
      <c r="B1418" s="74"/>
      <c r="C1418" s="74"/>
      <c r="D1418" s="74"/>
      <c r="E1418" s="74"/>
      <c r="F1418" s="74"/>
      <c r="G1418" s="75"/>
      <c r="H1418" s="75"/>
      <c r="I1418" s="76"/>
      <c r="J1418" s="77"/>
      <c r="K1418" s="76"/>
      <c r="L1418" s="76"/>
      <c r="M1418" s="74"/>
      <c r="N1418" s="74"/>
      <c r="O1418" s="78"/>
      <c r="P1418" s="78"/>
      <c r="Q1418" s="78"/>
      <c r="R1418" s="78"/>
      <c r="S1418" s="79"/>
      <c r="T1418" s="79"/>
      <c r="U1418" s="79"/>
      <c r="V1418" s="79"/>
      <c r="W1418" s="79"/>
      <c r="X1418" s="79"/>
      <c r="Y1418" s="79"/>
      <c r="Z1418" s="79"/>
      <c r="AA1418" s="79"/>
    </row>
    <row r="1419" spans="1:27" x14ac:dyDescent="0.2">
      <c r="A1419" s="73"/>
      <c r="B1419" s="74"/>
      <c r="C1419" s="74"/>
      <c r="D1419" s="74"/>
      <c r="E1419" s="74"/>
      <c r="F1419" s="74"/>
      <c r="G1419" s="75"/>
      <c r="H1419" s="75"/>
      <c r="I1419" s="76"/>
      <c r="J1419" s="77"/>
      <c r="K1419" s="76"/>
      <c r="L1419" s="76"/>
      <c r="M1419" s="74"/>
      <c r="N1419" s="74"/>
      <c r="O1419" s="78"/>
      <c r="P1419" s="78"/>
      <c r="Q1419" s="78"/>
      <c r="R1419" s="78"/>
      <c r="S1419" s="79"/>
      <c r="T1419" s="79"/>
      <c r="U1419" s="79"/>
      <c r="V1419" s="79"/>
      <c r="W1419" s="79"/>
      <c r="X1419" s="79"/>
      <c r="Y1419" s="79"/>
      <c r="Z1419" s="79"/>
      <c r="AA1419" s="79"/>
    </row>
    <row r="1420" spans="1:27" x14ac:dyDescent="0.2">
      <c r="A1420" s="73"/>
      <c r="B1420" s="74"/>
      <c r="C1420" s="74"/>
      <c r="D1420" s="74"/>
      <c r="E1420" s="74"/>
      <c r="F1420" s="74"/>
      <c r="G1420" s="75"/>
      <c r="H1420" s="75"/>
      <c r="I1420" s="76"/>
      <c r="J1420" s="77"/>
      <c r="K1420" s="76"/>
      <c r="L1420" s="76"/>
      <c r="M1420" s="74"/>
      <c r="N1420" s="74"/>
      <c r="O1420" s="78"/>
      <c r="P1420" s="78"/>
      <c r="Q1420" s="78"/>
      <c r="R1420" s="78"/>
      <c r="S1420" s="79"/>
      <c r="T1420" s="79"/>
      <c r="U1420" s="79"/>
      <c r="V1420" s="79"/>
      <c r="W1420" s="79"/>
      <c r="X1420" s="79"/>
      <c r="Y1420" s="79"/>
      <c r="Z1420" s="79"/>
      <c r="AA1420" s="79"/>
    </row>
    <row r="1421" spans="1:27" x14ac:dyDescent="0.2">
      <c r="A1421" s="73"/>
      <c r="B1421" s="74"/>
      <c r="C1421" s="74"/>
      <c r="D1421" s="74"/>
      <c r="E1421" s="74"/>
      <c r="F1421" s="74"/>
      <c r="G1421" s="75"/>
      <c r="H1421" s="75"/>
      <c r="I1421" s="76"/>
      <c r="J1421" s="77"/>
      <c r="K1421" s="76"/>
      <c r="L1421" s="76"/>
      <c r="M1421" s="74"/>
      <c r="N1421" s="74"/>
      <c r="O1421" s="78"/>
      <c r="P1421" s="78"/>
      <c r="Q1421" s="78"/>
      <c r="R1421" s="78"/>
      <c r="S1421" s="79"/>
      <c r="T1421" s="79"/>
      <c r="U1421" s="79"/>
      <c r="V1421" s="79"/>
      <c r="W1421" s="79"/>
      <c r="X1421" s="79"/>
      <c r="Y1421" s="79"/>
      <c r="Z1421" s="79"/>
      <c r="AA1421" s="79"/>
    </row>
    <row r="1422" spans="1:27" x14ac:dyDescent="0.2">
      <c r="A1422" s="73"/>
      <c r="B1422" s="74"/>
      <c r="C1422" s="74"/>
      <c r="D1422" s="74"/>
      <c r="E1422" s="74"/>
      <c r="F1422" s="74"/>
      <c r="G1422" s="75"/>
      <c r="H1422" s="75"/>
      <c r="I1422" s="76"/>
      <c r="J1422" s="77"/>
      <c r="K1422" s="76"/>
      <c r="L1422" s="76"/>
      <c r="M1422" s="74"/>
      <c r="N1422" s="74"/>
      <c r="O1422" s="78"/>
      <c r="P1422" s="78"/>
      <c r="Q1422" s="78"/>
      <c r="R1422" s="78"/>
      <c r="S1422" s="79"/>
      <c r="T1422" s="79"/>
      <c r="U1422" s="79"/>
      <c r="V1422" s="79"/>
      <c r="W1422" s="79"/>
      <c r="X1422" s="79"/>
      <c r="Y1422" s="79"/>
      <c r="Z1422" s="79"/>
      <c r="AA1422" s="79"/>
    </row>
    <row r="1423" spans="1:27" x14ac:dyDescent="0.2">
      <c r="A1423" s="73"/>
      <c r="B1423" s="74"/>
      <c r="C1423" s="74"/>
      <c r="D1423" s="74"/>
      <c r="E1423" s="74"/>
      <c r="F1423" s="74"/>
      <c r="G1423" s="75"/>
      <c r="H1423" s="75"/>
      <c r="I1423" s="76"/>
      <c r="J1423" s="77"/>
      <c r="K1423" s="76"/>
      <c r="L1423" s="76"/>
      <c r="M1423" s="74"/>
      <c r="N1423" s="74"/>
      <c r="O1423" s="78"/>
      <c r="P1423" s="78"/>
      <c r="Q1423" s="78"/>
      <c r="R1423" s="78"/>
      <c r="S1423" s="79"/>
      <c r="T1423" s="79"/>
      <c r="U1423" s="79"/>
      <c r="V1423" s="79"/>
      <c r="W1423" s="79"/>
      <c r="X1423" s="79"/>
      <c r="Y1423" s="79"/>
      <c r="Z1423" s="79"/>
      <c r="AA1423" s="79"/>
    </row>
    <row r="1424" spans="1:27" x14ac:dyDescent="0.2">
      <c r="A1424" s="73"/>
      <c r="B1424" s="74"/>
      <c r="C1424" s="74"/>
      <c r="D1424" s="74"/>
      <c r="E1424" s="74"/>
      <c r="F1424" s="74"/>
      <c r="G1424" s="75"/>
      <c r="H1424" s="75"/>
      <c r="I1424" s="76"/>
      <c r="J1424" s="77"/>
      <c r="K1424" s="76"/>
      <c r="L1424" s="76"/>
      <c r="M1424" s="74"/>
      <c r="N1424" s="74"/>
      <c r="O1424" s="78"/>
      <c r="P1424" s="78"/>
      <c r="Q1424" s="78"/>
      <c r="R1424" s="78"/>
      <c r="S1424" s="79"/>
      <c r="T1424" s="79"/>
      <c r="U1424" s="79"/>
      <c r="V1424" s="79"/>
      <c r="W1424" s="79"/>
      <c r="X1424" s="79"/>
      <c r="Y1424" s="79"/>
      <c r="Z1424" s="79"/>
      <c r="AA1424" s="79"/>
    </row>
    <row r="1425" spans="1:27" x14ac:dyDescent="0.2">
      <c r="A1425" s="73"/>
      <c r="B1425" s="74"/>
      <c r="C1425" s="74"/>
      <c r="D1425" s="74"/>
      <c r="E1425" s="74"/>
      <c r="F1425" s="74"/>
      <c r="G1425" s="75"/>
      <c r="H1425" s="75"/>
      <c r="I1425" s="76"/>
      <c r="J1425" s="77"/>
      <c r="K1425" s="76"/>
      <c r="L1425" s="76"/>
      <c r="M1425" s="74"/>
      <c r="N1425" s="74"/>
      <c r="O1425" s="78"/>
      <c r="P1425" s="78"/>
      <c r="Q1425" s="78"/>
      <c r="R1425" s="78"/>
      <c r="S1425" s="79"/>
      <c r="T1425" s="79"/>
      <c r="U1425" s="79"/>
      <c r="V1425" s="79"/>
      <c r="W1425" s="79"/>
      <c r="X1425" s="79"/>
      <c r="Y1425" s="79"/>
      <c r="Z1425" s="79"/>
      <c r="AA1425" s="79"/>
    </row>
    <row r="1426" spans="1:27" x14ac:dyDescent="0.2">
      <c r="A1426" s="73"/>
      <c r="B1426" s="74"/>
      <c r="C1426" s="74"/>
      <c r="D1426" s="74"/>
      <c r="E1426" s="74"/>
      <c r="F1426" s="74"/>
      <c r="G1426" s="75"/>
      <c r="H1426" s="75"/>
      <c r="I1426" s="76"/>
      <c r="J1426" s="77"/>
      <c r="K1426" s="76"/>
      <c r="L1426" s="76"/>
      <c r="M1426" s="74"/>
      <c r="N1426" s="74"/>
      <c r="O1426" s="78"/>
      <c r="P1426" s="78"/>
      <c r="Q1426" s="78"/>
      <c r="R1426" s="78"/>
      <c r="S1426" s="79"/>
      <c r="T1426" s="79"/>
      <c r="U1426" s="79"/>
      <c r="V1426" s="79"/>
      <c r="W1426" s="79"/>
      <c r="X1426" s="79"/>
      <c r="Y1426" s="79"/>
      <c r="Z1426" s="79"/>
      <c r="AA1426" s="79"/>
    </row>
    <row r="1427" spans="1:27" x14ac:dyDescent="0.2">
      <c r="A1427" s="73"/>
      <c r="B1427" s="74"/>
      <c r="C1427" s="74"/>
      <c r="D1427" s="74"/>
      <c r="E1427" s="74"/>
      <c r="F1427" s="74"/>
      <c r="G1427" s="75"/>
      <c r="H1427" s="75"/>
      <c r="I1427" s="76"/>
      <c r="J1427" s="77"/>
      <c r="K1427" s="76"/>
      <c r="L1427" s="76"/>
      <c r="M1427" s="74"/>
      <c r="N1427" s="74"/>
      <c r="O1427" s="78"/>
      <c r="P1427" s="78"/>
      <c r="Q1427" s="78"/>
      <c r="R1427" s="78"/>
      <c r="S1427" s="79"/>
      <c r="T1427" s="79"/>
      <c r="U1427" s="79"/>
      <c r="V1427" s="79"/>
      <c r="W1427" s="79"/>
      <c r="X1427" s="79"/>
      <c r="Y1427" s="79"/>
      <c r="Z1427" s="79"/>
      <c r="AA1427" s="79"/>
    </row>
    <row r="1428" spans="1:27" x14ac:dyDescent="0.2">
      <c r="A1428" s="73"/>
      <c r="B1428" s="74"/>
      <c r="C1428" s="74"/>
      <c r="D1428" s="74"/>
      <c r="E1428" s="74"/>
      <c r="F1428" s="74"/>
      <c r="G1428" s="75"/>
      <c r="H1428" s="75"/>
      <c r="I1428" s="76"/>
      <c r="J1428" s="77"/>
      <c r="K1428" s="76"/>
      <c r="L1428" s="76"/>
      <c r="M1428" s="74"/>
      <c r="N1428" s="74"/>
      <c r="O1428" s="78"/>
      <c r="P1428" s="78"/>
      <c r="Q1428" s="78"/>
      <c r="R1428" s="78"/>
      <c r="S1428" s="79"/>
      <c r="T1428" s="79"/>
      <c r="U1428" s="79"/>
      <c r="V1428" s="79"/>
      <c r="W1428" s="79"/>
      <c r="X1428" s="79"/>
      <c r="Y1428" s="79"/>
      <c r="Z1428" s="79"/>
      <c r="AA1428" s="79"/>
    </row>
    <row r="1429" spans="1:27" x14ac:dyDescent="0.2">
      <c r="A1429" s="73"/>
      <c r="B1429" s="74"/>
      <c r="C1429" s="74"/>
      <c r="D1429" s="74"/>
      <c r="E1429" s="74"/>
      <c r="F1429" s="74"/>
      <c r="G1429" s="75"/>
      <c r="H1429" s="75"/>
      <c r="I1429" s="76"/>
      <c r="J1429" s="77"/>
      <c r="K1429" s="76"/>
      <c r="L1429" s="76"/>
      <c r="M1429" s="74"/>
      <c r="N1429" s="74"/>
      <c r="O1429" s="78"/>
      <c r="P1429" s="78"/>
      <c r="Q1429" s="78"/>
      <c r="R1429" s="78"/>
      <c r="S1429" s="79"/>
      <c r="T1429" s="79"/>
      <c r="U1429" s="79"/>
      <c r="V1429" s="79"/>
      <c r="W1429" s="79"/>
      <c r="X1429" s="79"/>
      <c r="Y1429" s="79"/>
      <c r="Z1429" s="79"/>
      <c r="AA1429" s="79"/>
    </row>
    <row r="1430" spans="1:27" x14ac:dyDescent="0.2">
      <c r="A1430" s="73"/>
      <c r="B1430" s="74"/>
      <c r="C1430" s="74"/>
      <c r="D1430" s="74"/>
      <c r="E1430" s="74"/>
      <c r="F1430" s="74"/>
      <c r="G1430" s="75"/>
      <c r="H1430" s="75"/>
      <c r="I1430" s="76"/>
      <c r="J1430" s="77"/>
      <c r="K1430" s="76"/>
      <c r="L1430" s="76"/>
      <c r="M1430" s="74"/>
      <c r="N1430" s="74"/>
      <c r="O1430" s="78"/>
      <c r="P1430" s="78"/>
      <c r="Q1430" s="78"/>
      <c r="R1430" s="78"/>
      <c r="S1430" s="79"/>
      <c r="T1430" s="79"/>
      <c r="U1430" s="79"/>
      <c r="V1430" s="79"/>
      <c r="W1430" s="79"/>
      <c r="X1430" s="79"/>
      <c r="Y1430" s="79"/>
      <c r="Z1430" s="79"/>
      <c r="AA1430" s="79"/>
    </row>
  </sheetData>
  <conditionalFormatting sqref="O7:O1430">
    <cfRule type="colorScale" priority="7">
      <colorScale>
        <cfvo type="min"/>
        <cfvo type="percentile" val="50"/>
        <cfvo type="max"/>
        <color rgb="FFF8696B"/>
        <color rgb="FFFCFCFF"/>
        <color rgb="FF63BE7B"/>
      </colorScale>
    </cfRule>
  </conditionalFormatting>
  <conditionalFormatting sqref="R7:R1430">
    <cfRule type="colorScale" priority="6">
      <colorScale>
        <cfvo type="min"/>
        <cfvo type="percentile" val="50"/>
        <cfvo type="max"/>
        <color rgb="FFF8696B"/>
        <color rgb="FFFCFCFF"/>
        <color rgb="FF63BE7B"/>
      </colorScale>
    </cfRule>
  </conditionalFormatting>
  <conditionalFormatting sqref="J7:J1430">
    <cfRule type="colorScale" priority="4">
      <colorScale>
        <cfvo type="min"/>
        <cfvo type="percentile" val="50"/>
        <cfvo type="max"/>
        <color rgb="FFF8696B"/>
        <color rgb="FFFCFCFF"/>
        <color rgb="FF63BE7B"/>
      </colorScale>
    </cfRule>
    <cfRule type="colorScale" priority="5">
      <colorScale>
        <cfvo type="min"/>
        <cfvo type="max"/>
        <color rgb="FFFFEF9C"/>
        <color rgb="FF63BE7B"/>
      </colorScale>
    </cfRule>
  </conditionalFormatting>
  <conditionalFormatting sqref="J7:J36">
    <cfRule type="colorScale" priority="1">
      <colorScale>
        <cfvo type="min"/>
        <cfvo type="max"/>
        <color rgb="FF63BE7B"/>
        <color rgb="FFFFEF9C"/>
      </colorScale>
    </cfRule>
  </conditionalFormatting>
  <pageMargins left="0.75" right="0.75" top="1" bottom="1" header="0.5" footer="0.5"/>
  <pageSetup orientation="portrait" r:id="rId1"/>
  <ignoredErrors>
    <ignoredError sqref="F7" 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Z122"/>
  <sheetViews>
    <sheetView zoomScale="80" zoomScaleNormal="80" workbookViewId="0">
      <pane xSplit="3" ySplit="6" topLeftCell="G7" activePane="bottomRight" state="frozen"/>
      <selection pane="topRight" activeCell="D1" sqref="D1"/>
      <selection pane="bottomLeft" activeCell="A3" sqref="A3"/>
      <selection pane="bottomRight" activeCell="K7" sqref="K7"/>
    </sheetView>
  </sheetViews>
  <sheetFormatPr defaultColWidth="9.140625" defaultRowHeight="20.100000000000001" customHeight="1" x14ac:dyDescent="0.25"/>
  <cols>
    <col min="1" max="1" width="6.140625" style="25" customWidth="1"/>
    <col min="2" max="2" width="22.85546875" style="20" customWidth="1"/>
    <col min="3" max="3" width="78.85546875" style="25" customWidth="1"/>
    <col min="4" max="4" width="19.140625" style="36" customWidth="1"/>
    <col min="5" max="5" width="18.7109375" style="37" customWidth="1"/>
    <col min="6" max="6" width="39.28515625" style="25" customWidth="1"/>
    <col min="7" max="7" width="18" style="40" customWidth="1"/>
    <col min="8" max="8" width="21.42578125" style="40" customWidth="1"/>
    <col min="9" max="9" width="21.28515625" style="40" customWidth="1"/>
    <col min="10" max="10" width="19.85546875" style="25" bestFit="1" customWidth="1"/>
    <col min="11" max="11" width="35.7109375" style="25" bestFit="1" customWidth="1"/>
    <col min="12" max="12" width="24.42578125" style="25" bestFit="1" customWidth="1"/>
    <col min="13" max="13" width="24.42578125" style="39" customWidth="1"/>
    <col min="14" max="14" width="25.85546875" style="39" customWidth="1"/>
    <col min="15" max="15" width="17.140625" style="25" customWidth="1"/>
    <col min="16" max="17" width="17.140625" style="39" customWidth="1"/>
    <col min="18" max="19" width="24.42578125" style="25" bestFit="1" customWidth="1"/>
    <col min="20" max="20" width="20.42578125" style="25" bestFit="1" customWidth="1"/>
    <col min="21" max="21" width="20.42578125" style="25" customWidth="1"/>
    <col min="22" max="16384" width="9.140625" style="25"/>
  </cols>
  <sheetData>
    <row r="1" spans="2:26" s="21" customFormat="1" ht="20.100000000000001" customHeight="1" x14ac:dyDescent="0.25">
      <c r="B1" s="20"/>
      <c r="D1" s="22"/>
      <c r="E1" s="23"/>
      <c r="G1" s="27"/>
      <c r="H1" s="27"/>
      <c r="I1" s="27"/>
      <c r="M1" s="24"/>
      <c r="N1" s="24"/>
      <c r="P1" s="24"/>
      <c r="Q1" s="24"/>
    </row>
    <row r="2" spans="2:26" s="21" customFormat="1" ht="20.100000000000001" customHeight="1" x14ac:dyDescent="0.25">
      <c r="B2" s="20"/>
      <c r="C2" s="35" t="s">
        <v>533</v>
      </c>
      <c r="D2" s="22"/>
      <c r="E2" s="23"/>
      <c r="G2" s="27"/>
      <c r="H2" s="27"/>
      <c r="I2" s="27"/>
      <c r="M2" s="24"/>
      <c r="N2" s="24"/>
      <c r="P2" s="24"/>
      <c r="Q2" s="24"/>
    </row>
    <row r="3" spans="2:26" s="21" customFormat="1" ht="20.100000000000001" customHeight="1" x14ac:dyDescent="0.25">
      <c r="B3" s="20"/>
      <c r="D3" s="22"/>
      <c r="E3" s="23"/>
      <c r="G3" s="27"/>
      <c r="H3" s="27"/>
      <c r="I3" s="27"/>
      <c r="M3" s="24"/>
      <c r="N3" s="24"/>
      <c r="P3" s="24"/>
      <c r="Q3" s="24"/>
    </row>
    <row r="4" spans="2:26" s="21" customFormat="1" ht="20.100000000000001" customHeight="1" x14ac:dyDescent="0.25">
      <c r="B4" s="20">
        <v>0</v>
      </c>
      <c r="C4" s="21">
        <v>1</v>
      </c>
      <c r="D4" s="20">
        <v>2</v>
      </c>
      <c r="E4" s="21">
        <v>3</v>
      </c>
      <c r="F4" s="20">
        <v>4</v>
      </c>
      <c r="G4" s="21">
        <v>5</v>
      </c>
      <c r="H4" s="20">
        <v>6</v>
      </c>
      <c r="I4" s="21">
        <v>7</v>
      </c>
      <c r="J4" s="20">
        <v>8</v>
      </c>
      <c r="K4" s="21">
        <v>9</v>
      </c>
      <c r="L4" s="20">
        <v>10</v>
      </c>
      <c r="M4" s="21">
        <v>11</v>
      </c>
      <c r="N4" s="20">
        <v>12</v>
      </c>
      <c r="O4" s="21">
        <v>13</v>
      </c>
      <c r="P4" s="20">
        <v>14</v>
      </c>
      <c r="Q4" s="21">
        <v>15</v>
      </c>
      <c r="R4" s="20">
        <v>16</v>
      </c>
      <c r="S4" s="21">
        <v>17</v>
      </c>
      <c r="T4" s="20">
        <v>18</v>
      </c>
      <c r="U4" s="21">
        <v>19</v>
      </c>
      <c r="V4" s="20">
        <v>20</v>
      </c>
      <c r="W4" s="21">
        <v>21</v>
      </c>
      <c r="X4" s="20">
        <v>22</v>
      </c>
      <c r="Y4" s="21">
        <v>23</v>
      </c>
      <c r="Z4" s="20">
        <v>24</v>
      </c>
    </row>
    <row r="5" spans="2:26" s="16" customFormat="1" ht="20.100000000000001" customHeight="1" x14ac:dyDescent="0.25">
      <c r="B5" s="15"/>
      <c r="E5" s="17"/>
      <c r="G5" s="18"/>
      <c r="H5" s="18"/>
      <c r="I5" s="18"/>
      <c r="M5" s="19"/>
      <c r="N5" s="19"/>
      <c r="P5" s="19"/>
      <c r="Q5" s="19"/>
    </row>
    <row r="6" spans="2:26" s="9" customFormat="1" ht="45" customHeight="1" x14ac:dyDescent="0.25">
      <c r="B6" s="8" t="s">
        <v>440</v>
      </c>
      <c r="C6" s="9" t="s">
        <v>437</v>
      </c>
      <c r="D6" s="14" t="s">
        <v>7</v>
      </c>
      <c r="E6" s="10" t="s">
        <v>448</v>
      </c>
      <c r="F6" s="9" t="s">
        <v>450</v>
      </c>
      <c r="G6" s="11" t="s">
        <v>438</v>
      </c>
      <c r="H6" s="11" t="s">
        <v>487</v>
      </c>
      <c r="I6" s="11" t="s">
        <v>488</v>
      </c>
      <c r="J6" s="9" t="s">
        <v>447</v>
      </c>
      <c r="K6" s="9" t="s">
        <v>441</v>
      </c>
      <c r="L6" s="9" t="s">
        <v>443</v>
      </c>
      <c r="M6" s="12" t="s">
        <v>451</v>
      </c>
      <c r="N6" s="12" t="s">
        <v>452</v>
      </c>
      <c r="O6" s="9" t="s">
        <v>444</v>
      </c>
      <c r="P6" s="12" t="s">
        <v>446</v>
      </c>
      <c r="Q6" s="13" t="s">
        <v>486</v>
      </c>
      <c r="R6" s="9" t="s">
        <v>445</v>
      </c>
      <c r="S6" s="9" t="s">
        <v>448</v>
      </c>
      <c r="T6" s="9" t="s">
        <v>449</v>
      </c>
      <c r="U6" s="9" t="s">
        <v>439</v>
      </c>
    </row>
    <row r="7" spans="2:26" ht="20.100000000000001" customHeight="1" x14ac:dyDescent="0.25">
      <c r="B7" s="20" t="s">
        <v>28</v>
      </c>
      <c r="C7" s="25" t="str">
        <f>_xll.BDP($B7,C$6)</f>
        <v>University of Michigan Consumer Sentiment Index</v>
      </c>
      <c r="D7" s="36" t="str">
        <f t="shared" ref="D7:D38" si="0">+B7</f>
        <v>CONSSENT Index</v>
      </c>
      <c r="E7" s="37">
        <f>_xll.BDP($B7,E$6)</f>
        <v>93.650800000000004</v>
      </c>
      <c r="F7" s="25" t="str">
        <f>_xll.BDP($B7,F$6)</f>
        <v>University of Michigan Consume</v>
      </c>
      <c r="G7" s="38">
        <f>_xll.BDP($B7,G$6)</f>
        <v>95.9</v>
      </c>
      <c r="H7" s="38" t="str">
        <f>_xll.BDP($B7,H$6)</f>
        <v>#N/A N/A</v>
      </c>
      <c r="I7" s="38">
        <f>_xll.BDP($B7,I$6)</f>
        <v>93</v>
      </c>
      <c r="J7" s="25" t="str">
        <f>_xll.BDP($B7,J$6)</f>
        <v>None</v>
      </c>
      <c r="K7" s="25" t="str">
        <f>_xll.BDP($B7,K$6)</f>
        <v>Value NSA</v>
      </c>
      <c r="L7" s="25" t="str">
        <f>_xll.BDP($B7,L$6)</f>
        <v>Apr F</v>
      </c>
      <c r="M7" s="39" t="str">
        <f>_xll.BDP($B7,M$6)</f>
        <v>4/30/2015</v>
      </c>
      <c r="N7" s="39" t="str">
        <f>_xll.BDP($B7,N$6)</f>
        <v>3/31/2015</v>
      </c>
      <c r="O7" s="25" t="str">
        <f>_xll.BDP($B7,O$6)</f>
        <v>Monthly</v>
      </c>
      <c r="P7" s="39" t="str">
        <f>_xll.BDP($B7,P$6)</f>
        <v>5/1/2015</v>
      </c>
      <c r="Q7" s="39">
        <f t="shared" ref="Q7:Q38" si="1">+DATE(YEAR(P7),MONTH(P7),DAY(P7))</f>
        <v>42125</v>
      </c>
      <c r="R7" s="25" t="str">
        <f>_xll.BDP($B7,R$6)</f>
        <v>10:00:00 AM</v>
      </c>
      <c r="S7" s="25">
        <f>_xll.BDP($B7,S$6)</f>
        <v>93.650800000000004</v>
      </c>
      <c r="T7" s="25" t="str">
        <f>_xll.BDP($B7,T$6)</f>
        <v>United States</v>
      </c>
      <c r="U7" s="25" t="str">
        <f>_xll.BDP($B7,U$6)</f>
        <v>This release is frequently released early. It can come out as early as 9:55am EST. The official release time is 10:00.                                          Base year 1966=100.  A survey of consumer attitudes concerning both the present situation as well as expectations regarding economic conditions conducted by the University of Michigan. For the preliminary release approximately three hundred consumers are surveyed while five hundred are interviewed for the final figure. The level of consumer sentiment is related to the strength of consumer spending. Please note that this report is released twice per month. The first is a preliminary figure while the second is the final (revised) figure. HP only shows the final values for previous months while ECO &lt;GO&gt; includes every release.  This may account for discrepancies between the 'Prior' column and HP.</v>
      </c>
    </row>
    <row r="8" spans="2:26" ht="20.100000000000001" customHeight="1" x14ac:dyDescent="0.25">
      <c r="B8" s="20" t="s">
        <v>40</v>
      </c>
      <c r="C8" s="25" t="str">
        <f>_xll.BDP($B8,C$6)</f>
        <v>UMich Expected Change in Prices During the Next 5-10 Years: Median</v>
      </c>
      <c r="D8" s="36" t="str">
        <f t="shared" si="0"/>
        <v>CONSP5MD Index</v>
      </c>
      <c r="E8" s="37">
        <f>_xll.BDP($B8,E$6)</f>
        <v>4.7618999999999998</v>
      </c>
      <c r="F8" s="25" t="str">
        <f>_xll.BDP($B8,F$6)</f>
        <v>UMich Expected Change in Price</v>
      </c>
      <c r="G8" s="38">
        <f>_xll.BDP($B8,G$6)</f>
        <v>2.6</v>
      </c>
      <c r="H8" s="38" t="str">
        <f>_xll.BDP($B8,H$6)</f>
        <v>#N/A N/A</v>
      </c>
      <c r="I8" s="38">
        <f>_xll.BDP($B8,I$6)</f>
        <v>2.8</v>
      </c>
      <c r="J8" s="25" t="str">
        <f>_xll.BDP($B8,J$6)</f>
        <v>None</v>
      </c>
      <c r="K8" s="25" t="str">
        <f>_xll.BDP($B8,K$6)</f>
        <v>Value NSA</v>
      </c>
      <c r="L8" s="25" t="str">
        <f>_xll.BDP($B8,L$6)</f>
        <v>Apr F</v>
      </c>
      <c r="M8" s="39" t="str">
        <f>_xll.BDP($B8,M$6)</f>
        <v>4/30/2015</v>
      </c>
      <c r="N8" s="39" t="str">
        <f>_xll.BDP($B8,N$6)</f>
        <v>3/31/2015</v>
      </c>
      <c r="O8" s="25" t="str">
        <f>_xll.BDP($B8,O$6)</f>
        <v>Monthly</v>
      </c>
      <c r="P8" s="39" t="str">
        <f>_xll.BDP($B8,P$6)</f>
        <v>5/1/2015</v>
      </c>
      <c r="Q8" s="39">
        <f t="shared" si="1"/>
        <v>42125</v>
      </c>
      <c r="R8" s="25" t="str">
        <f>_xll.BDP($B8,R$6)</f>
        <v>10:00:00 AM</v>
      </c>
      <c r="S8" s="25">
        <f>_xll.BDP($B8,S$6)</f>
        <v>4.7618999999999998</v>
      </c>
      <c r="T8" s="25" t="str">
        <f>_xll.BDP($B8,T$6)</f>
        <v>United States</v>
      </c>
      <c r="U8" s="25" t="str">
        <f>_xll.BDP($B8,U$6)</f>
        <v>#N/A Field Not Applicable</v>
      </c>
    </row>
    <row r="9" spans="2:26" ht="20.100000000000001" customHeight="1" x14ac:dyDescent="0.25">
      <c r="B9" s="20" t="s">
        <v>37</v>
      </c>
      <c r="C9" s="25" t="str">
        <f>_xll.BDP($B9,C$6)</f>
        <v>UMich Expected Change in Prices During the Next Year: Median</v>
      </c>
      <c r="D9" s="36" t="str">
        <f t="shared" si="0"/>
        <v>CONSPXMD Index</v>
      </c>
      <c r="E9" s="37">
        <f>_xll.BDP($B9,E$6)</f>
        <v>3.9682499999999998</v>
      </c>
      <c r="F9" s="25" t="str">
        <f>_xll.BDP($B9,F$6)</f>
        <v>UMich Expected Change in Price</v>
      </c>
      <c r="G9" s="38">
        <f>_xll.BDP($B9,G$6)</f>
        <v>2.5</v>
      </c>
      <c r="H9" s="38" t="str">
        <f>_xll.BDP($B9,H$6)</f>
        <v>#N/A N/A</v>
      </c>
      <c r="I9" s="38">
        <f>_xll.BDP($B9,I$6)</f>
        <v>3</v>
      </c>
      <c r="J9" s="25" t="str">
        <f>_xll.BDP($B9,J$6)</f>
        <v>None</v>
      </c>
      <c r="K9" s="25" t="str">
        <f>_xll.BDP($B9,K$6)</f>
        <v>Value NSA</v>
      </c>
      <c r="L9" s="25" t="str">
        <f>_xll.BDP($B9,L$6)</f>
        <v>Apr F</v>
      </c>
      <c r="M9" s="39" t="str">
        <f>_xll.BDP($B9,M$6)</f>
        <v>4/30/2015</v>
      </c>
      <c r="N9" s="39" t="str">
        <f>_xll.BDP($B9,N$6)</f>
        <v>3/31/2015</v>
      </c>
      <c r="O9" s="25" t="str">
        <f>_xll.BDP($B9,O$6)</f>
        <v>Monthly</v>
      </c>
      <c r="P9" s="39" t="str">
        <f>_xll.BDP($B9,P$6)</f>
        <v>5/1/2015</v>
      </c>
      <c r="Q9" s="39">
        <f t="shared" si="1"/>
        <v>42125</v>
      </c>
      <c r="R9" s="25" t="str">
        <f>_xll.BDP($B9,R$6)</f>
        <v>10:00:00 AM</v>
      </c>
      <c r="S9" s="25">
        <f>_xll.BDP($B9,S$6)</f>
        <v>3.9682499999999998</v>
      </c>
      <c r="T9" s="25" t="str">
        <f>_xll.BDP($B9,T$6)</f>
        <v>United States</v>
      </c>
      <c r="U9" s="25" t="str">
        <f>_xll.BDP($B9,U$6)</f>
        <v>#N/A Field Not Applicable</v>
      </c>
    </row>
    <row r="10" spans="2:26" ht="20.100000000000001" customHeight="1" x14ac:dyDescent="0.25">
      <c r="B10" s="20" t="s">
        <v>34</v>
      </c>
      <c r="C10" s="25" t="str">
        <f>_xll.BDP($B10,C$6)</f>
        <v>University of Michigan Consumer Expectations Index</v>
      </c>
      <c r="D10" s="36" t="str">
        <f t="shared" si="0"/>
        <v>CONSEXP Index</v>
      </c>
      <c r="E10" s="37">
        <f>_xll.BDP($B10,E$6)</f>
        <v>3.1745999999999999</v>
      </c>
      <c r="F10" s="25" t="str">
        <f>_xll.BDP($B10,F$6)</f>
        <v>University of Michigan Consume</v>
      </c>
      <c r="G10" s="38">
        <f>_xll.BDP($B10,G$6)</f>
        <v>88</v>
      </c>
      <c r="H10" s="38" t="str">
        <f>_xll.BDP($B10,H$6)</f>
        <v>#N/A N/A</v>
      </c>
      <c r="I10" s="38">
        <f>_xll.BDP($B10,I$6)</f>
        <v>85.3</v>
      </c>
      <c r="J10" s="25" t="str">
        <f>_xll.BDP($B10,J$6)</f>
        <v>None</v>
      </c>
      <c r="K10" s="25" t="str">
        <f>_xll.BDP($B10,K$6)</f>
        <v>Value NSA</v>
      </c>
      <c r="L10" s="25" t="str">
        <f>_xll.BDP($B10,L$6)</f>
        <v>Apr F</v>
      </c>
      <c r="M10" s="39" t="str">
        <f>_xll.BDP($B10,M$6)</f>
        <v>4/30/2015</v>
      </c>
      <c r="N10" s="39" t="str">
        <f>_xll.BDP($B10,N$6)</f>
        <v>3/31/2015</v>
      </c>
      <c r="O10" s="25" t="str">
        <f>_xll.BDP($B10,O$6)</f>
        <v>Monthly</v>
      </c>
      <c r="P10" s="39" t="str">
        <f>_xll.BDP($B10,P$6)</f>
        <v>5/1/2015</v>
      </c>
      <c r="Q10" s="39">
        <f t="shared" si="1"/>
        <v>42125</v>
      </c>
      <c r="R10" s="25" t="str">
        <f>_xll.BDP($B10,R$6)</f>
        <v>10:00:00 AM</v>
      </c>
      <c r="S10" s="25">
        <f>_xll.BDP($B10,S$6)</f>
        <v>3.1745999999999999</v>
      </c>
      <c r="T10" s="25" t="str">
        <f>_xll.BDP($B10,T$6)</f>
        <v>United States</v>
      </c>
      <c r="U10" s="25" t="str">
        <f>_xll.BDP($B10,U$6)</f>
        <v>This release is frequently released early. It can come out as early as 9:55am EST. The official release time is 10:00.                                          Base year 1966=100.  A survey of consumer attitudes concerning both the present situation as well as expectations regarding economic conditions conducted by the University of Michigan. For the preliminary release approximately three hundred consumers are surveyed while five hundred are interviewed for the final figure. The level of consumer sentiment is related to the strength of consumer spending. Please note that this report is released twice per month. The first is a preliminary figure while the second is the final (revised) figure. HP only shows the final values for previous months while ECO &lt;GO&gt; includes every release.  This may account for discrepancies between the 'Prior' column and HP.</v>
      </c>
    </row>
    <row r="11" spans="2:26" ht="20.100000000000001" customHeight="1" x14ac:dyDescent="0.25">
      <c r="B11" s="20" t="s">
        <v>31</v>
      </c>
      <c r="C11" s="25" t="str">
        <f>_xll.BDP($B11,C$6)</f>
        <v>University of Michigan Current Economic Conditions Index</v>
      </c>
      <c r="D11" s="36" t="str">
        <f t="shared" si="0"/>
        <v>CONSCURR Index</v>
      </c>
      <c r="E11" s="37">
        <f>_xll.BDP($B11,E$6)</f>
        <v>2.3809499999999999</v>
      </c>
      <c r="F11" s="25" t="str">
        <f>_xll.BDP($B11,F$6)</f>
        <v>University of Michigan Current</v>
      </c>
      <c r="G11" s="38">
        <f>_xll.BDP($B11,G$6)</f>
        <v>108.2</v>
      </c>
      <c r="H11" s="38" t="str">
        <f>_xll.BDP($B11,H$6)</f>
        <v>#N/A N/A</v>
      </c>
      <c r="I11" s="38">
        <f>_xll.BDP($B11,I$6)</f>
        <v>105</v>
      </c>
      <c r="J11" s="25" t="str">
        <f>_xll.BDP($B11,J$6)</f>
        <v>None</v>
      </c>
      <c r="K11" s="25" t="str">
        <f>_xll.BDP($B11,K$6)</f>
        <v>Value NSA</v>
      </c>
      <c r="L11" s="25" t="str">
        <f>_xll.BDP($B11,L$6)</f>
        <v>Apr F</v>
      </c>
      <c r="M11" s="39" t="str">
        <f>_xll.BDP($B11,M$6)</f>
        <v>4/30/2015</v>
      </c>
      <c r="N11" s="39" t="str">
        <f>_xll.BDP($B11,N$6)</f>
        <v>3/31/2015</v>
      </c>
      <c r="O11" s="25" t="str">
        <f>_xll.BDP($B11,O$6)</f>
        <v>Monthly</v>
      </c>
      <c r="P11" s="39" t="str">
        <f>_xll.BDP($B11,P$6)</f>
        <v>5/1/2015</v>
      </c>
      <c r="Q11" s="39">
        <f t="shared" si="1"/>
        <v>42125</v>
      </c>
      <c r="R11" s="25" t="str">
        <f>_xll.BDP($B11,R$6)</f>
        <v>10:00:00 AM</v>
      </c>
      <c r="S11" s="25">
        <f>_xll.BDP($B11,S$6)</f>
        <v>2.3809499999999999</v>
      </c>
      <c r="T11" s="25" t="str">
        <f>_xll.BDP($B11,T$6)</f>
        <v>United States</v>
      </c>
      <c r="U11" s="25" t="str">
        <f>_xll.BDP($B11,U$6)</f>
        <v>This release is frequently released early. It can come out as early as 9:55am EST. The official release time is 10:00.                                          Base year 1966=100.  A survey of consumer attitudes concerning both the present situation as well as expectations regarding economic conditions conducted by the University of Michigan. For the preliminary release approximately three hundred consumers are surveyed while five hundred are interviewed for the final figure. The level of consumer sentiment is related to the strength of consumer spending. Please note that this report is released twice per month. The first is a preliminary figure while the second is the final (revised) figure. HP only shows the final values for previous months while ECO &lt;GO&gt; includes every release.  This may account for discrepancies between the 'Prior' column and HP.</v>
      </c>
    </row>
    <row r="12" spans="2:26" ht="20.100000000000001" customHeight="1" x14ac:dyDescent="0.25">
      <c r="B12" s="20" t="s">
        <v>357</v>
      </c>
      <c r="C12" s="25" t="str">
        <f>_xll.BDP($B12,C$6)</f>
        <v>US CPI Urban Consumers MoM SA</v>
      </c>
      <c r="D12" s="36" t="str">
        <f t="shared" si="0"/>
        <v>CPI CHNG Index</v>
      </c>
      <c r="E12" s="37">
        <f>_xll.BDP($B12,E$6)</f>
        <v>94.444400000000002</v>
      </c>
      <c r="F12" s="25" t="str">
        <f>_xll.BDP($B12,F$6)</f>
        <v>US CPI Urban Consumers MoM SA</v>
      </c>
      <c r="G12" s="38">
        <f>_xll.BDP($B12,G$6)</f>
        <v>0.24</v>
      </c>
      <c r="H12" s="38" t="str">
        <f>_xll.BDP($B12,H$6)</f>
        <v>#N/A N/A</v>
      </c>
      <c r="I12" s="38">
        <f>_xll.BDP($B12,I$6)</f>
        <v>0.22</v>
      </c>
      <c r="J12" s="25" t="str">
        <f>_xll.BDP($B12,J$6)</f>
        <v>None</v>
      </c>
      <c r="K12" s="25" t="str">
        <f>_xll.BDP($B12,K$6)</f>
        <v>MoM% SA</v>
      </c>
      <c r="L12" s="25" t="str">
        <f>_xll.BDP($B12,L$6)</f>
        <v>Apr</v>
      </c>
      <c r="M12" s="39" t="str">
        <f>_xll.BDP($B12,M$6)</f>
        <v>3/31/2015</v>
      </c>
      <c r="N12" s="39" t="str">
        <f>_xll.BDP($B12,N$6)</f>
        <v>2/28/2015</v>
      </c>
      <c r="O12" s="25" t="str">
        <f>_xll.BDP($B12,O$6)</f>
        <v>Monthly</v>
      </c>
      <c r="P12" s="39" t="str">
        <f>_xll.BDP($B12,P$6)</f>
        <v>5/22/2015</v>
      </c>
      <c r="Q12" s="39">
        <f t="shared" si="1"/>
        <v>42146</v>
      </c>
      <c r="R12" s="25" t="str">
        <f>_xll.BDP($B12,R$6)</f>
        <v>8:30:00 AM</v>
      </c>
      <c r="S12" s="25">
        <f>_xll.BDP($B12,S$6)</f>
        <v>94.444400000000002</v>
      </c>
      <c r="T12" s="25" t="str">
        <f>_xll.BDP($B12,T$6)</f>
        <v>United States</v>
      </c>
      <c r="U12" s="25" t="str">
        <f>_xll.BDP($B12,U$6)</f>
        <v>Base Year 1982-84=100.  The CPI represents changes in prices of all goods and services purchased for consumption by urban households.  User fees (such as water and sewer service) and sales and excise taxes paid by the consumer are also included.  Income taxes and investment items (i.e. stocks, bonds, and life insurance) are not included.  CPI for urban consumers, includes expenditures by urban wage earners and clerical workers, professional, managerial,and technical workers,the self-employed, short-term workers, the unemployed, retirees and others not in the labor force.  This represents about 80% of the total U.S. population. &lt;P&gt;This calculation uses CPI INDX Index =&gt; ((Current Month  - Prior Month)/ Prior Month))*100; the value is then rounded to 1 decimal place.</v>
      </c>
    </row>
    <row r="13" spans="2:26" ht="20.100000000000001" customHeight="1" x14ac:dyDescent="0.25">
      <c r="B13" s="20" t="s">
        <v>360</v>
      </c>
      <c r="C13" s="25" t="str">
        <f>_xll.BDP($B13,C$6)</f>
        <v>US CPI Urban Consumers Less Food &amp; Energy MoM SA</v>
      </c>
      <c r="D13" s="36" t="str">
        <f t="shared" si="0"/>
        <v>CPUPXCHG Index</v>
      </c>
      <c r="E13" s="37">
        <f>_xll.BDP($B13,E$6)</f>
        <v>75.555599999999998</v>
      </c>
      <c r="F13" s="25" t="str">
        <f>_xll.BDP($B13,F$6)</f>
        <v>US CPI Urban Consumers Less Fo</v>
      </c>
      <c r="G13" s="38">
        <f>_xll.BDP($B13,G$6)</f>
        <v>0.23</v>
      </c>
      <c r="H13" s="38" t="str">
        <f>_xll.BDP($B13,H$6)</f>
        <v>#N/A N/A</v>
      </c>
      <c r="I13" s="38">
        <f>_xll.BDP($B13,I$6)</f>
        <v>0.16</v>
      </c>
      <c r="J13" s="25" t="str">
        <f>_xll.BDP($B13,J$6)</f>
        <v>None</v>
      </c>
      <c r="K13" s="25" t="str">
        <f>_xll.BDP($B13,K$6)</f>
        <v>#N/A N/A</v>
      </c>
      <c r="L13" s="25" t="str">
        <f>_xll.BDP($B13,L$6)</f>
        <v>Apr</v>
      </c>
      <c r="M13" s="39" t="str">
        <f>_xll.BDP($B13,M$6)</f>
        <v>3/31/2015</v>
      </c>
      <c r="N13" s="39" t="str">
        <f>_xll.BDP($B13,N$6)</f>
        <v>2/28/2015</v>
      </c>
      <c r="O13" s="25" t="str">
        <f>_xll.BDP($B13,O$6)</f>
        <v>Monthly</v>
      </c>
      <c r="P13" s="39" t="str">
        <f>_xll.BDP($B13,P$6)</f>
        <v>5/22/2015</v>
      </c>
      <c r="Q13" s="39">
        <f t="shared" si="1"/>
        <v>42146</v>
      </c>
      <c r="R13" s="25" t="str">
        <f>_xll.BDP($B13,R$6)</f>
        <v>8:30:00 AM</v>
      </c>
      <c r="S13" s="25">
        <f>_xll.BDP($B13,S$6)</f>
        <v>75.555599999999998</v>
      </c>
      <c r="T13" s="25" t="str">
        <f>_xll.BDP($B13,T$6)</f>
        <v>UNITED STATES</v>
      </c>
      <c r="U13" s="25" t="str">
        <f>_xll.BDP($B13,U$6)</f>
        <v>Base year 1982-84=100.  Special indices category.</v>
      </c>
    </row>
    <row r="14" spans="2:26" ht="20.100000000000001" customHeight="1" x14ac:dyDescent="0.25">
      <c r="B14" s="20" t="s">
        <v>363</v>
      </c>
      <c r="C14" s="25" t="str">
        <f>_xll.BDP($B14,C$6)</f>
        <v>US CPI Urban Consumers YoY NSA</v>
      </c>
      <c r="D14" s="36" t="str">
        <f t="shared" si="0"/>
        <v>CPI YOY Index</v>
      </c>
      <c r="E14" s="37">
        <f>_xll.BDP($B14,E$6)</f>
        <v>63.492100000000001</v>
      </c>
      <c r="F14" s="25" t="str">
        <f>_xll.BDP($B14,F$6)</f>
        <v>US CPI Urban Consumers YoY NSA</v>
      </c>
      <c r="G14" s="38">
        <f>_xll.BDP($B14,G$6)</f>
        <v>-0.1</v>
      </c>
      <c r="H14" s="38" t="str">
        <f>_xll.BDP($B14,H$6)</f>
        <v>#N/A N/A</v>
      </c>
      <c r="I14" s="38">
        <f>_xll.BDP($B14,I$6)</f>
        <v>0</v>
      </c>
      <c r="J14" s="25" t="str">
        <f>_xll.BDP($B14,J$6)</f>
        <v>None</v>
      </c>
      <c r="K14" s="25" t="str">
        <f>_xll.BDP($B14,K$6)</f>
        <v>YoY% NSA</v>
      </c>
      <c r="L14" s="25" t="str">
        <f>_xll.BDP($B14,L$6)</f>
        <v>Apr</v>
      </c>
      <c r="M14" s="39" t="str">
        <f>_xll.BDP($B14,M$6)</f>
        <v>3/31/2015</v>
      </c>
      <c r="N14" s="39" t="str">
        <f>_xll.BDP($B14,N$6)</f>
        <v>2/28/2015</v>
      </c>
      <c r="O14" s="25" t="str">
        <f>_xll.BDP($B14,O$6)</f>
        <v>Monthly</v>
      </c>
      <c r="P14" s="39" t="str">
        <f>_xll.BDP($B14,P$6)</f>
        <v>5/22/2015</v>
      </c>
      <c r="Q14" s="39">
        <f t="shared" si="1"/>
        <v>42146</v>
      </c>
      <c r="R14" s="25" t="str">
        <f>_xll.BDP($B14,R$6)</f>
        <v>8:30:00 AM</v>
      </c>
      <c r="S14" s="25">
        <f>_xll.BDP($B14,S$6)</f>
        <v>63.492100000000001</v>
      </c>
      <c r="T14" s="25" t="str">
        <f>_xll.BDP($B14,T$6)</f>
        <v>United States</v>
      </c>
      <c r="U14" s="25" t="str">
        <f>_xll.BDP($B14,U$6)</f>
        <v>Base Year 1982-84=100.  The CPI represents changes in prices of all goods and services purchased for consumption by urban households.  User fees (such as water and sewer service) and sales and excise taxes paid by the consumer are also included.  Income taxes and investment items (i.e. stocks, bonds, and life insurance) are not included.  CPI for urban consumers, includes expenditures by urban wage earners and clerical workers, professional, managerial,and technical workers,the self-employed, short-term workers, the unemployed, retirees and others not in the labor force.  This represents about 80% of the total U.S. population. &lt;P&gt;This calculation uses CPURNSA  Index =&gt; ((Current Month  - Prior value for same month last year)/ Prior value for same month last year ))*100; the value is then rounded to 1 decimal place.</v>
      </c>
    </row>
    <row r="15" spans="2:26" ht="20.100000000000001" customHeight="1" x14ac:dyDescent="0.25">
      <c r="B15" s="20" t="s">
        <v>366</v>
      </c>
      <c r="C15" s="25" t="str">
        <f>_xll.BDP($B15,C$6)</f>
        <v>US CPI Urban Consumers Less Food &amp; Energy YoY NSA</v>
      </c>
      <c r="D15" s="36" t="str">
        <f t="shared" si="0"/>
        <v>CPI XYOY Index</v>
      </c>
      <c r="E15" s="37">
        <f>_xll.BDP($B15,E$6)</f>
        <v>51.587299999999999</v>
      </c>
      <c r="F15" s="25" t="str">
        <f>_xll.BDP($B15,F$6)</f>
        <v>US CPI Urban Consumers Less Fo</v>
      </c>
      <c r="G15" s="38">
        <f>_xll.BDP($B15,G$6)</f>
        <v>1.8</v>
      </c>
      <c r="H15" s="38" t="str">
        <f>_xll.BDP($B15,H$6)</f>
        <v>#N/A N/A</v>
      </c>
      <c r="I15" s="38">
        <f>_xll.BDP($B15,I$6)</f>
        <v>1.7</v>
      </c>
      <c r="J15" s="25" t="str">
        <f>_xll.BDP($B15,J$6)</f>
        <v>None</v>
      </c>
      <c r="K15" s="25" t="str">
        <f>_xll.BDP($B15,K$6)</f>
        <v>YoY% NSA</v>
      </c>
      <c r="L15" s="25" t="str">
        <f>_xll.BDP($B15,L$6)</f>
        <v>Apr</v>
      </c>
      <c r="M15" s="39" t="str">
        <f>_xll.BDP($B15,M$6)</f>
        <v>3/31/2015</v>
      </c>
      <c r="N15" s="39" t="str">
        <f>_xll.BDP($B15,N$6)</f>
        <v>2/28/2015</v>
      </c>
      <c r="O15" s="25" t="str">
        <f>_xll.BDP($B15,O$6)</f>
        <v>Monthly</v>
      </c>
      <c r="P15" s="39" t="str">
        <f>_xll.BDP($B15,P$6)</f>
        <v>5/22/2015</v>
      </c>
      <c r="Q15" s="39">
        <f t="shared" si="1"/>
        <v>42146</v>
      </c>
      <c r="R15" s="25" t="str">
        <f>_xll.BDP($B15,R$6)</f>
        <v>8:30:00 AM</v>
      </c>
      <c r="S15" s="25">
        <f>_xll.BDP($B15,S$6)</f>
        <v>51.587299999999999</v>
      </c>
      <c r="T15" s="25" t="str">
        <f>_xll.BDP($B15,T$6)</f>
        <v>United States</v>
      </c>
      <c r="U15" s="25" t="str">
        <f>_xll.BDP($B15,U$6)</f>
        <v>This index gets reported to two decimals to show more precision than the headline figure, CPUPXCHG &lt;Index&gt;. The CPI Core shows all items less food and energy.  The CPI represents changes in prices of all goods and services purchased for consumption by urban households.  User fees (such as water and sewer service) and sales and excise taxes paid by the consumer are also included.  Income taxes and investment items (i.e. stocks, bonds, and life insurance) are not included.  CPI for urban consumers, includes expenditures by urban wage earners and clerical workers, professional, managerial, and technical workers, the self-employed, short-term workers, the unemployed, retirees and others not in the labor force.  This represents about 80% of the total U.S. population.</v>
      </c>
    </row>
    <row r="16" spans="2:26" ht="20.100000000000001" customHeight="1" x14ac:dyDescent="0.25">
      <c r="B16" s="20" t="s">
        <v>372</v>
      </c>
      <c r="C16" s="25" t="str">
        <f>_xll.BDP($B16,C$6)</f>
        <v>US CPI Urban Consumers Less Food &amp; Energy SA</v>
      </c>
      <c r="D16" s="36" t="str">
        <f t="shared" si="0"/>
        <v>CPUPAXFE Index</v>
      </c>
      <c r="E16" s="37">
        <f>_xll.BDP($B16,E$6)</f>
        <v>40.476199999999999</v>
      </c>
      <c r="F16" s="25" t="str">
        <f>_xll.BDP($B16,F$6)</f>
        <v>US CPI Urban Consumers Less Fo</v>
      </c>
      <c r="G16" s="38">
        <f>_xll.BDP($B16,G$6)</f>
        <v>240.79300000000001</v>
      </c>
      <c r="H16" s="38" t="str">
        <f>_xll.BDP($B16,H$6)</f>
        <v>#N/A N/A</v>
      </c>
      <c r="I16" s="38">
        <f>_xll.BDP($B16,I$6)</f>
        <v>240.24700000000001</v>
      </c>
      <c r="J16" s="25" t="str">
        <f>_xll.BDP($B16,J$6)</f>
        <v>None</v>
      </c>
      <c r="K16" s="25" t="str">
        <f>_xll.BDP($B16,K$6)</f>
        <v>Index SA</v>
      </c>
      <c r="L16" s="25" t="str">
        <f>_xll.BDP($B16,L$6)</f>
        <v>Apr</v>
      </c>
      <c r="M16" s="39" t="str">
        <f>_xll.BDP($B16,M$6)</f>
        <v>3/31/2015</v>
      </c>
      <c r="N16" s="39" t="str">
        <f>_xll.BDP($B16,N$6)</f>
        <v>2/28/2015</v>
      </c>
      <c r="O16" s="25" t="str">
        <f>_xll.BDP($B16,O$6)</f>
        <v>Monthly</v>
      </c>
      <c r="P16" s="39" t="str">
        <f>_xll.BDP($B16,P$6)</f>
        <v>5/22/2015</v>
      </c>
      <c r="Q16" s="39">
        <f t="shared" si="1"/>
        <v>42146</v>
      </c>
      <c r="R16" s="25" t="str">
        <f>_xll.BDP($B16,R$6)</f>
        <v>8:30:00 AM</v>
      </c>
      <c r="S16" s="25">
        <f>_xll.BDP($B16,S$6)</f>
        <v>40.476199999999999</v>
      </c>
      <c r="T16" s="25" t="str">
        <f>_xll.BDP($B16,T$6)</f>
        <v>United States</v>
      </c>
      <c r="U16" s="25" t="str">
        <f>_xll.BDP($B16,U$6)</f>
        <v>Base year 1982-84=100.  Special indices category.</v>
      </c>
    </row>
    <row r="17" spans="2:21" ht="20.100000000000001" customHeight="1" x14ac:dyDescent="0.25">
      <c r="B17" s="20" t="s">
        <v>369</v>
      </c>
      <c r="C17" s="25" t="str">
        <f>_xll.BDP($B17,C$6)</f>
        <v>US CPI Urban Consumers NSA</v>
      </c>
      <c r="D17" s="36" t="str">
        <f t="shared" si="0"/>
        <v>CPURNSA Index</v>
      </c>
      <c r="E17" s="37">
        <f>_xll.BDP($B17,E$6)</f>
        <v>36.507899999999999</v>
      </c>
      <c r="F17" s="25" t="str">
        <f>_xll.BDP($B17,F$6)</f>
        <v>US CPI Urban Consumers NSA</v>
      </c>
      <c r="G17" s="38">
        <f>_xll.BDP($B17,G$6)</f>
        <v>236.119</v>
      </c>
      <c r="H17" s="38" t="str">
        <f>_xll.BDP($B17,H$6)</f>
        <v>#N/A N/A</v>
      </c>
      <c r="I17" s="38">
        <f>_xll.BDP($B17,I$6)</f>
        <v>234.72200000000001</v>
      </c>
      <c r="J17" s="25" t="str">
        <f>_xll.BDP($B17,J$6)</f>
        <v>None</v>
      </c>
      <c r="K17" s="25" t="str">
        <f>_xll.BDP($B17,K$6)</f>
        <v>Index NSA</v>
      </c>
      <c r="L17" s="25" t="str">
        <f>_xll.BDP($B17,L$6)</f>
        <v>Apr</v>
      </c>
      <c r="M17" s="39" t="str">
        <f>_xll.BDP($B17,M$6)</f>
        <v>3/31/2015</v>
      </c>
      <c r="N17" s="39" t="str">
        <f>_xll.BDP($B17,N$6)</f>
        <v>2/28/2015</v>
      </c>
      <c r="O17" s="25" t="str">
        <f>_xll.BDP($B17,O$6)</f>
        <v>Monthly</v>
      </c>
      <c r="P17" s="39" t="str">
        <f>_xll.BDP($B17,P$6)</f>
        <v>5/22/2015</v>
      </c>
      <c r="Q17" s="39">
        <f t="shared" si="1"/>
        <v>42146</v>
      </c>
      <c r="R17" s="25" t="str">
        <f>_xll.BDP($B17,R$6)</f>
        <v>8:30:00 AM</v>
      </c>
      <c r="S17" s="25">
        <f>_xll.BDP($B17,S$6)</f>
        <v>36.507899999999999</v>
      </c>
      <c r="T17" s="25" t="str">
        <f>_xll.BDP($B17,T$6)</f>
        <v>United States</v>
      </c>
      <c r="U17" s="25" t="str">
        <f>_xll.BDP($B17,U$6)</f>
        <v>Base year 1982-84=100.</v>
      </c>
    </row>
    <row r="18" spans="2:21" ht="20.100000000000001" customHeight="1" x14ac:dyDescent="0.25">
      <c r="B18" s="20" t="s">
        <v>379</v>
      </c>
      <c r="C18" s="25" t="str">
        <f>_xll.BDP($B18,C$6)</f>
        <v>Conference Board US Leading Index MoM</v>
      </c>
      <c r="D18" s="36" t="str">
        <f t="shared" si="0"/>
        <v>LEI CHNG Index</v>
      </c>
      <c r="E18" s="37">
        <f>_xll.BDP($B18,E$6)</f>
        <v>84.126999999999995</v>
      </c>
      <c r="F18" s="25" t="str">
        <f>_xll.BDP($B18,F$6)</f>
        <v>Conference Board US Leading In</v>
      </c>
      <c r="G18" s="38">
        <f>_xll.BDP($B18,G$6)</f>
        <v>0.2</v>
      </c>
      <c r="H18" s="38" t="str">
        <f>_xll.BDP($B18,H$6)</f>
        <v>#N/A N/A</v>
      </c>
      <c r="I18" s="38">
        <f>_xll.BDP($B18,I$6)</f>
        <v>0.1</v>
      </c>
      <c r="J18" s="25" t="str">
        <f>_xll.BDP($B18,J$6)</f>
        <v>None</v>
      </c>
      <c r="K18" s="25" t="str">
        <f>_xll.BDP($B18,K$6)</f>
        <v>MoM% SA</v>
      </c>
      <c r="L18" s="25" t="str">
        <f>_xll.BDP($B18,L$6)</f>
        <v>Apr</v>
      </c>
      <c r="M18" s="39" t="str">
        <f>_xll.BDP($B18,M$6)</f>
        <v>3/31/2015</v>
      </c>
      <c r="N18" s="39" t="str">
        <f>_xll.BDP($B18,N$6)</f>
        <v>2/28/2015</v>
      </c>
      <c r="O18" s="25" t="str">
        <f>_xll.BDP($B18,O$6)</f>
        <v>Monthly</v>
      </c>
      <c r="P18" s="39" t="str">
        <f>_xll.BDP($B18,P$6)</f>
        <v>5/21/2015</v>
      </c>
      <c r="Q18" s="39">
        <f t="shared" si="1"/>
        <v>42145</v>
      </c>
      <c r="R18" s="25" t="str">
        <f>_xll.BDP($B18,R$6)</f>
        <v>10:00:00 AM</v>
      </c>
      <c r="S18" s="25">
        <f>_xll.BDP($B18,S$6)</f>
        <v>84.126999999999995</v>
      </c>
      <c r="T18" s="25" t="str">
        <f>_xll.BDP($B18,T$6)</f>
        <v>United States</v>
      </c>
      <c r="U18" s="25" t="str">
        <f>_xll.BDP($B18,U$6)</f>
        <v>Leading Index   1. Average weekly hours, manufacturing {LEI AVGW Index &lt;go&gt;}  0.27472. Average weekly initial jobless claims {LEI WKIJ  Index &lt;go&gt;}  0.0340 3. Manufacturing new orders, consumer goods and materials {LEI NWCN Index &lt;go&gt;} 0.0815   4. ISM new orders, consumer {LEI ISM  Index &lt;go&gt;} 0.1606   5. Manufacturers' new orders, nondefense capital {LEI MNO Index &lt;go&gt;}0.0390    6. Building permits, new private housing units {LEI BP  Index &lt;go&gt;} 0.0316    7. Stock prices, 500 common stocks {LEI STKP  Index &lt;go&gt;} 0.0392     8. Leading Credit {LEI LCI  Index &lt;go&gt;}  0.0829      9. Interest rate spread {LEI IRTE  Index &lt;go&gt;}  0.1090              10.Average consumer expectations {LEI ACE  Index &lt;go&gt;}.   0.1475</v>
      </c>
    </row>
    <row r="19" spans="2:21" ht="20.100000000000001" customHeight="1" x14ac:dyDescent="0.25">
      <c r="B19" s="20" t="s">
        <v>386</v>
      </c>
      <c r="C19" s="25" t="str">
        <f>_xll.BDP($B19,C$6)</f>
        <v>Chicago Fed National Activity Index</v>
      </c>
      <c r="D19" s="36" t="str">
        <f t="shared" si="0"/>
        <v>CFNAI Index</v>
      </c>
      <c r="E19" s="37">
        <f>_xll.BDP($B19,E$6)</f>
        <v>64.285700000000006</v>
      </c>
      <c r="F19" s="25" t="str">
        <f>_xll.BDP($B19,F$6)</f>
        <v>Chicago Fed National Activity</v>
      </c>
      <c r="G19" s="38">
        <f>_xll.BDP($B19,G$6)</f>
        <v>-0.1066</v>
      </c>
      <c r="H19" s="38">
        <f>_xll.BDP($B19,H$6)</f>
        <v>0.1</v>
      </c>
      <c r="I19" s="38">
        <f>_xll.BDP($B19,I$6)</f>
        <v>-9.8599999999999993E-2</v>
      </c>
      <c r="J19" s="25" t="str">
        <f>_xll.BDP($B19,J$6)</f>
        <v>None</v>
      </c>
      <c r="K19" s="25" t="str">
        <f>_xll.BDP($B19,K$6)</f>
        <v>Index NSA</v>
      </c>
      <c r="L19" s="25" t="str">
        <f>_xll.BDP($B19,L$6)</f>
        <v>Mar</v>
      </c>
      <c r="M19" s="39" t="str">
        <f>_xll.BDP($B19,M$6)</f>
        <v>2/28/2015</v>
      </c>
      <c r="N19" s="39" t="str">
        <f>_xll.BDP($B19,N$6)</f>
        <v>1/31/2015</v>
      </c>
      <c r="O19" s="25" t="str">
        <f>_xll.BDP($B19,O$6)</f>
        <v>Monthly</v>
      </c>
      <c r="P19" s="39" t="str">
        <f>_xll.BDP($B19,P$6)</f>
        <v>4/20/2015</v>
      </c>
      <c r="Q19" s="39">
        <f t="shared" si="1"/>
        <v>42114</v>
      </c>
      <c r="R19" s="25" t="str">
        <f>_xll.BDP($B19,R$6)</f>
        <v>8:30:00 AM</v>
      </c>
      <c r="S19" s="25">
        <f>_xll.BDP($B19,S$6)</f>
        <v>64.285700000000006</v>
      </c>
      <c r="T19" s="25" t="str">
        <f>_xll.BDP($B19,T$6)</f>
        <v>United States</v>
      </c>
      <c r="U19" s="25" t="str">
        <f>_xll.BDP($B19,U$6)</f>
        <v>The Chicago Fed National Activity Index (CFNAI) provides useful information on the current state of economic activity and inflationary pressures in the United States.  Movements in the CFNAI closely track periods of economic expansion and contraction, as well as periods of rising and falling inflationary pressures.  The 85 economic indicators underlying the CFNAI are drawn from five broad categories of data: output and income; employment, unemployment and hours; personal consumption, housing starts and sales; manufacturing and trade sales; and inventories and orders, each of these data series measures some aspect of overall macroeconomic activity.For a list of indicators used see http://www.chicagofed.org/digital_assets/publications/cfnai/background/cfnai_indicators_list.pdf</v>
      </c>
    </row>
    <row r="20" spans="2:21" ht="20.100000000000001" customHeight="1" x14ac:dyDescent="0.25">
      <c r="B20" s="20" t="s">
        <v>113</v>
      </c>
      <c r="C20" s="25" t="str">
        <f>_xll.BDP($B20,C$6)</f>
        <v>Mortgage Bankers Association US Mortgage Market Indx Weekly % Change SA Old Meth</v>
      </c>
      <c r="D20" s="36" t="str">
        <f t="shared" si="0"/>
        <v>MBAVCHNG Index</v>
      </c>
      <c r="E20" s="37">
        <f>_xll.BDP($B20,E$6)</f>
        <v>92.857100000000003</v>
      </c>
      <c r="F20" s="25" t="str">
        <f>_xll.BDP($B20,F$6)</f>
        <v>Mortgage Bankers Association U</v>
      </c>
      <c r="G20" s="38">
        <f>_xll.BDP($B20,G$6)</f>
        <v>-2.2999999999999998</v>
      </c>
      <c r="H20" s="38" t="str">
        <f>_xll.BDP($B20,H$6)</f>
        <v>#N/A N/A</v>
      </c>
      <c r="I20" s="38">
        <f>_xll.BDP($B20,I$6)</f>
        <v>0.4</v>
      </c>
      <c r="J20" s="25" t="str">
        <f>_xll.BDP($B20,J$6)</f>
        <v>None</v>
      </c>
      <c r="K20" s="25" t="str">
        <f>_xll.BDP($B20,K$6)</f>
        <v>WoW% SA</v>
      </c>
      <c r="L20" s="25" t="str">
        <f>_xll.BDP($B20,L$6)</f>
        <v>Apr 17</v>
      </c>
      <c r="M20" s="39" t="str">
        <f>_xll.BDP($B20,M$6)</f>
        <v>4/10/2015</v>
      </c>
      <c r="N20" s="39" t="str">
        <f>_xll.BDP($B20,N$6)</f>
        <v>4/3/2015</v>
      </c>
      <c r="O20" s="25" t="str">
        <f>_xll.BDP($B20,O$6)</f>
        <v>Weekly on Friday</v>
      </c>
      <c r="P20" s="39" t="str">
        <f>_xll.BDP($B20,P$6)</f>
        <v>4/22/2015</v>
      </c>
      <c r="Q20" s="39">
        <f t="shared" si="1"/>
        <v>42116</v>
      </c>
      <c r="R20" s="25" t="str">
        <f>_xll.BDP($B20,R$6)</f>
        <v>7:00:00 AM</v>
      </c>
      <c r="S20" s="25">
        <f>_xll.BDP($B20,S$6)</f>
        <v>92.857100000000003</v>
      </c>
      <c r="T20" s="25" t="str">
        <f>_xll.BDP($B20,T$6)</f>
        <v>United States</v>
      </c>
      <c r="U20" s="25" t="str">
        <f>_xll.BDP($B20,U$6)</f>
        <v>MBA has re-benchmarked the index values as of September 16, 2011. To view the new rebenchmarked methodology data (back to January 14, 2011) , please view {ALLX OMBA&lt;GO&gt;}.  MBA Weekly Apps Methodology: {http://www.mortgagebankers.org/files/Research/HistoricalWAS/WASMethodology.pdf} MBA Weekly Apps Frequently Asked Questions: {http://www.mortgagebankers.org/files/Research/HistoricalWAS/WASFAQ.pdf}  This index is a measure of mortgage loan applications for purchases and refinancings.  To track the actual index level use {MBAVBASC &lt;Index&gt;}. There is a break in the series on Sept. 16, 2011 due to an increase in the sample size.</v>
      </c>
    </row>
    <row r="21" spans="2:21" ht="20.100000000000001" customHeight="1" x14ac:dyDescent="0.25">
      <c r="B21" s="20" t="s">
        <v>392</v>
      </c>
      <c r="C21" s="25" t="str">
        <f>_xll.BDP($B21,C$6)</f>
        <v>FHFA US House Price Index Purchase Only MoM% SA</v>
      </c>
      <c r="D21" s="36" t="str">
        <f t="shared" si="0"/>
        <v>HPIMMOM% Index</v>
      </c>
      <c r="E21" s="37">
        <f>_xll.BDP($B21,E$6)</f>
        <v>71.428600000000003</v>
      </c>
      <c r="F21" s="25" t="str">
        <f>_xll.BDP($B21,F$6)</f>
        <v>FHFA US House Price Index Purc</v>
      </c>
      <c r="G21" s="38">
        <f>_xll.BDP($B21,G$6)</f>
        <v>0.3</v>
      </c>
      <c r="H21" s="38">
        <f>_xll.BDP($B21,H$6)</f>
        <v>0.6</v>
      </c>
      <c r="I21" s="38">
        <f>_xll.BDP($B21,I$6)</f>
        <v>0.7</v>
      </c>
      <c r="J21" s="25" t="str">
        <f>_xll.BDP($B21,J$6)</f>
        <v>None</v>
      </c>
      <c r="K21" s="25" t="str">
        <f>_xll.BDP($B21,K$6)</f>
        <v>MoM% SA</v>
      </c>
      <c r="L21" s="25" t="str">
        <f>_xll.BDP($B21,L$6)</f>
        <v>Feb</v>
      </c>
      <c r="M21" s="39" t="str">
        <f>_xll.BDP($B21,M$6)</f>
        <v>1/31/2015</v>
      </c>
      <c r="N21" s="39" t="str">
        <f>_xll.BDP($B21,N$6)</f>
        <v>12/31/2014</v>
      </c>
      <c r="O21" s="25" t="str">
        <f>_xll.BDP($B21,O$6)</f>
        <v>Monthly</v>
      </c>
      <c r="P21" s="39" t="str">
        <f>_xll.BDP($B21,P$6)</f>
        <v>4/22/2015</v>
      </c>
      <c r="Q21" s="39">
        <f t="shared" si="1"/>
        <v>42116</v>
      </c>
      <c r="R21" s="25" t="str">
        <f>_xll.BDP($B21,R$6)</f>
        <v>9:00:00 AM</v>
      </c>
      <c r="S21" s="25">
        <f>_xll.BDP($B21,S$6)</f>
        <v>71.428600000000003</v>
      </c>
      <c r="T21" s="25" t="str">
        <f>_xll.BDP($B21,T$6)</f>
        <v>United States</v>
      </c>
      <c r="U21" s="25" t="str">
        <f>_xll.BDP($B21,U$6)</f>
        <v>Monthly purchase-only home price index change.&lt;br&gt;The HPI is a broad measure of the movement of single-family house prices. It serves as a timely, accurate indicator of house price trends at various geographic levels. It also provides housing economists with an analytical tool that is useful for estimating changes in the rates of mortgage defaults, prepayments and housing affordability in specific geographic areas. The HPI is a measure designed to capture changes in the value of single-family houses in the U.S. as a whole, in various regions and in smaller areas. The HPI is published by the Federal Housing Finance Agency (FHFA).</v>
      </c>
    </row>
    <row r="22" spans="2:21" ht="20.100000000000001" customHeight="1" x14ac:dyDescent="0.25">
      <c r="B22" s="20" t="s">
        <v>396</v>
      </c>
      <c r="C22" s="25" t="str">
        <f>_xll.BDP($B22,C$6)</f>
        <v>US Existing Homes Sales SAAR</v>
      </c>
      <c r="D22" s="36" t="str">
        <f t="shared" si="0"/>
        <v>ETSLTOTL Index</v>
      </c>
      <c r="E22" s="37">
        <f>_xll.BDP($B22,E$6)</f>
        <v>88.095200000000006</v>
      </c>
      <c r="F22" s="25" t="str">
        <f>_xll.BDP($B22,F$6)</f>
        <v>US Existing Homes Sales SAAR</v>
      </c>
      <c r="G22" s="38">
        <f>_xll.BDP($B22,G$6)</f>
        <v>4.88</v>
      </c>
      <c r="H22" s="38">
        <f>_xll.BDP($B22,H$6)</f>
        <v>5.03</v>
      </c>
      <c r="I22" s="38">
        <f>_xll.BDP($B22,I$6)</f>
        <v>4.82</v>
      </c>
      <c r="J22" s="25" t="str">
        <f>_xll.BDP($B22,J$6)</f>
        <v>Million</v>
      </c>
      <c r="K22" s="25" t="str">
        <f>_xll.BDP($B22,K$6)</f>
        <v>Units/Persons SAAR</v>
      </c>
      <c r="L22" s="25" t="str">
        <f>_xll.BDP($B22,L$6)</f>
        <v>Mar</v>
      </c>
      <c r="M22" s="39" t="str">
        <f>_xll.BDP($B22,M$6)</f>
        <v>2/28/2015</v>
      </c>
      <c r="N22" s="39" t="str">
        <f>_xll.BDP($B22,N$6)</f>
        <v>1/31/2015</v>
      </c>
      <c r="O22" s="25" t="str">
        <f>_xll.BDP($B22,O$6)</f>
        <v>Monthly</v>
      </c>
      <c r="P22" s="39" t="str">
        <f>_xll.BDP($B22,P$6)</f>
        <v>4/22/2015</v>
      </c>
      <c r="Q22" s="39">
        <f t="shared" si="1"/>
        <v>42116</v>
      </c>
      <c r="R22" s="25" t="str">
        <f>_xll.BDP($B22,R$6)</f>
        <v>10:00:00 AM</v>
      </c>
      <c r="S22" s="25">
        <f>_xll.BDP($B22,S$6)</f>
        <v>88.095200000000006</v>
      </c>
      <c r="T22" s="25" t="str">
        <f>_xll.BDP($B22,T$6)</f>
        <v>United States</v>
      </c>
      <c r="U22" s="25" t="str">
        <f>_xll.BDP($B22,U$6)</f>
        <v>Total includes single-family homes, townhomes, condominiums and co-ops, sales are based on closings. Foreclosed homes are only counted in the inventory if the bank is working with a realtor. Foreclosed homes that sell via auction are not included. This index shows the monthly supply.</v>
      </c>
    </row>
    <row r="23" spans="2:21" ht="20.100000000000001" customHeight="1" x14ac:dyDescent="0.25">
      <c r="B23" s="20" t="s">
        <v>399</v>
      </c>
      <c r="C23" s="25" t="str">
        <f>_xll.BDP($B23,C$6)</f>
        <v>US Existing Homes Sales MoM SA</v>
      </c>
      <c r="D23" s="36" t="str">
        <f t="shared" si="0"/>
        <v>ETSLMOM Index</v>
      </c>
      <c r="E23" s="37">
        <f>_xll.BDP($B23,E$6)</f>
        <v>53.968299999999999</v>
      </c>
      <c r="F23" s="25" t="str">
        <f>_xll.BDP($B23,F$6)</f>
        <v>US Existing Homes Sales MoM SA</v>
      </c>
      <c r="G23" s="38">
        <f>_xll.BDP($B23,G$6)</f>
        <v>1.24</v>
      </c>
      <c r="H23" s="38">
        <f>_xll.BDP($B23,H$6)</f>
        <v>3.07</v>
      </c>
      <c r="I23" s="38">
        <f>_xll.BDP($B23,I$6)</f>
        <v>-4.9000000000000004</v>
      </c>
      <c r="J23" s="25" t="str">
        <f>_xll.BDP($B23,J$6)</f>
        <v>None</v>
      </c>
      <c r="K23" s="25" t="str">
        <f>_xll.BDP($B23,K$6)</f>
        <v>MoM% SA</v>
      </c>
      <c r="L23" s="25" t="str">
        <f>_xll.BDP($B23,L$6)</f>
        <v>Mar</v>
      </c>
      <c r="M23" s="39" t="str">
        <f>_xll.BDP($B23,M$6)</f>
        <v>2/28/2015</v>
      </c>
      <c r="N23" s="39" t="str">
        <f>_xll.BDP($B23,N$6)</f>
        <v>1/31/2015</v>
      </c>
      <c r="O23" s="25" t="str">
        <f>_xll.BDP($B23,O$6)</f>
        <v>Monthly</v>
      </c>
      <c r="P23" s="39" t="str">
        <f>_xll.BDP($B23,P$6)</f>
        <v>4/22/2015</v>
      </c>
      <c r="Q23" s="39">
        <f t="shared" si="1"/>
        <v>42116</v>
      </c>
      <c r="R23" s="25" t="str">
        <f>_xll.BDP($B23,R$6)</f>
        <v>10:00:00 AM</v>
      </c>
      <c r="S23" s="25">
        <f>_xll.BDP($B23,S$6)</f>
        <v>53.968299999999999</v>
      </c>
      <c r="T23" s="25" t="str">
        <f>_xll.BDP($B23,T$6)</f>
        <v>United States</v>
      </c>
      <c r="U23" s="25" t="str">
        <f>_xll.BDP($B23,U$6)</f>
        <v>Total includes single-family homes, townhomes, condominiums and co-ops, sales are based on closings. Foreclosed homes are only counted in the inventory if the bank is working with a realtor. Foreclosed homes that sell via auction are not included. This index shows the monthly supply.</v>
      </c>
    </row>
    <row r="24" spans="2:21" ht="20.100000000000001" customHeight="1" x14ac:dyDescent="0.25">
      <c r="B24" s="20" t="s">
        <v>158</v>
      </c>
      <c r="C24" s="25" t="str">
        <f>_xll.BDP($B24,C$6)</f>
        <v>Bloomberg US Weekly Consumer Comfort Index</v>
      </c>
      <c r="D24" s="36" t="str">
        <f t="shared" si="0"/>
        <v>COMFCOMF Index</v>
      </c>
      <c r="E24" s="37">
        <f>_xll.BDP($B24,E$6)</f>
        <v>65.873000000000005</v>
      </c>
      <c r="F24" s="25" t="str">
        <f>_xll.BDP($B24,F$6)</f>
        <v>Bloomberg US Weekly Consumer C</v>
      </c>
      <c r="G24" s="38">
        <f>_xll.BDP($B24,G$6)</f>
        <v>46.6</v>
      </c>
      <c r="H24" s="38" t="str">
        <f>_xll.BDP($B24,H$6)</f>
        <v>#N/A N/A</v>
      </c>
      <c r="I24" s="38">
        <f>_xll.BDP($B24,I$6)</f>
        <v>47.9</v>
      </c>
      <c r="J24" s="25" t="str">
        <f>_xll.BDP($B24,J$6)</f>
        <v>None</v>
      </c>
      <c r="K24" s="25" t="str">
        <f>_xll.BDP($B24,K$6)</f>
        <v>% Balance/Diffusion Index NSA</v>
      </c>
      <c r="L24" s="25" t="str">
        <f>_xll.BDP($B24,L$6)</f>
        <v>Apr 19</v>
      </c>
      <c r="M24" s="39" t="str">
        <f>_xll.BDP($B24,M$6)</f>
        <v>4/12/2015</v>
      </c>
      <c r="N24" s="39" t="str">
        <f>_xll.BDP($B24,N$6)</f>
        <v>4/5/2015</v>
      </c>
      <c r="O24" s="25" t="str">
        <f>_xll.BDP($B24,O$6)</f>
        <v>Weekly on Sunday</v>
      </c>
      <c r="P24" s="39" t="str">
        <f>_xll.BDP($B24,P$6)</f>
        <v>4/23/2015</v>
      </c>
      <c r="Q24" s="39">
        <f t="shared" si="1"/>
        <v>42117</v>
      </c>
      <c r="R24" s="25" t="str">
        <f>_xll.BDP($B24,R$6)</f>
        <v>9:45:00 AM</v>
      </c>
      <c r="S24" s="25">
        <f>_xll.BDP($B24,S$6)</f>
        <v>65.873000000000005</v>
      </c>
      <c r="T24" s="25" t="str">
        <f>_xll.BDP($B24,T$6)</f>
        <v>United States</v>
      </c>
      <c r="U24" s="25" t="str">
        <f>_xll.BDP($B24,U$6)</f>
        <v>Ç                                                                               The Bloomberg Consumer Comfort Index is based on Americans' ratings of the national economy, the buying climate and their personal finances, reported in a four-week rolling average of 1,000 random-sample telephone interviews of about 250 consumers a week aged 18 or over, and is based on a four-week moving average of 1,000 responses. The percentage of households with negative views on the economy, personal finances and buying climate is subtracted from the share with positive outlooks and the difference is divided by 3. The results can range from 100, indicating every participant in the surveyhad a positive response to all three components, to minus 100, signaling all views were negative. The margin of error is 3 percentage points. Conducted continuously since late 1985, the Bloomberg CCI is produced by Langer Research Associates of New York, with field work by SSRS/Social Science Research Solutions of Medi</v>
      </c>
    </row>
    <row r="25" spans="2:21" ht="20.100000000000001" customHeight="1" x14ac:dyDescent="0.25">
      <c r="B25" s="20" t="s">
        <v>148</v>
      </c>
      <c r="C25" s="25" t="str">
        <f>_xll.BDP($B25,C$6)</f>
        <v>US Initial Jobless Claims SA</v>
      </c>
      <c r="D25" s="36" t="str">
        <f t="shared" si="0"/>
        <v>INJCJC Index</v>
      </c>
      <c r="E25" s="37">
        <f>_xll.BDP($B25,E$6)</f>
        <v>98.412700000000001</v>
      </c>
      <c r="F25" s="25" t="str">
        <f>_xll.BDP($B25,F$6)</f>
        <v>US Initial Jobless Claims SA</v>
      </c>
      <c r="G25" s="38">
        <f>_xll.BDP($B25,G$6)</f>
        <v>294</v>
      </c>
      <c r="H25" s="38">
        <f>_xll.BDP($B25,H$6)</f>
        <v>290</v>
      </c>
      <c r="I25" s="38">
        <f>_xll.BDP($B25,I$6)</f>
        <v>282</v>
      </c>
      <c r="J25" s="25" t="str">
        <f>_xll.BDP($B25,J$6)</f>
        <v>Thousand</v>
      </c>
      <c r="K25" s="25" t="str">
        <f>_xll.BDP($B25,K$6)</f>
        <v>Units/Persons SA</v>
      </c>
      <c r="L25" s="25" t="str">
        <f>_xll.BDP($B25,L$6)</f>
        <v>Apr 18</v>
      </c>
      <c r="M25" s="39" t="str">
        <f>_xll.BDP($B25,M$6)</f>
        <v>4/11/2015</v>
      </c>
      <c r="N25" s="39" t="str">
        <f>_xll.BDP($B25,N$6)</f>
        <v>4/4/2015</v>
      </c>
      <c r="O25" s="25" t="str">
        <f>_xll.BDP($B25,O$6)</f>
        <v>Weekly on Friday</v>
      </c>
      <c r="P25" s="39" t="str">
        <f>_xll.BDP($B25,P$6)</f>
        <v>4/23/2015</v>
      </c>
      <c r="Q25" s="39">
        <f t="shared" si="1"/>
        <v>42117</v>
      </c>
      <c r="R25" s="25" t="str">
        <f>_xll.BDP($B25,R$6)</f>
        <v>8:30:00 AM</v>
      </c>
      <c r="S25" s="25">
        <f>_xll.BDP($B25,S$6)</f>
        <v>98.412700000000001</v>
      </c>
      <c r="T25" s="25" t="str">
        <f>_xll.BDP($B25,T$6)</f>
        <v>United States</v>
      </c>
      <c r="U25" s="25" t="str">
        <f>_xll.BDP($B25,U$6)</f>
        <v>Weekly initial jobless claims is the actual number of people who have filed for Unemployment benefits for the first time. Following five (5) eligibility criteria must be met in order to file for unemployment benefits: 1. Meet the requirements of time worked during a 1 year period (full time or not).  2.  Become unemployed through no fault of your own (cannot be fired).  3. Must be able to work; no physical or mental holdbacks.  4.  Must be available for work.  5.  Must be actively seeking work.</v>
      </c>
    </row>
    <row r="26" spans="2:21" ht="20.100000000000001" customHeight="1" x14ac:dyDescent="0.25">
      <c r="B26" s="20" t="s">
        <v>151</v>
      </c>
      <c r="C26" s="25" t="str">
        <f>_xll.BDP($B26,C$6)</f>
        <v>US Continuing Jobless Claims SA</v>
      </c>
      <c r="D26" s="36" t="str">
        <f t="shared" si="0"/>
        <v>INJCSP Index</v>
      </c>
      <c r="E26" s="37">
        <f>_xll.BDP($B26,E$6)</f>
        <v>68.888900000000007</v>
      </c>
      <c r="F26" s="25" t="str">
        <f>_xll.BDP($B26,F$6)</f>
        <v>US Continuing Jobless Claims S</v>
      </c>
      <c r="G26" s="38">
        <f>_xll.BDP($B26,G$6)</f>
        <v>2268</v>
      </c>
      <c r="H26" s="38">
        <f>_xll.BDP($B26,H$6)</f>
        <v>2289.5</v>
      </c>
      <c r="I26" s="38">
        <f>_xll.BDP($B26,I$6)</f>
        <v>2308</v>
      </c>
      <c r="J26" s="25" t="str">
        <f>_xll.BDP($B26,J$6)</f>
        <v>Thousand</v>
      </c>
      <c r="K26" s="25" t="str">
        <f>_xll.BDP($B26,K$6)</f>
        <v>Units/Persons SA</v>
      </c>
      <c r="L26" s="25" t="str">
        <f>_xll.BDP($B26,L$6)</f>
        <v>Apr 11</v>
      </c>
      <c r="M26" s="39" t="str">
        <f>_xll.BDP($B26,M$6)</f>
        <v>4/4/2015</v>
      </c>
      <c r="N26" s="39" t="str">
        <f>_xll.BDP($B26,N$6)</f>
        <v>3/28/2015</v>
      </c>
      <c r="O26" s="25" t="str">
        <f>_xll.BDP($B26,O$6)</f>
        <v>Weekly on Friday</v>
      </c>
      <c r="P26" s="39" t="str">
        <f>_xll.BDP($B26,P$6)</f>
        <v>4/23/2015</v>
      </c>
      <c r="Q26" s="39">
        <f t="shared" si="1"/>
        <v>42117</v>
      </c>
      <c r="R26" s="25" t="str">
        <f>_xll.BDP($B26,R$6)</f>
        <v>8:30:00 AM</v>
      </c>
      <c r="S26" s="25">
        <f>_xll.BDP($B26,S$6)</f>
        <v>68.888900000000007</v>
      </c>
      <c r="T26" s="25" t="str">
        <f>_xll.BDP($B26,T$6)</f>
        <v>United States</v>
      </c>
      <c r="U26" s="25" t="str">
        <f>_xll.BDP($B26,U$6)</f>
        <v>Also known as insured unemployment.  This is an actual of the number of individuals who are unemployed and are currently receiving unemployment benefits. These are the number of people who filed for unemployment benefits at least two weeks ago. Weekly initial jobless claims is the number of people who have filed for unemployment benefits for the first time.  To file a claim you must be eligible and meet five (5) guidelines.  1. Meet the requirements of time worked during a 1 year period (full time or not).  2.  Become unemployed through no fault of your own (cannot be fired).  3. Must be able to work; no physical or mental holdbacks.  4.  Must be available for work.  5.  Must be actively seeking work.</v>
      </c>
    </row>
    <row r="27" spans="2:21" ht="20.100000000000001" customHeight="1" x14ac:dyDescent="0.25">
      <c r="B27" s="20" t="s">
        <v>121</v>
      </c>
      <c r="C27" s="25" t="str">
        <f>_xll.BDP($B27,C$6)</f>
        <v>Markit US Manufacturing PMI SA</v>
      </c>
      <c r="D27" s="36" t="str">
        <f t="shared" si="0"/>
        <v>MPMIUSMA Index</v>
      </c>
      <c r="E27" s="37">
        <f>_xll.BDP($B27,E$6)</f>
        <v>90</v>
      </c>
      <c r="F27" s="25" t="str">
        <f>_xll.BDP($B27,F$6)</f>
        <v>Markit US Manufacturing PMI SA</v>
      </c>
      <c r="G27" s="38">
        <f>_xll.BDP($B27,G$6)</f>
        <v>55.7</v>
      </c>
      <c r="H27" s="38">
        <f>_xll.BDP($B27,H$6)</f>
        <v>55.6</v>
      </c>
      <c r="I27" s="38">
        <f>_xll.BDP($B27,I$6)</f>
        <v>55.1</v>
      </c>
      <c r="J27" s="25" t="str">
        <f>_xll.BDP($B27,J$6)</f>
        <v>None</v>
      </c>
      <c r="K27" s="25" t="str">
        <f>_xll.BDP($B27,K$6)</f>
        <v>% Balance/Diffusion Index SA</v>
      </c>
      <c r="L27" s="25" t="str">
        <f>_xll.BDP($B27,L$6)</f>
        <v>Apr P</v>
      </c>
      <c r="M27" s="39" t="str">
        <f>_xll.BDP($B27,M$6)</f>
        <v>3/31/2015</v>
      </c>
      <c r="N27" s="39" t="str">
        <f>_xll.BDP($B27,N$6)</f>
        <v>3/31/2015</v>
      </c>
      <c r="O27" s="25" t="str">
        <f>_xll.BDP($B27,O$6)</f>
        <v>Monthly</v>
      </c>
      <c r="P27" s="39" t="str">
        <f>_xll.BDP($B27,P$6)</f>
        <v>4/23/2015</v>
      </c>
      <c r="Q27" s="39">
        <f t="shared" si="1"/>
        <v>42117</v>
      </c>
      <c r="R27" s="25" t="str">
        <f>_xll.BDP($B27,R$6)</f>
        <v>9:45:00 AM</v>
      </c>
      <c r="S27" s="25">
        <f>_xll.BDP($B27,S$6)</f>
        <v>90</v>
      </c>
      <c r="T27" s="25" t="str">
        <f>_xll.BDP($B27,T$6)</f>
        <v>United States</v>
      </c>
      <c r="U27" s="25" t="str">
        <f>_xll.BDP($B27,U$6)</f>
        <v>#N/A Field Not Applicable</v>
      </c>
    </row>
    <row r="28" spans="2:21" ht="20.100000000000001" customHeight="1" x14ac:dyDescent="0.25">
      <c r="B28" s="20" t="s">
        <v>416</v>
      </c>
      <c r="C28" s="25" t="str">
        <f>_xll.BDP($B28,C$6)</f>
        <v>Kansas City Federal Reserve SA Composite Index</v>
      </c>
      <c r="D28" s="36" t="str">
        <f t="shared" si="0"/>
        <v>KCLSSACI Index</v>
      </c>
      <c r="E28" s="37">
        <f>_xll.BDP($B28,E$6)</f>
        <v>18.254000000000001</v>
      </c>
      <c r="F28" s="25" t="str">
        <f>_xll.BDP($B28,F$6)</f>
        <v>Kansas City Federal Reserve SA</v>
      </c>
      <c r="G28" s="38">
        <f>_xll.BDP($B28,G$6)</f>
        <v>-4</v>
      </c>
      <c r="H28" s="38">
        <f>_xll.BDP($B28,H$6)</f>
        <v>-2</v>
      </c>
      <c r="I28" s="38">
        <f>_xll.BDP($B28,I$6)</f>
        <v>1</v>
      </c>
      <c r="J28" s="25" t="str">
        <f>_xll.BDP($B28,J$6)</f>
        <v>None</v>
      </c>
      <c r="K28" s="25" t="str">
        <f>_xll.BDP($B28,K$6)</f>
        <v>% Balance/Diffusion Index SA</v>
      </c>
      <c r="L28" s="25" t="str">
        <f>_xll.BDP($B28,L$6)</f>
        <v>Apr</v>
      </c>
      <c r="M28" s="39" t="str">
        <f>_xll.BDP($B28,M$6)</f>
        <v>3/31/2015</v>
      </c>
      <c r="N28" s="39" t="str">
        <f>_xll.BDP($B28,N$6)</f>
        <v>3/31/2015</v>
      </c>
      <c r="O28" s="25" t="str">
        <f>_xll.BDP($B28,O$6)</f>
        <v>Monthly</v>
      </c>
      <c r="P28" s="39" t="str">
        <f>_xll.BDP($B28,P$6)</f>
        <v>4/23/2015</v>
      </c>
      <c r="Q28" s="39">
        <f t="shared" si="1"/>
        <v>42117</v>
      </c>
      <c r="R28" s="25" t="str">
        <f>_xll.BDP($B28,R$6)</f>
        <v>11:00:00 AM</v>
      </c>
      <c r="S28" s="25">
        <f>_xll.BDP($B28,S$6)</f>
        <v>18.254000000000001</v>
      </c>
      <c r="T28" s="25" t="str">
        <f>_xll.BDP($B28,T$6)</f>
        <v>United States</v>
      </c>
      <c r="U28" s="25" t="str">
        <f>_xll.BDP($B28,U$6)</f>
        <v>This data began being published on a monthly basis, from quarterly, with the 7/31/01 figures.  Data prior to this is Seasonally Adjusted while going forward all figures are Not Seasonally Adjusted.  Comparisons prior to July 2001 with those after should be made with caution.</v>
      </c>
    </row>
    <row r="29" spans="2:21" ht="20.100000000000001" customHeight="1" x14ac:dyDescent="0.25">
      <c r="B29" s="20" t="s">
        <v>409</v>
      </c>
      <c r="C29" s="25" t="str">
        <f>_xll.BDP($B29,C$6)</f>
        <v>US New One Family Houses Sold Annual Total SAAR</v>
      </c>
      <c r="D29" s="36" t="str">
        <f t="shared" si="0"/>
        <v>NHSLTOT Index</v>
      </c>
      <c r="E29" s="37">
        <f>_xll.BDP($B29,E$6)</f>
        <v>90.476200000000006</v>
      </c>
      <c r="F29" s="25" t="str">
        <f>_xll.BDP($B29,F$6)</f>
        <v>US New One Family Houses Sold</v>
      </c>
      <c r="G29" s="38">
        <f>_xll.BDP($B29,G$6)</f>
        <v>539</v>
      </c>
      <c r="H29" s="38">
        <f>_xll.BDP($B29,H$6)</f>
        <v>510</v>
      </c>
      <c r="I29" s="38">
        <f>_xll.BDP($B29,I$6)</f>
        <v>500</v>
      </c>
      <c r="J29" s="25" t="str">
        <f>_xll.BDP($B29,J$6)</f>
        <v>Thousand</v>
      </c>
      <c r="K29" s="25" t="str">
        <f>_xll.BDP($B29,K$6)</f>
        <v>Units/Persons SAAR</v>
      </c>
      <c r="L29" s="25" t="str">
        <f>_xll.BDP($B29,L$6)</f>
        <v>Mar</v>
      </c>
      <c r="M29" s="39" t="str">
        <f>_xll.BDP($B29,M$6)</f>
        <v>2/28/2015</v>
      </c>
      <c r="N29" s="39" t="str">
        <f>_xll.BDP($B29,N$6)</f>
        <v>1/31/2015</v>
      </c>
      <c r="O29" s="25" t="str">
        <f>_xll.BDP($B29,O$6)</f>
        <v>Monthly</v>
      </c>
      <c r="P29" s="39" t="str">
        <f>_xll.BDP($B29,P$6)</f>
        <v>4/23/2015</v>
      </c>
      <c r="Q29" s="39">
        <f t="shared" si="1"/>
        <v>42117</v>
      </c>
      <c r="R29" s="25" t="str">
        <f>_xll.BDP($B29,R$6)</f>
        <v>10:00:00 AM</v>
      </c>
      <c r="S29" s="25">
        <f>_xll.BDP($B29,S$6)</f>
        <v>90.476200000000006</v>
      </c>
      <c r="T29" s="25" t="str">
        <f>_xll.BDP($B29,T$6)</f>
        <v>United States</v>
      </c>
      <c r="U29" s="25" t="str">
        <f>_xll.BDP($B29,U$6)</f>
        <v>As per the U.S. Commerce Departments Bureau of the Census, Median Sales and Average Sales for New One-Family Houses in dollars, as well as housing units sold and units for sale at the end of period are provided at ALLX NHSL &lt;GO&gt; for US totals as well as broken down into regions Northeast, Midwest, South and West.      Data is seasonally adjusted annual rates, put out by the US Dept. of Commerce's bureau of the Census and the US Dep't of Housing and Urban Development.</v>
      </c>
    </row>
    <row r="30" spans="2:21" ht="20.100000000000001" customHeight="1" x14ac:dyDescent="0.25">
      <c r="B30" s="20" t="s">
        <v>412</v>
      </c>
      <c r="C30" s="25" t="str">
        <f>_xll.BDP($B30,C$6)</f>
        <v>US New One Family Houses Sold Annual Total MoM SA</v>
      </c>
      <c r="D30" s="36" t="str">
        <f t="shared" si="0"/>
        <v>NHSLCHNG Index</v>
      </c>
      <c r="E30" s="37">
        <f>_xll.BDP($B30,E$6)</f>
        <v>52.381</v>
      </c>
      <c r="F30" s="25" t="str">
        <f>_xll.BDP($B30,F$6)</f>
        <v>US New One Family Houses Sold</v>
      </c>
      <c r="G30" s="38">
        <f>_xll.BDP($B30,G$6)</f>
        <v>7.8</v>
      </c>
      <c r="H30" s="38">
        <f>_xll.BDP($B30,H$6)</f>
        <v>-5.4</v>
      </c>
      <c r="I30" s="38">
        <f>_xll.BDP($B30,I$6)</f>
        <v>4.4000000000000004</v>
      </c>
      <c r="J30" s="25" t="str">
        <f>_xll.BDP($B30,J$6)</f>
        <v>None</v>
      </c>
      <c r="K30" s="25" t="str">
        <f>_xll.BDP($B30,K$6)</f>
        <v>MoM% SA</v>
      </c>
      <c r="L30" s="25" t="str">
        <f>_xll.BDP($B30,L$6)</f>
        <v>Mar</v>
      </c>
      <c r="M30" s="39" t="str">
        <f>_xll.BDP($B30,M$6)</f>
        <v>2/28/2015</v>
      </c>
      <c r="N30" s="39" t="str">
        <f>_xll.BDP($B30,N$6)</f>
        <v>1/31/2015</v>
      </c>
      <c r="O30" s="25" t="str">
        <f>_xll.BDP($B30,O$6)</f>
        <v>Monthly</v>
      </c>
      <c r="P30" s="39" t="str">
        <f>_xll.BDP($B30,P$6)</f>
        <v>4/23/2015</v>
      </c>
      <c r="Q30" s="39">
        <f t="shared" si="1"/>
        <v>42117</v>
      </c>
      <c r="R30" s="25" t="str">
        <f>_xll.BDP($B30,R$6)</f>
        <v>10:00:00 AM</v>
      </c>
      <c r="S30" s="25">
        <f>_xll.BDP($B30,S$6)</f>
        <v>52.381</v>
      </c>
      <c r="T30" s="25" t="str">
        <f>_xll.BDP($B30,T$6)</f>
        <v>United States</v>
      </c>
      <c r="U30" s="25" t="str">
        <f>_xll.BDP($B30,U$6)</f>
        <v>As per the U.S. Commerce Departments Bureau of the Census, Median Sales and Average Sales for New One-Family Houses in dollars, as well as housing units sold and units for sale at the end of period are provided at ALLX NHSL &lt;GO&gt; for US totals as well as broken down into regions Northeast, Midwest, South and West.</v>
      </c>
    </row>
    <row r="31" spans="2:21" ht="20.100000000000001" customHeight="1" x14ac:dyDescent="0.25">
      <c r="B31" s="20" t="s">
        <v>420</v>
      </c>
      <c r="C31" s="25" t="str">
        <f>_xll.BDP($B31,C$6)</f>
        <v>US Durable Goods New Orders Industries MoM SA</v>
      </c>
      <c r="D31" s="36" t="str">
        <f t="shared" si="0"/>
        <v>DGNOCHNG Index</v>
      </c>
      <c r="E31" s="37">
        <f>_xll.BDP($B31,E$6)</f>
        <v>92.063500000000005</v>
      </c>
      <c r="F31" s="25" t="str">
        <f>_xll.BDP($B31,F$6)</f>
        <v>US Durable Goods New Orders In</v>
      </c>
      <c r="G31" s="38">
        <f>_xll.BDP($B31,G$6)</f>
        <v>-1.4</v>
      </c>
      <c r="H31" s="38">
        <f>_xll.BDP($B31,H$6)</f>
        <v>0.6</v>
      </c>
      <c r="I31" s="38">
        <f>_xll.BDP($B31,I$6)</f>
        <v>1.9</v>
      </c>
      <c r="J31" s="25" t="str">
        <f>_xll.BDP($B31,J$6)</f>
        <v>None</v>
      </c>
      <c r="K31" s="25" t="str">
        <f>_xll.BDP($B31,K$6)</f>
        <v>MoM% SA</v>
      </c>
      <c r="L31" s="25" t="str">
        <f>_xll.BDP($B31,L$6)</f>
        <v>Mar</v>
      </c>
      <c r="M31" s="39" t="str">
        <f>_xll.BDP($B31,M$6)</f>
        <v>2/28/2015</v>
      </c>
      <c r="N31" s="39" t="str">
        <f>_xll.BDP($B31,N$6)</f>
        <v>1/31/2015</v>
      </c>
      <c r="O31" s="25" t="str">
        <f>_xll.BDP($B31,O$6)</f>
        <v>Monthly</v>
      </c>
      <c r="P31" s="39" t="str">
        <f>_xll.BDP($B31,P$6)</f>
        <v>4/24/2015</v>
      </c>
      <c r="Q31" s="39">
        <f t="shared" si="1"/>
        <v>42118</v>
      </c>
      <c r="R31" s="25" t="str">
        <f>_xll.BDP($B31,R$6)</f>
        <v>8:30:00 AM</v>
      </c>
      <c r="S31" s="25">
        <f>_xll.BDP($B31,S$6)</f>
        <v>92.063500000000005</v>
      </c>
      <c r="T31" s="25" t="str">
        <f>_xll.BDP($B31,T$6)</f>
        <v>United States</v>
      </c>
      <c r="U31" s="25" t="str">
        <f>_xll.BDP($B31,U$6)</f>
        <v>Type FODG &lt;GO&gt; for more data from the Census Bureau's report on durable goods, manufacturers' shipments, inventories and orders.                                Please note: This index gets revised with the Factory Orders release {ALLX TMNO}. The Durable Goods Order release on ECO reflects the originally reported figures.  Please note that semiconductor figures will no longer be included in this series due to a lack of semiconductor manufacturers participation.  In 2001, figures from January 1992 to present were revised using the North American Industry Classification System (NAICS).  For old data series, containing data prior to 1992, please see {ODGOCHNG Index DES&lt;GO&gt;}.</v>
      </c>
    </row>
    <row r="32" spans="2:21" ht="20.100000000000001" customHeight="1" x14ac:dyDescent="0.25">
      <c r="B32" s="20" t="s">
        <v>423</v>
      </c>
      <c r="C32" s="25" t="str">
        <f>_xll.BDP($B32,C$6)</f>
        <v>US Durable Goods New Orders Total ex Transportation MoM SA</v>
      </c>
      <c r="D32" s="36" t="str">
        <f t="shared" si="0"/>
        <v>DGNOXTCH Index</v>
      </c>
      <c r="E32" s="37">
        <f>_xll.BDP($B32,E$6)</f>
        <v>73.650800000000004</v>
      </c>
      <c r="F32" s="25" t="str">
        <f>_xll.BDP($B32,F$6)</f>
        <v>US Durable Goods New Orders To</v>
      </c>
      <c r="G32" s="38">
        <f>_xll.BDP($B32,G$6)</f>
        <v>-0.6</v>
      </c>
      <c r="H32" s="38">
        <f>_xll.BDP($B32,H$6)</f>
        <v>0.3</v>
      </c>
      <c r="I32" s="38">
        <f>_xll.BDP($B32,I$6)</f>
        <v>-0.9</v>
      </c>
      <c r="J32" s="25" t="str">
        <f>_xll.BDP($B32,J$6)</f>
        <v>None</v>
      </c>
      <c r="K32" s="25" t="str">
        <f>_xll.BDP($B32,K$6)</f>
        <v>MoM% SA</v>
      </c>
      <c r="L32" s="25" t="str">
        <f>_xll.BDP($B32,L$6)</f>
        <v>Mar</v>
      </c>
      <c r="M32" s="39" t="str">
        <f>_xll.BDP($B32,M$6)</f>
        <v>2/28/2015</v>
      </c>
      <c r="N32" s="39" t="str">
        <f>_xll.BDP($B32,N$6)</f>
        <v>1/31/2015</v>
      </c>
      <c r="O32" s="25" t="str">
        <f>_xll.BDP($B32,O$6)</f>
        <v>Monthly</v>
      </c>
      <c r="P32" s="39" t="str">
        <f>_xll.BDP($B32,P$6)</f>
        <v>4/24/2015</v>
      </c>
      <c r="Q32" s="39">
        <f t="shared" si="1"/>
        <v>42118</v>
      </c>
      <c r="R32" s="25" t="str">
        <f>_xll.BDP($B32,R$6)</f>
        <v>8:30:00 AM</v>
      </c>
      <c r="S32" s="25">
        <f>_xll.BDP($B32,S$6)</f>
        <v>73.650800000000004</v>
      </c>
      <c r="T32" s="25" t="str">
        <f>_xll.BDP($B32,T$6)</f>
        <v>United States</v>
      </c>
      <c r="U32" s="25" t="str">
        <f>_xll.BDP($B32,U$6)</f>
        <v>Type FODG &lt;GO&gt; for more data from the Census Bureau's report on durable goods, manufacturers' shipments, inventories and orders.                                Please note: This index gets revised with the Factory Orders release {ALLX TMNO}. The Durable Goods Order release on ECO reflects the originally reported figures.  Please note that semiconductor figures will no longer be included in this series due to a lack of semiconductor manufacturers participation.  In 2001, figures from January 1992 to present were revised using the North American Industry Classification System (NAICS).  Data prior to January 1992 uses the Standard Industrial Classifciation (SIC) so comparisons of figures prior to 1992 with those after 1992 should be made with caution.</v>
      </c>
    </row>
    <row r="33" spans="2:21" ht="20.100000000000001" customHeight="1" x14ac:dyDescent="0.25">
      <c r="B33" s="20" t="s">
        <v>426</v>
      </c>
      <c r="C33" s="25" t="str">
        <f>_xll.BDP($B33,C$6)</f>
        <v>Capital Goods New Orders Nondefense Ex Aircraft &amp; Parts MoM</v>
      </c>
      <c r="D33" s="36" t="str">
        <f t="shared" si="0"/>
        <v>CGNOXAI% Index</v>
      </c>
      <c r="E33" s="37">
        <f>_xll.BDP($B33,E$6)</f>
        <v>60.317500000000003</v>
      </c>
      <c r="F33" s="25" t="str">
        <f>_xll.BDP($B33,F$6)</f>
        <v>Capital Goods New Orders Nonde</v>
      </c>
      <c r="G33" s="38">
        <f>_xll.BDP($B33,G$6)</f>
        <v>-1.1000000000000001</v>
      </c>
      <c r="H33" s="38">
        <f>_xll.BDP($B33,H$6)</f>
        <v>0.3</v>
      </c>
      <c r="I33" s="38">
        <f>_xll.BDP($B33,I$6)</f>
        <v>-0.3</v>
      </c>
      <c r="J33" s="25" t="str">
        <f>_xll.BDP($B33,J$6)</f>
        <v>None</v>
      </c>
      <c r="K33" s="25" t="str">
        <f>_xll.BDP($B33,K$6)</f>
        <v>MoM% SA</v>
      </c>
      <c r="L33" s="25" t="str">
        <f>_xll.BDP($B33,L$6)</f>
        <v>Mar</v>
      </c>
      <c r="M33" s="39" t="str">
        <f>_xll.BDP($B33,M$6)</f>
        <v>2/28/2015</v>
      </c>
      <c r="N33" s="39" t="str">
        <f>_xll.BDP($B33,N$6)</f>
        <v>1/31/2015</v>
      </c>
      <c r="O33" s="25" t="str">
        <f>_xll.BDP($B33,O$6)</f>
        <v>Monthly</v>
      </c>
      <c r="P33" s="39" t="str">
        <f>_xll.BDP($B33,P$6)</f>
        <v>4/24/2015</v>
      </c>
      <c r="Q33" s="39">
        <f t="shared" si="1"/>
        <v>42118</v>
      </c>
      <c r="R33" s="25" t="str">
        <f>_xll.BDP($B33,R$6)</f>
        <v>8:30:00 AM</v>
      </c>
      <c r="S33" s="25">
        <f>_xll.BDP($B33,S$6)</f>
        <v>60.317500000000003</v>
      </c>
      <c r="T33" s="25" t="str">
        <f>_xll.BDP($B33,T$6)</f>
        <v>United States</v>
      </c>
      <c r="U33" s="25" t="str">
        <f>_xll.BDP($B33,U$6)</f>
        <v>Figures from Feb. 1992 to present have been revised using the North American Industry Classification System (NAICS).  Data prior to Jan. 1992 uses the Standard Industrial Classification.  The NAICS figures make statistics comparable across North America and recognizes the changing makeup of the U.S. economy.  Comparison of figures prior to 1992 with those after 1992 should be made with caution.</v>
      </c>
    </row>
    <row r="34" spans="2:21" ht="20.100000000000001" customHeight="1" x14ac:dyDescent="0.25">
      <c r="B34" s="20" t="s">
        <v>429</v>
      </c>
      <c r="C34" s="25" t="str">
        <f>_xll.BDP($B34,C$6)</f>
        <v>Capital Goods Shipments Ex Air %</v>
      </c>
      <c r="D34" s="36" t="str">
        <f t="shared" si="0"/>
        <v>CGSHXAI% Index</v>
      </c>
      <c r="E34" s="37">
        <f>_xll.BDP($B34,E$6)</f>
        <v>59.523800000000001</v>
      </c>
      <c r="F34" s="25" t="str">
        <f>_xll.BDP($B34,F$6)</f>
        <v>Capital Goods Shipments Ex Air</v>
      </c>
      <c r="G34" s="38">
        <f>_xll.BDP($B34,G$6)</f>
        <v>0.3</v>
      </c>
      <c r="H34" s="38">
        <f>_xll.BDP($B34,H$6)</f>
        <v>0.6</v>
      </c>
      <c r="I34" s="38">
        <f>_xll.BDP($B34,I$6)</f>
        <v>-0.6</v>
      </c>
      <c r="J34" s="25" t="str">
        <f>_xll.BDP($B34,J$6)</f>
        <v>None</v>
      </c>
      <c r="K34" s="25" t="str">
        <f>_xll.BDP($B34,K$6)</f>
        <v>MoM% SA</v>
      </c>
      <c r="L34" s="25" t="str">
        <f>_xll.BDP($B34,L$6)</f>
        <v>Mar</v>
      </c>
      <c r="M34" s="39" t="str">
        <f>_xll.BDP($B34,M$6)</f>
        <v>2/28/2015</v>
      </c>
      <c r="N34" s="39" t="str">
        <f>_xll.BDP($B34,N$6)</f>
        <v>1/31/2015</v>
      </c>
      <c r="O34" s="25" t="str">
        <f>_xll.BDP($B34,O$6)</f>
        <v>Monthly</v>
      </c>
      <c r="P34" s="39" t="str">
        <f>_xll.BDP($B34,P$6)</f>
        <v>4/24/2015</v>
      </c>
      <c r="Q34" s="39">
        <f t="shared" si="1"/>
        <v>42118</v>
      </c>
      <c r="R34" s="25" t="str">
        <f>_xll.BDP($B34,R$6)</f>
        <v>8:30:00 AM</v>
      </c>
      <c r="S34" s="25">
        <f>_xll.BDP($B34,S$6)</f>
        <v>59.523800000000001</v>
      </c>
      <c r="T34" s="25" t="str">
        <f>_xll.BDP($B34,T$6)</f>
        <v>United States</v>
      </c>
      <c r="U34" s="25" t="str">
        <f>_xll.BDP($B34,U$6)</f>
        <v>Figures from Jan. 1992 to present have been revised using the                   North American Industry Classification System (NAICS). Data                     prior to Jan. 1992 uses the Standard Industrial Classification.                 The NAICS figures make statistics comparable across North                       America and recognizes the changing makeup of the U.S. economy.                 Comparison of figures prior to 1992 with those after 1992                       should be made with caution.</v>
      </c>
    </row>
    <row r="35" spans="2:21" ht="20.100000000000001" customHeight="1" x14ac:dyDescent="0.25">
      <c r="B35" s="20" t="s">
        <v>205</v>
      </c>
      <c r="C35" s="25" t="str">
        <f>_xll.BDP($B35,C$6)</f>
        <v>Markit US Composite PMI SA</v>
      </c>
      <c r="D35" s="36" t="str">
        <f t="shared" si="0"/>
        <v>MPMIUSCA Index</v>
      </c>
      <c r="E35" s="37">
        <f>_xll.BDP($B35,E$6)</f>
        <v>70</v>
      </c>
      <c r="F35" s="25" t="str">
        <f>_xll.BDP($B35,F$6)</f>
        <v>Markit US Composite PMI SA</v>
      </c>
      <c r="G35" s="38">
        <f>_xll.BDP($B35,G$6)</f>
        <v>59.2</v>
      </c>
      <c r="H35" s="38" t="str">
        <f>_xll.BDP($B35,H$6)</f>
        <v>#N/A N/A</v>
      </c>
      <c r="I35" s="38">
        <f>_xll.BDP($B35,I$6)</f>
        <v>57.2</v>
      </c>
      <c r="J35" s="25" t="str">
        <f>_xll.BDP($B35,J$6)</f>
        <v>None</v>
      </c>
      <c r="K35" s="25" t="str">
        <f>_xll.BDP($B35,K$6)</f>
        <v>% Balance/Diffusion Index SA</v>
      </c>
      <c r="L35" s="25" t="str">
        <f>_xll.BDP($B35,L$6)</f>
        <v>Apr P</v>
      </c>
      <c r="M35" s="39" t="str">
        <f>_xll.BDP($B35,M$6)</f>
        <v>3/31/2015</v>
      </c>
      <c r="N35" s="39" t="str">
        <f>_xll.BDP($B35,N$6)</f>
        <v>3/31/2015</v>
      </c>
      <c r="O35" s="25" t="str">
        <f>_xll.BDP($B35,O$6)</f>
        <v>Monthly</v>
      </c>
      <c r="P35" s="39" t="str">
        <f>_xll.BDP($B35,P$6)</f>
        <v>4/27/2015</v>
      </c>
      <c r="Q35" s="39">
        <f t="shared" si="1"/>
        <v>42121</v>
      </c>
      <c r="R35" s="25" t="str">
        <f>_xll.BDP($B35,R$6)</f>
        <v>9:45:00 AM</v>
      </c>
      <c r="S35" s="25">
        <f>_xll.BDP($B35,S$6)</f>
        <v>70</v>
      </c>
      <c r="T35" s="25" t="str">
        <f>_xll.BDP($B35,T$6)</f>
        <v>United States</v>
      </c>
      <c r="U35" s="25" t="str">
        <f>_xll.BDP($B35,U$6)</f>
        <v>#N/A Field Not Applicable</v>
      </c>
    </row>
    <row r="36" spans="2:21" ht="20.100000000000001" customHeight="1" x14ac:dyDescent="0.25">
      <c r="B36" s="20" t="s">
        <v>208</v>
      </c>
      <c r="C36" s="25" t="str">
        <f>_xll.BDP($B36,C$6)</f>
        <v>Markit US Services PMI Business Activity SA</v>
      </c>
      <c r="D36" s="36" t="str">
        <f t="shared" si="0"/>
        <v>MPMIUSSA Index</v>
      </c>
      <c r="E36" s="37">
        <f>_xll.BDP($B36,E$6)</f>
        <v>70</v>
      </c>
      <c r="F36" s="25" t="str">
        <f>_xll.BDP($B36,F$6)</f>
        <v>Markit US Services PMI Busines</v>
      </c>
      <c r="G36" s="38">
        <f>_xll.BDP($B36,G$6)</f>
        <v>59.2</v>
      </c>
      <c r="H36" s="38" t="str">
        <f>_xll.BDP($B36,H$6)</f>
        <v>#N/A N/A</v>
      </c>
      <c r="I36" s="38">
        <f>_xll.BDP($B36,I$6)</f>
        <v>57.1</v>
      </c>
      <c r="J36" s="25" t="str">
        <f>_xll.BDP($B36,J$6)</f>
        <v>None</v>
      </c>
      <c r="K36" s="25" t="str">
        <f>_xll.BDP($B36,K$6)</f>
        <v>% Balance/Diffusion Index SA</v>
      </c>
      <c r="L36" s="25" t="str">
        <f>_xll.BDP($B36,L$6)</f>
        <v>Apr P</v>
      </c>
      <c r="M36" s="39" t="str">
        <f>_xll.BDP($B36,M$6)</f>
        <v>3/31/2015</v>
      </c>
      <c r="N36" s="39" t="str">
        <f>_xll.BDP($B36,N$6)</f>
        <v>3/31/2015</v>
      </c>
      <c r="O36" s="25" t="str">
        <f>_xll.BDP($B36,O$6)</f>
        <v>Monthly</v>
      </c>
      <c r="P36" s="39" t="str">
        <f>_xll.BDP($B36,P$6)</f>
        <v>4/27/2015</v>
      </c>
      <c r="Q36" s="39">
        <f t="shared" si="1"/>
        <v>42121</v>
      </c>
      <c r="R36" s="25" t="str">
        <f>_xll.BDP($B36,R$6)</f>
        <v>9:45:00 AM</v>
      </c>
      <c r="S36" s="25">
        <f>_xll.BDP($B36,S$6)</f>
        <v>70</v>
      </c>
      <c r="T36" s="25" t="str">
        <f>_xll.BDP($B36,T$6)</f>
        <v>United States</v>
      </c>
      <c r="U36" s="25" t="str">
        <f>_xll.BDP($B36,U$6)</f>
        <v>#N/A Field Not Applicable</v>
      </c>
    </row>
    <row r="37" spans="2:21" ht="20.100000000000001" customHeight="1" x14ac:dyDescent="0.25">
      <c r="B37" s="20" t="s">
        <v>75</v>
      </c>
      <c r="C37" s="25" t="str">
        <f>_xll.BDP($B37,C$6)</f>
        <v>Dallas Fed Manufacturing Outlook Level Of General Business Activity</v>
      </c>
      <c r="D37" s="36" t="str">
        <f t="shared" si="0"/>
        <v>DFEDGBA Index</v>
      </c>
      <c r="E37" s="37">
        <f>_xll.BDP($B37,E$6)</f>
        <v>65.079400000000007</v>
      </c>
      <c r="F37" s="25" t="str">
        <f>_xll.BDP($B37,F$6)</f>
        <v>Dallas Fed Manufacturing Outlo</v>
      </c>
      <c r="G37" s="38">
        <f>_xll.BDP($B37,G$6)</f>
        <v>-17.399999999999999</v>
      </c>
      <c r="H37" s="38">
        <f>_xll.BDP($B37,H$6)</f>
        <v>-12</v>
      </c>
      <c r="I37" s="38">
        <f>_xll.BDP($B37,I$6)</f>
        <v>-11.2</v>
      </c>
      <c r="J37" s="25" t="str">
        <f>_xll.BDP($B37,J$6)</f>
        <v>None</v>
      </c>
      <c r="K37" s="25" t="str">
        <f>_xll.BDP($B37,K$6)</f>
        <v>% Balance/Diffusion Index SA</v>
      </c>
      <c r="L37" s="25" t="str">
        <f>_xll.BDP($B37,L$6)</f>
        <v>Apr</v>
      </c>
      <c r="M37" s="39" t="str">
        <f>_xll.BDP($B37,M$6)</f>
        <v>3/31/2015</v>
      </c>
      <c r="N37" s="39" t="str">
        <f>_xll.BDP($B37,N$6)</f>
        <v>3/31/2015</v>
      </c>
      <c r="O37" s="25" t="str">
        <f>_xll.BDP($B37,O$6)</f>
        <v>Monthly</v>
      </c>
      <c r="P37" s="39" t="str">
        <f>_xll.BDP($B37,P$6)</f>
        <v>4/27/2015</v>
      </c>
      <c r="Q37" s="39">
        <f t="shared" si="1"/>
        <v>42121</v>
      </c>
      <c r="R37" s="25" t="str">
        <f>_xll.BDP($B37,R$6)</f>
        <v>10:30:00 AM</v>
      </c>
      <c r="S37" s="25">
        <f>_xll.BDP($B37,S$6)</f>
        <v>65.079400000000007</v>
      </c>
      <c r="T37" s="25" t="str">
        <f>_xll.BDP($B37,T$6)</f>
        <v>United States</v>
      </c>
      <c r="U37" s="25" t="str">
        <f>_xll.BDP($B37,U$6)</f>
        <v>#N/A Field Not Applicable</v>
      </c>
    </row>
    <row r="38" spans="2:21" ht="20.100000000000001" customHeight="1" x14ac:dyDescent="0.25">
      <c r="B38" s="20" t="s">
        <v>89</v>
      </c>
      <c r="C38" s="25" t="str">
        <f>_xll.BDP($B38,C$6)</f>
        <v>S&amp;P/Case-Shiller Composite-20 Home Price Index Not Seasonally Adjusted</v>
      </c>
      <c r="D38" s="36" t="str">
        <f t="shared" si="0"/>
        <v>SPCS20 Index</v>
      </c>
      <c r="E38" s="37">
        <f>_xll.BDP($B38,E$6)</f>
        <v>55.555599999999998</v>
      </c>
      <c r="F38" s="25" t="str">
        <f>_xll.BDP($B38,F$6)</f>
        <v>S&amp;P/Case-Shiller Composite-20</v>
      </c>
      <c r="G38" s="38">
        <f>_xll.BDP($B38,G$6)</f>
        <v>172.94</v>
      </c>
      <c r="H38" s="38" t="str">
        <f>_xll.BDP($B38,H$6)</f>
        <v>#N/A N/A</v>
      </c>
      <c r="I38" s="38">
        <f>_xll.BDP($B38,I$6)</f>
        <v>172.99</v>
      </c>
      <c r="J38" s="25" t="str">
        <f>_xll.BDP($B38,J$6)</f>
        <v>None</v>
      </c>
      <c r="K38" s="25" t="str">
        <f>_xll.BDP($B38,K$6)</f>
        <v>Index NSA</v>
      </c>
      <c r="L38" s="25" t="str">
        <f>_xll.BDP($B38,L$6)</f>
        <v>Feb</v>
      </c>
      <c r="M38" s="39" t="str">
        <f>_xll.BDP($B38,M$6)</f>
        <v>1/31/2015</v>
      </c>
      <c r="N38" s="39" t="str">
        <f>_xll.BDP($B38,N$6)</f>
        <v>12/31/2014</v>
      </c>
      <c r="O38" s="25" t="str">
        <f>_xll.BDP($B38,O$6)</f>
        <v>Monthly</v>
      </c>
      <c r="P38" s="39" t="str">
        <f>_xll.BDP($B38,P$6)</f>
        <v>4/28/2015</v>
      </c>
      <c r="Q38" s="39">
        <f t="shared" si="1"/>
        <v>42122</v>
      </c>
      <c r="R38" s="25" t="str">
        <f>_xll.BDP($B38,R$6)</f>
        <v>9:00:00 AM</v>
      </c>
      <c r="S38" s="25">
        <f>_xll.BDP($B38,S$6)</f>
        <v>55.555599999999998</v>
      </c>
      <c r="T38" s="25" t="str">
        <f>_xll.BDP($B38,T$6)</f>
        <v>United States</v>
      </c>
      <c r="U38" s="25" t="str">
        <f>_xll.BDP($B38,U$6)</f>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c>
    </row>
    <row r="39" spans="2:21" ht="20.100000000000001" customHeight="1" x14ac:dyDescent="0.25">
      <c r="B39" s="20" t="s">
        <v>86</v>
      </c>
      <c r="C39" s="25" t="str">
        <f>_xll.BDP($B39,C$6)</f>
        <v>S&amp;P/Case-Shiller Composite-20 City Home Price Index YoY</v>
      </c>
      <c r="D39" s="36" t="str">
        <f t="shared" ref="D39:D70" si="2">+B39</f>
        <v>SPCS20Y% Index</v>
      </c>
      <c r="E39" s="37">
        <f>_xll.BDP($B39,E$6)</f>
        <v>50.793700000000001</v>
      </c>
      <c r="F39" s="25" t="str">
        <f>_xll.BDP($B39,F$6)</f>
        <v>S&amp;P/Case-Shiller Composite-20</v>
      </c>
      <c r="G39" s="38">
        <f>_xll.BDP($B39,G$6)</f>
        <v>4.5600000000000005</v>
      </c>
      <c r="H39" s="38">
        <f>_xll.BDP($B39,H$6)</f>
        <v>4.6500000000000004</v>
      </c>
      <c r="I39" s="38">
        <f>_xll.BDP($B39,I$6)</f>
        <v>4.4400000000000004</v>
      </c>
      <c r="J39" s="25" t="str">
        <f>_xll.BDP($B39,J$6)</f>
        <v>None</v>
      </c>
      <c r="K39" s="25" t="str">
        <f>_xll.BDP($B39,K$6)</f>
        <v>YoY% NSA</v>
      </c>
      <c r="L39" s="25" t="str">
        <f>_xll.BDP($B39,L$6)</f>
        <v>Feb</v>
      </c>
      <c r="M39" s="39" t="str">
        <f>_xll.BDP($B39,M$6)</f>
        <v>1/31/2015</v>
      </c>
      <c r="N39" s="39" t="str">
        <f>_xll.BDP($B39,N$6)</f>
        <v>12/31/2014</v>
      </c>
      <c r="O39" s="25" t="str">
        <f>_xll.BDP($B39,O$6)</f>
        <v>Monthly</v>
      </c>
      <c r="P39" s="39" t="str">
        <f>_xll.BDP($B39,P$6)</f>
        <v>4/28/2015</v>
      </c>
      <c r="Q39" s="39">
        <f t="shared" ref="Q39:Q70" si="3">+DATE(YEAR(P39),MONTH(P39),DAY(P39))</f>
        <v>42122</v>
      </c>
      <c r="R39" s="25" t="str">
        <f>_xll.BDP($B39,R$6)</f>
        <v>9:00:00 AM</v>
      </c>
      <c r="S39" s="25">
        <f>_xll.BDP($B39,S$6)</f>
        <v>50.793700000000001</v>
      </c>
      <c r="T39" s="25" t="str">
        <f>_xll.BDP($B39,T$6)</f>
        <v>United States</v>
      </c>
      <c r="U39" s="25" t="str">
        <f>_xll.BDP($B39,U$6)</f>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c>
    </row>
    <row r="40" spans="2:21" ht="20.100000000000001" customHeight="1" x14ac:dyDescent="0.25">
      <c r="B40" s="20" t="s">
        <v>95</v>
      </c>
      <c r="C40" s="25" t="str">
        <f>_xll.BDP($B40,C$6)</f>
        <v>S&amp;P/Case-Shiller United States Home Price Index Monthly Data YoY % Change NSA</v>
      </c>
      <c r="D40" s="36" t="str">
        <f t="shared" si="2"/>
        <v>SPCSUSAY Index</v>
      </c>
      <c r="E40" s="37">
        <f>_xll.BDP($B40,E$6)</f>
        <v>34.9206</v>
      </c>
      <c r="F40" s="25" t="str">
        <f>_xll.BDP($B40,F$6)</f>
        <v>S&amp;P/Case-Shiller United States</v>
      </c>
      <c r="G40" s="38">
        <f>_xll.BDP($B40,G$6)</f>
        <v>4.47</v>
      </c>
      <c r="H40" s="38" t="str">
        <f>_xll.BDP($B40,H$6)</f>
        <v>#N/A N/A</v>
      </c>
      <c r="I40" s="38">
        <f>_xll.BDP($B40,I$6)</f>
        <v>4.58</v>
      </c>
      <c r="J40" s="25" t="str">
        <f>_xll.BDP($B40,J$6)</f>
        <v>None</v>
      </c>
      <c r="K40" s="25" t="str">
        <f>_xll.BDP($B40,K$6)</f>
        <v>YoY% NSA</v>
      </c>
      <c r="L40" s="25" t="str">
        <f>_xll.BDP($B40,L$6)</f>
        <v>Feb</v>
      </c>
      <c r="M40" s="39" t="str">
        <f>_xll.BDP($B40,M$6)</f>
        <v>1/31/2015</v>
      </c>
      <c r="N40" s="39" t="str">
        <f>_xll.BDP($B40,N$6)</f>
        <v>12/31/2014</v>
      </c>
      <c r="O40" s="25" t="str">
        <f>_xll.BDP($B40,O$6)</f>
        <v>Monthly</v>
      </c>
      <c r="P40" s="39" t="str">
        <f>_xll.BDP($B40,P$6)</f>
        <v>4/28/2015</v>
      </c>
      <c r="Q40" s="39">
        <f t="shared" si="3"/>
        <v>42122</v>
      </c>
      <c r="R40" s="25" t="str">
        <f>_xll.BDP($B40,R$6)</f>
        <v>9:00:00 AM</v>
      </c>
      <c r="S40" s="25">
        <f>_xll.BDP($B40,S$6)</f>
        <v>34.9206</v>
      </c>
      <c r="T40" s="25" t="str">
        <f>_xll.BDP($B40,T$6)</f>
        <v>United States</v>
      </c>
      <c r="U40" s="25" t="str">
        <f>_xll.BDP($B40,U$6)</f>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c>
    </row>
    <row r="41" spans="2:21" ht="20.100000000000001" customHeight="1" x14ac:dyDescent="0.25">
      <c r="B41" s="20" t="s">
        <v>98</v>
      </c>
      <c r="C41" s="25" t="str">
        <f>_xll.BDP($B41,C$6)</f>
        <v>S&amp;P/Case-Shiller United States Home Price Index Monthly Data NSA</v>
      </c>
      <c r="D41" s="36" t="str">
        <f t="shared" si="2"/>
        <v>SPCSUSA Index</v>
      </c>
      <c r="E41" s="37">
        <f>_xll.BDP($B41,E$6)</f>
        <v>33.333300000000001</v>
      </c>
      <c r="F41" s="25" t="str">
        <f>_xll.BDP($B41,F$6)</f>
        <v>S&amp;P/Case-Shiller United States</v>
      </c>
      <c r="G41" s="38">
        <f>_xll.BDP($B41,G$6)</f>
        <v>166.66</v>
      </c>
      <c r="H41" s="38" t="str">
        <f>_xll.BDP($B41,H$6)</f>
        <v>#N/A N/A</v>
      </c>
      <c r="I41" s="38">
        <f>_xll.BDP($B41,I$6)</f>
        <v>166.75</v>
      </c>
      <c r="J41" s="25" t="str">
        <f>_xll.BDP($B41,J$6)</f>
        <v>None</v>
      </c>
      <c r="K41" s="25" t="str">
        <f>_xll.BDP($B41,K$6)</f>
        <v>Index NSA</v>
      </c>
      <c r="L41" s="25" t="str">
        <f>_xll.BDP($B41,L$6)</f>
        <v>Feb</v>
      </c>
      <c r="M41" s="39" t="str">
        <f>_xll.BDP($B41,M$6)</f>
        <v>1/31/2015</v>
      </c>
      <c r="N41" s="39" t="str">
        <f>_xll.BDP($B41,N$6)</f>
        <v>12/31/2014</v>
      </c>
      <c r="O41" s="25" t="str">
        <f>_xll.BDP($B41,O$6)</f>
        <v>Monthly</v>
      </c>
      <c r="P41" s="39" t="str">
        <f>_xll.BDP($B41,P$6)</f>
        <v>4/28/2015</v>
      </c>
      <c r="Q41" s="39">
        <f t="shared" si="3"/>
        <v>42122</v>
      </c>
      <c r="R41" s="25" t="str">
        <f>_xll.BDP($B41,R$6)</f>
        <v>9:00:00 AM</v>
      </c>
      <c r="S41" s="25">
        <f>_xll.BDP($B41,S$6)</f>
        <v>33.333300000000001</v>
      </c>
      <c r="T41" s="25" t="str">
        <f>_xll.BDP($B41,T$6)</f>
        <v>United States</v>
      </c>
      <c r="U41" s="25" t="str">
        <f>_xll.BDP($B41,U$6)</f>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c>
    </row>
    <row r="42" spans="2:21" ht="20.100000000000001" customHeight="1" x14ac:dyDescent="0.25">
      <c r="B42" s="20" t="s">
        <v>83</v>
      </c>
      <c r="C42" s="25" t="str">
        <f>_xll.BDP($B42,C$6)</f>
        <v>S&amp;P/Case-Shiller Composite-20 City Home Price Index SA MOM % Change</v>
      </c>
      <c r="D42" s="36" t="str">
        <f t="shared" si="2"/>
        <v>SPCS20SM Index</v>
      </c>
      <c r="E42" s="37">
        <f>_xll.BDP($B42,E$6)</f>
        <v>29.365100000000002</v>
      </c>
      <c r="F42" s="25" t="str">
        <f>_xll.BDP($B42,F$6)</f>
        <v>S&amp;P/Case-Shiller Composite-20</v>
      </c>
      <c r="G42" s="38">
        <f>_xll.BDP($B42,G$6)</f>
        <v>0.87</v>
      </c>
      <c r="H42" s="38">
        <f>_xll.BDP($B42,H$6)</f>
        <v>0.8</v>
      </c>
      <c r="I42" s="38">
        <f>_xll.BDP($B42,I$6)</f>
        <v>0.91</v>
      </c>
      <c r="J42" s="25" t="str">
        <f>_xll.BDP($B42,J$6)</f>
        <v>None</v>
      </c>
      <c r="K42" s="25" t="str">
        <f>_xll.BDP($B42,K$6)</f>
        <v>MoM% SA</v>
      </c>
      <c r="L42" s="25" t="str">
        <f>_xll.BDP($B42,L$6)</f>
        <v>Feb</v>
      </c>
      <c r="M42" s="39" t="str">
        <f>_xll.BDP($B42,M$6)</f>
        <v>1/31/2015</v>
      </c>
      <c r="N42" s="39" t="str">
        <f>_xll.BDP($B42,N$6)</f>
        <v>12/31/2014</v>
      </c>
      <c r="O42" s="25" t="str">
        <f>_xll.BDP($B42,O$6)</f>
        <v>Monthly</v>
      </c>
      <c r="P42" s="39" t="str">
        <f>_xll.BDP($B42,P$6)</f>
        <v>4/28/2015</v>
      </c>
      <c r="Q42" s="39">
        <f t="shared" si="3"/>
        <v>42122</v>
      </c>
      <c r="R42" s="25" t="str">
        <f>_xll.BDP($B42,R$6)</f>
        <v>9:00:00 AM</v>
      </c>
      <c r="S42" s="25">
        <f>_xll.BDP($B42,S$6)</f>
        <v>29.365100000000002</v>
      </c>
      <c r="T42" s="25" t="str">
        <f>_xll.BDP($B42,T$6)</f>
        <v>United States</v>
      </c>
      <c r="U42" s="25" t="str">
        <f>_xll.BDP($B42,U$6)</f>
        <v>#N/A Field Not Applicable</v>
      </c>
    </row>
    <row r="43" spans="2:21" ht="20.100000000000001" customHeight="1" x14ac:dyDescent="0.25">
      <c r="B43" s="20" t="s">
        <v>92</v>
      </c>
      <c r="C43" s="25" t="str">
        <f>_xll.BDP($B43,C$6)</f>
        <v>S&amp;P/Case-Shiller United States Home Price Index Monthly Data MoM % Change SA</v>
      </c>
      <c r="D43" s="36" t="str">
        <f t="shared" si="2"/>
        <v>SPCSUSQS Index</v>
      </c>
      <c r="E43" s="37">
        <f>_xll.BDP($B43,E$6)</f>
        <v>1.5872999999999999</v>
      </c>
      <c r="F43" s="25" t="str">
        <f>_xll.BDP($B43,F$6)</f>
        <v>S&amp;P/Case-Shiller United States</v>
      </c>
      <c r="G43" s="38">
        <f>_xll.BDP($B43,G$6)</f>
        <v>0.56999999999999995</v>
      </c>
      <c r="H43" s="38" t="str">
        <f>_xll.BDP($B43,H$6)</f>
        <v>#N/A N/A</v>
      </c>
      <c r="I43" s="38">
        <f>_xll.BDP($B43,I$6)</f>
        <v>0.71</v>
      </c>
      <c r="J43" s="25" t="str">
        <f>_xll.BDP($B43,J$6)</f>
        <v>None</v>
      </c>
      <c r="K43" s="25" t="str">
        <f>_xll.BDP($B43,K$6)</f>
        <v>MoM% SA</v>
      </c>
      <c r="L43" s="25" t="str">
        <f>_xll.BDP($B43,L$6)</f>
        <v>Feb</v>
      </c>
      <c r="M43" s="39" t="str">
        <f>_xll.BDP($B43,M$6)</f>
        <v>1/31/2015</v>
      </c>
      <c r="N43" s="39" t="str">
        <f>_xll.BDP($B43,N$6)</f>
        <v>12/31/2014</v>
      </c>
      <c r="O43" s="25" t="str">
        <f>_xll.BDP($B43,O$6)</f>
        <v>Monthly</v>
      </c>
      <c r="P43" s="39" t="str">
        <f>_xll.BDP($B43,P$6)</f>
        <v>4/28/2015</v>
      </c>
      <c r="Q43" s="39">
        <f t="shared" si="3"/>
        <v>42122</v>
      </c>
      <c r="R43" s="25" t="str">
        <f>_xll.BDP($B43,R$6)</f>
        <v>9:00:00 AM</v>
      </c>
      <c r="S43" s="25">
        <f>_xll.BDP($B43,S$6)</f>
        <v>1.5872999999999999</v>
      </c>
      <c r="T43" s="25" t="str">
        <f>_xll.BDP($B43,T$6)</f>
        <v>United States</v>
      </c>
      <c r="U43" s="25" t="str">
        <f>_xll.BDP($B43,U$6)</f>
        <v>These indices are not inflation adjusted. There are three composite S&amp;P/Case-Shiller Home Price Indices, one comprised of price changes within all 20 metropolitan markets for which MacroMarkets LLC and S&amp;P have launched an index (the S&amp;P/Case-Shiller Composite-20 Home Price Index), and another comprised of price changes within the following subset of 10 metropolitan markets (the S&amp;P/Case-Shiller Composite-10 Home   Price Index):: Boston, Chicago, Denver, Las Vegas, Los Angeles, Miami, New York, San Diego, San Francisco, and Washington DC. In addition to those 10 markets, the S&amp;P/Case-Shiller Composite-20 Home Price Index reflects price changes for Atlanta, Charlotte, Cleveland, Dallas, Detroit, Minneapolis, Phoenix, Portland, Seattle, and Tampa.  Please see http://www.macromarkets.com/csi_housing/market_definitions.shtml for more info.  On a quarterly basis the S&amp;P/ Case-Shiller US National is also released. It is the broadest national measurement of home prices, with coverage going be</v>
      </c>
    </row>
    <row r="44" spans="2:21" ht="20.100000000000001" customHeight="1" x14ac:dyDescent="0.25">
      <c r="B44" s="26" t="s">
        <v>106</v>
      </c>
      <c r="C44" s="25" t="str">
        <f>_xll.BDP($B44,C$6)</f>
        <v>Conference Board Consumer Confidence SA 1985=100</v>
      </c>
      <c r="D44" s="36" t="str">
        <f t="shared" si="2"/>
        <v>CONCCONF Index</v>
      </c>
      <c r="E44" s="37">
        <f>_xll.BDP($B44,E$6)</f>
        <v>95.238100000000003</v>
      </c>
      <c r="F44" s="25" t="str">
        <f>_xll.BDP($B44,F$6)</f>
        <v>Conference Board Consumer Conf</v>
      </c>
      <c r="G44" s="38">
        <f>_xll.BDP($B44,G$6)</f>
        <v>101.3</v>
      </c>
      <c r="H44" s="38">
        <f>_xll.BDP($B44,H$6)</f>
        <v>102.5</v>
      </c>
      <c r="I44" s="38">
        <f>_xll.BDP($B44,I$6)</f>
        <v>98.8</v>
      </c>
      <c r="J44" s="25" t="str">
        <f>_xll.BDP($B44,J$6)</f>
        <v>None</v>
      </c>
      <c r="K44" s="25" t="str">
        <f>_xll.BDP($B44,K$6)</f>
        <v>Index SA</v>
      </c>
      <c r="L44" s="25" t="str">
        <f>_xll.BDP($B44,L$6)</f>
        <v>Apr</v>
      </c>
      <c r="M44" s="39" t="str">
        <f>_xll.BDP($B44,M$6)</f>
        <v>3/31/2015</v>
      </c>
      <c r="N44" s="39" t="str">
        <f>_xll.BDP($B44,N$6)</f>
        <v>2/28/2015</v>
      </c>
      <c r="O44" s="25" t="str">
        <f>_xll.BDP($B44,O$6)</f>
        <v>Monthly</v>
      </c>
      <c r="P44" s="39" t="str">
        <f>_xll.BDP($B44,P$6)</f>
        <v>4/28/2015</v>
      </c>
      <c r="Q44" s="39">
        <f t="shared" si="3"/>
        <v>42122</v>
      </c>
      <c r="R44" s="25" t="str">
        <f>_xll.BDP($B44,R$6)</f>
        <v>10:00:00 AM</v>
      </c>
      <c r="S44" s="25">
        <f>_xll.BDP($B44,S$6)</f>
        <v>95.238100000000003</v>
      </c>
      <c r="T44" s="25" t="str">
        <f>_xll.BDP($B44,T$6)</f>
        <v>United States</v>
      </c>
      <c r="U44" s="25" t="str">
        <f>_xll.BDP($B44,U$6)</f>
        <v>The underlying series for ''planned purchases'' (autos, homes, and major appliances) and ''vacation intentions'' showed larger increases in November 2010 levels, primarily due to sample design differences. These level shifts will be treated as breaks, and there will be no historial revisions. Neither series is included in or has any impact on the Consumer Confidence Index.The switch to the Census X-12 seasonal adjustment program produced only minor differences for both levels and month-to-month changes. As a result, The Conference Board did not find it necessary to undertake a full historical revision of the CCI time series based on the seasonal adjustment method. The restated data for November 2010, December 2010 and January 2011 (preliminary data) are based on the prior seasonal adjustment method.                                                                      This index is an average of responses to the following questions:               1. Respondents appraisal of current busi</v>
      </c>
    </row>
    <row r="45" spans="2:21" ht="20.100000000000001" customHeight="1" x14ac:dyDescent="0.25">
      <c r="B45" s="20" t="s">
        <v>106</v>
      </c>
      <c r="C45" s="25" t="str">
        <f>_xll.BDP($B45,C$6)</f>
        <v>Conference Board Consumer Confidence SA 1985=100</v>
      </c>
      <c r="D45" s="36" t="str">
        <f t="shared" si="2"/>
        <v>CONCCONF Index</v>
      </c>
      <c r="E45" s="37">
        <f>_xll.BDP($B45,E$6)</f>
        <v>95.238100000000003</v>
      </c>
      <c r="F45" s="25" t="str">
        <f>_xll.BDP($B45,F$6)</f>
        <v>Conference Board Consumer Conf</v>
      </c>
      <c r="G45" s="38">
        <f>_xll.BDP($B45,G$6)</f>
        <v>101.3</v>
      </c>
      <c r="H45" s="38">
        <f>_xll.BDP($B45,H$6)</f>
        <v>102.5</v>
      </c>
      <c r="I45" s="38">
        <f>_xll.BDP($B45,I$6)</f>
        <v>98.8</v>
      </c>
      <c r="J45" s="25" t="str">
        <f>_xll.BDP($B45,J$6)</f>
        <v>None</v>
      </c>
      <c r="K45" s="25" t="str">
        <f>_xll.BDP($B45,K$6)</f>
        <v>Index SA</v>
      </c>
      <c r="L45" s="25" t="str">
        <f>_xll.BDP($B45,L$6)</f>
        <v>Apr</v>
      </c>
      <c r="M45" s="39" t="str">
        <f>_xll.BDP($B45,M$6)</f>
        <v>3/31/2015</v>
      </c>
      <c r="N45" s="39" t="str">
        <f>_xll.BDP($B45,N$6)</f>
        <v>2/28/2015</v>
      </c>
      <c r="O45" s="25" t="str">
        <f>_xll.BDP($B45,O$6)</f>
        <v>Monthly</v>
      </c>
      <c r="P45" s="39" t="str">
        <f>_xll.BDP($B45,P$6)</f>
        <v>4/28/2015</v>
      </c>
      <c r="Q45" s="39">
        <f t="shared" si="3"/>
        <v>42122</v>
      </c>
      <c r="R45" s="25" t="str">
        <f>_xll.BDP($B45,R$6)</f>
        <v>10:00:00 AM</v>
      </c>
      <c r="S45" s="25">
        <f>_xll.BDP($B45,S$6)</f>
        <v>95.238100000000003</v>
      </c>
      <c r="T45" s="25" t="str">
        <f>_xll.BDP($B45,T$6)</f>
        <v>United States</v>
      </c>
      <c r="U45" s="25" t="str">
        <f>_xll.BDP($B45,U$6)</f>
        <v>The underlying series for ''planned purchases'' (autos, homes, and major appliances) and ''vacation intentions'' showed larger increases in November 2010 levels, primarily due to sample design differences. These level shifts will be treated as breaks, and there will be no historial revisions. Neither series is included in or has any impact on the Consumer Confidence Index.The switch to the Census X-12 seasonal adjustment program produced only minor differences for both levels and month-to-month changes. As a result, The Conference Board did not find it necessary to undertake a full historical revision of the CCI time series based on the seasonal adjustment method. The restated data for November 2010, December 2010 and January 2011 (preliminary data) are based on the prior seasonal adjustment method.                                                                      This index is an average of responses to the following questions:               1. Respondents appraisal of current busi</v>
      </c>
    </row>
    <row r="46" spans="2:21" ht="20.100000000000001" customHeight="1" x14ac:dyDescent="0.25">
      <c r="B46" s="20" t="s">
        <v>67</v>
      </c>
      <c r="C46" s="25" t="str">
        <f>_xll.BDP($B46,C$6)</f>
        <v>US Pending Home Sales Index MoM SA</v>
      </c>
      <c r="D46" s="36" t="str">
        <f t="shared" si="2"/>
        <v>USPHTMOM Index</v>
      </c>
      <c r="E46" s="37">
        <f>_xll.BDP($B46,E$6)</f>
        <v>77.777799999999999</v>
      </c>
      <c r="F46" s="25" t="str">
        <f>_xll.BDP($B46,F$6)</f>
        <v>US Pending Home Sales Index Mo</v>
      </c>
      <c r="G46" s="38">
        <f>_xll.BDP($B46,G$6)</f>
        <v>3.09</v>
      </c>
      <c r="H46" s="38">
        <f>_xll.BDP($B46,H$6)</f>
        <v>1</v>
      </c>
      <c r="I46" s="38">
        <f>_xll.BDP($B46,I$6)</f>
        <v>1.2</v>
      </c>
      <c r="J46" s="25" t="str">
        <f>_xll.BDP($B46,J$6)</f>
        <v>None</v>
      </c>
      <c r="K46" s="25" t="str">
        <f>_xll.BDP($B46,K$6)</f>
        <v>MoM% SA</v>
      </c>
      <c r="L46" s="25" t="str">
        <f>_xll.BDP($B46,L$6)</f>
        <v>Mar</v>
      </c>
      <c r="M46" s="39" t="str">
        <f>_xll.BDP($B46,M$6)</f>
        <v>2/28/2015</v>
      </c>
      <c r="N46" s="39" t="str">
        <f>_xll.BDP($B46,N$6)</f>
        <v>1/31/2015</v>
      </c>
      <c r="O46" s="25" t="str">
        <f>_xll.BDP($B46,O$6)</f>
        <v>Monthly</v>
      </c>
      <c r="P46" s="39" t="str">
        <f>_xll.BDP($B46,P$6)</f>
        <v>4/29/2015</v>
      </c>
      <c r="Q46" s="39">
        <f t="shared" si="3"/>
        <v>42123</v>
      </c>
      <c r="R46" s="25" t="str">
        <f>_xll.BDP($B46,R$6)</f>
        <v>10:00:00 AM</v>
      </c>
      <c r="S46" s="25">
        <f>_xll.BDP($B46,S$6)</f>
        <v>77.777799999999999</v>
      </c>
      <c r="T46" s="25" t="str">
        <f>_xll.BDP($B46,T$6)</f>
        <v>United States</v>
      </c>
      <c r="U46" s="25" t="str">
        <f>_xll.BDP($B46,U$6)</f>
        <v>The pending home sales index (PHSI) tracks the number of home resales under contract.  The majority of pending home sales become existing homes sales one or two months later and therefore, this index can be used to predict actual home sales activity.</v>
      </c>
    </row>
    <row r="47" spans="2:21" ht="20.100000000000001" customHeight="1" x14ac:dyDescent="0.25">
      <c r="B47" s="20" t="s">
        <v>70</v>
      </c>
      <c r="C47" s="25" t="str">
        <f>_xll.BDP($B47,C$6)</f>
        <v>US Pending Home Sales Index YoY NSA</v>
      </c>
      <c r="D47" s="36" t="str">
        <f t="shared" si="2"/>
        <v>USPHTYOY Index</v>
      </c>
      <c r="E47" s="37">
        <f>_xll.BDP($B47,E$6)</f>
        <v>31.745999999999999</v>
      </c>
      <c r="F47" s="25" t="str">
        <f>_xll.BDP($B47,F$6)</f>
        <v>US Pending Home Sales Index Yo</v>
      </c>
      <c r="G47" s="38">
        <f>_xll.BDP($B47,G$6)</f>
        <v>12.03</v>
      </c>
      <c r="H47" s="38" t="str">
        <f>_xll.BDP($B47,H$6)</f>
        <v>#N/A N/A</v>
      </c>
      <c r="I47" s="38">
        <f>_xll.BDP($B47,I$6)</f>
        <v>6.13</v>
      </c>
      <c r="J47" s="25" t="str">
        <f>_xll.BDP($B47,J$6)</f>
        <v>None</v>
      </c>
      <c r="K47" s="25" t="str">
        <f>_xll.BDP($B47,K$6)</f>
        <v>YoY% NSA</v>
      </c>
      <c r="L47" s="25" t="str">
        <f>_xll.BDP($B47,L$6)</f>
        <v>Mar</v>
      </c>
      <c r="M47" s="39" t="str">
        <f>_xll.BDP($B47,M$6)</f>
        <v>2/28/2015</v>
      </c>
      <c r="N47" s="39" t="str">
        <f>_xll.BDP($B47,N$6)</f>
        <v>1/31/2015</v>
      </c>
      <c r="O47" s="25" t="str">
        <f>_xll.BDP($B47,O$6)</f>
        <v>Monthly</v>
      </c>
      <c r="P47" s="39" t="str">
        <f>_xll.BDP($B47,P$6)</f>
        <v>4/29/2015</v>
      </c>
      <c r="Q47" s="39">
        <f t="shared" si="3"/>
        <v>42123</v>
      </c>
      <c r="R47" s="25" t="str">
        <f>_xll.BDP($B47,R$6)</f>
        <v>10:00:00 AM</v>
      </c>
      <c r="S47" s="25">
        <f>_xll.BDP($B47,S$6)</f>
        <v>31.745999999999999</v>
      </c>
      <c r="T47" s="25" t="str">
        <f>_xll.BDP($B47,T$6)</f>
        <v>United States</v>
      </c>
      <c r="U47" s="25" t="str">
        <f>_xll.BDP($B47,U$6)</f>
        <v>The pending home sales index (PHSI) tracks the number of home resales under contract.  The majority of pending home sales become existing homes sales one or two months later and therefore, this index can be used to predict actual home sales activity.                                                                      Total NSA year-over-year percent change.</v>
      </c>
    </row>
    <row r="48" spans="2:21" ht="20.100000000000001" customHeight="1" x14ac:dyDescent="0.25">
      <c r="B48" s="20" t="s">
        <v>14</v>
      </c>
      <c r="C48" s="25" t="str">
        <f>_xll.BDP($B48,C$6)</f>
        <v>GDP US Chained 2009 Dollars QoQ SAAR</v>
      </c>
      <c r="D48" s="36" t="str">
        <f t="shared" si="2"/>
        <v>GDP CQOQ Index</v>
      </c>
      <c r="E48" s="37">
        <f>_xll.BDP($B48,E$6)</f>
        <v>96.825400000000002</v>
      </c>
      <c r="F48" s="25" t="str">
        <f>_xll.BDP($B48,F$6)</f>
        <v>GDP US Chained 2009 Dollars Qo</v>
      </c>
      <c r="G48" s="38">
        <f>_xll.BDP($B48,G$6)</f>
        <v>2.2000000000000002</v>
      </c>
      <c r="H48" s="38">
        <f>_xll.BDP($B48,H$6)</f>
        <v>1</v>
      </c>
      <c r="I48" s="38">
        <f>_xll.BDP($B48,I$6)</f>
        <v>5</v>
      </c>
      <c r="J48" s="25" t="str">
        <f>_xll.BDP($B48,J$6)</f>
        <v>None</v>
      </c>
      <c r="K48" s="25" t="str">
        <f>_xll.BDP($B48,K$6)</f>
        <v>QoQ% SAAR</v>
      </c>
      <c r="L48" s="25" t="str">
        <f>_xll.BDP($B48,L$6)</f>
        <v>1Q A</v>
      </c>
      <c r="M48" s="25" t="str">
        <f>_xll.BDP($B48,M$6)</f>
        <v>12/31/2014</v>
      </c>
      <c r="N48" s="25" t="str">
        <f>_xll.BDP($B48,N$6)</f>
        <v>12/31/2014</v>
      </c>
      <c r="O48" s="25" t="str">
        <f>_xll.BDP($B48,O$6)</f>
        <v>Quarterly</v>
      </c>
      <c r="P48" s="25" t="str">
        <f>_xll.BDP($B48,P$6)</f>
        <v>4/29/2015</v>
      </c>
      <c r="Q48" s="39">
        <f t="shared" si="3"/>
        <v>42123</v>
      </c>
      <c r="R48" s="25" t="str">
        <f>_xll.BDP($B48,R$6)</f>
        <v>8:30:00 AM</v>
      </c>
      <c r="S48" s="25">
        <f>_xll.BDP($B48,S$6)</f>
        <v>96.825400000000002</v>
      </c>
      <c r="T48" s="25" t="str">
        <f>_xll.BDP($B48,T$6)</f>
        <v>United States</v>
      </c>
      <c r="U48" s="25" t="str">
        <f>_xll.BDP($B48,U$6)</f>
        <v>GDP equals the total income of everyone in the economy or the total expenditure on the economy's goods and services.  GDP includes only the value of final goods and services.  Chain weighted (Real) GDP measures the value of goods and services at constant dollar prices.  The base year changes continuously over time.  For example, 1995 prices measure real growth from 1995-1996.  The figures are then linked to form a 'chain' that can compare goods and services in any two years.  Chain weighted figures never let prices get too far out of date. The GDP data is released with an Advanced Release, then a Second Release, followed  by the Third Release.                                                                     History is stored independently for quarterly and yearly frequencies.           HP values for these frequencies may not match each other. Note that when only one frequency is stored in history, for the other frequencies, history is derived from that of the stored frequency.  For</v>
      </c>
    </row>
    <row r="49" spans="2:21" ht="20.100000000000001" customHeight="1" x14ac:dyDescent="0.25">
      <c r="B49" s="20" t="s">
        <v>20</v>
      </c>
      <c r="C49" s="25" t="str">
        <f>_xll.BDP($B49,C$6)</f>
        <v>US GDP Price Index QoQ SAAR</v>
      </c>
      <c r="D49" s="36" t="str">
        <f t="shared" si="2"/>
        <v>GDP PIQQ Index</v>
      </c>
      <c r="E49" s="37">
        <f>_xll.BDP($B49,E$6)</f>
        <v>77.460300000000004</v>
      </c>
      <c r="F49" s="25" t="str">
        <f>_xll.BDP($B49,F$6)</f>
        <v>US GDP Price Index QoQ SAAR</v>
      </c>
      <c r="G49" s="38">
        <f>_xll.BDP($B49,G$6)</f>
        <v>0.1</v>
      </c>
      <c r="H49" s="38">
        <f>_xll.BDP($B49,H$6)</f>
        <v>0.4</v>
      </c>
      <c r="I49" s="38">
        <f>_xll.BDP($B49,I$6)</f>
        <v>1.4</v>
      </c>
      <c r="J49" s="25" t="str">
        <f>_xll.BDP($B49,J$6)</f>
        <v>None</v>
      </c>
      <c r="K49" s="25" t="str">
        <f>_xll.BDP($B49,K$6)</f>
        <v>QoQ% SAAR</v>
      </c>
      <c r="L49" s="25" t="str">
        <f>_xll.BDP($B49,L$6)</f>
        <v>1Q A</v>
      </c>
      <c r="M49" s="25" t="str">
        <f>_xll.BDP($B49,M$6)</f>
        <v>12/31/2014</v>
      </c>
      <c r="N49" s="25" t="str">
        <f>_xll.BDP($B49,N$6)</f>
        <v>12/31/2014</v>
      </c>
      <c r="O49" s="25" t="str">
        <f>_xll.BDP($B49,O$6)</f>
        <v>Quarterly</v>
      </c>
      <c r="P49" s="25" t="str">
        <f>_xll.BDP($B49,P$6)</f>
        <v>4/29/2015</v>
      </c>
      <c r="Q49" s="39">
        <f t="shared" si="3"/>
        <v>42123</v>
      </c>
      <c r="R49" s="25" t="str">
        <f>_xll.BDP($B49,R$6)</f>
        <v>8:30:00 AM</v>
      </c>
      <c r="S49" s="25">
        <f>_xll.BDP($B49,S$6)</f>
        <v>77.460300000000004</v>
      </c>
      <c r="T49" s="25" t="str">
        <f>_xll.BDP($B49,T$6)</f>
        <v>United States</v>
      </c>
      <c r="U49" s="25" t="str">
        <f>_xll.BDP($B49,U$6)</f>
        <v>This index tracks the percent change for GDP price index and is seasonally adjusted at annual rates.</v>
      </c>
    </row>
    <row r="50" spans="2:21" ht="20.100000000000001" customHeight="1" x14ac:dyDescent="0.25">
      <c r="B50" s="20" t="s">
        <v>17</v>
      </c>
      <c r="C50" s="25" t="str">
        <f>_xll.BDP($B50,C$6)</f>
        <v>GDP US Personal Consumption Chained 2009 Dlrs % Change from Previous Period SAAR</v>
      </c>
      <c r="D50" s="36" t="str">
        <f t="shared" si="2"/>
        <v>GDPCTOT% Index</v>
      </c>
      <c r="E50" s="37">
        <f>_xll.BDP($B50,E$6)</f>
        <v>67.777799999999999</v>
      </c>
      <c r="F50" s="25" t="str">
        <f>_xll.BDP($B50,F$6)</f>
        <v>GDP US Personal Consumption Ch</v>
      </c>
      <c r="G50" s="38">
        <f>_xll.BDP($B50,G$6)</f>
        <v>4.4000000000000004</v>
      </c>
      <c r="H50" s="38">
        <f>_xll.BDP($B50,H$6)</f>
        <v>1.7</v>
      </c>
      <c r="I50" s="38">
        <f>_xll.BDP($B50,I$6)</f>
        <v>3.2</v>
      </c>
      <c r="J50" s="25" t="str">
        <f>_xll.BDP($B50,J$6)</f>
        <v>None</v>
      </c>
      <c r="K50" s="25" t="str">
        <f>_xll.BDP($B50,K$6)</f>
        <v>QoQ% SAAR</v>
      </c>
      <c r="L50" s="25" t="str">
        <f>_xll.BDP($B50,L$6)</f>
        <v>1Q A</v>
      </c>
      <c r="M50" s="25" t="str">
        <f>_xll.BDP($B50,M$6)</f>
        <v>12/31/2014</v>
      </c>
      <c r="N50" s="25" t="str">
        <f>_xll.BDP($B50,N$6)</f>
        <v>12/31/2014</v>
      </c>
      <c r="O50" s="25" t="str">
        <f>_xll.BDP($B50,O$6)</f>
        <v>Quarterly</v>
      </c>
      <c r="P50" s="25" t="str">
        <f>_xll.BDP($B50,P$6)</f>
        <v>4/29/2015</v>
      </c>
      <c r="Q50" s="39">
        <f t="shared" si="3"/>
        <v>42123</v>
      </c>
      <c r="R50" s="25" t="str">
        <f>_xll.BDP($B50,R$6)</f>
        <v>8:30:00 AM</v>
      </c>
      <c r="S50" s="25">
        <f>_xll.BDP($B50,S$6)</f>
        <v>67.777799999999999</v>
      </c>
      <c r="T50" s="25" t="str">
        <f>_xll.BDP($B50,T$6)</f>
        <v>United States</v>
      </c>
      <c r="U50" s="25" t="str">
        <f>_xll.BDP($B50,U$6)</f>
        <v>Seasonally adjusted at annual rates.                                            History is stored independently for quarterly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 on.</v>
      </c>
    </row>
    <row r="51" spans="2:21" ht="20.100000000000001" customHeight="1" x14ac:dyDescent="0.25">
      <c r="B51" s="20" t="s">
        <v>23</v>
      </c>
      <c r="C51" s="25" t="str">
        <f>_xll.BDP($B51,C$6)</f>
        <v>US GDP Personal Consumption Core Price Index QoQ % SAAR</v>
      </c>
      <c r="D51" s="36" t="str">
        <f t="shared" si="2"/>
        <v>GDPCPCEC Index</v>
      </c>
      <c r="E51" s="37">
        <f>_xll.BDP($B51,E$6)</f>
        <v>67.777799999999999</v>
      </c>
      <c r="F51" s="25" t="str">
        <f>_xll.BDP($B51,F$6)</f>
        <v>US GDP Personal Consumption Co</v>
      </c>
      <c r="G51" s="38">
        <f>_xll.BDP($B51,G$6)</f>
        <v>1.1000000000000001</v>
      </c>
      <c r="H51" s="38" t="str">
        <f>_xll.BDP($B51,H$6)</f>
        <v>#N/A N/A</v>
      </c>
      <c r="I51" s="38">
        <f>_xll.BDP($B51,I$6)</f>
        <v>1.4</v>
      </c>
      <c r="J51" s="25" t="str">
        <f>_xll.BDP($B51,J$6)</f>
        <v>None</v>
      </c>
      <c r="K51" s="25" t="str">
        <f>_xll.BDP($B51,K$6)</f>
        <v>QoQ% SAAR</v>
      </c>
      <c r="L51" s="25" t="str">
        <f>_xll.BDP($B51,L$6)</f>
        <v>1Q A</v>
      </c>
      <c r="M51" s="25" t="str">
        <f>_xll.BDP($B51,M$6)</f>
        <v>12/31/2014</v>
      </c>
      <c r="N51" s="25" t="str">
        <f>_xll.BDP($B51,N$6)</f>
        <v>12/31/2014</v>
      </c>
      <c r="O51" s="25" t="str">
        <f>_xll.BDP($B51,O$6)</f>
        <v>Quarterly</v>
      </c>
      <c r="P51" s="25" t="str">
        <f>_xll.BDP($B51,P$6)</f>
        <v>4/29/2015</v>
      </c>
      <c r="Q51" s="39">
        <f t="shared" si="3"/>
        <v>42123</v>
      </c>
      <c r="R51" s="25" t="str">
        <f>_xll.BDP($B51,R$6)</f>
        <v>8:30:00 AM</v>
      </c>
      <c r="S51" s="25">
        <f>_xll.BDP($B51,S$6)</f>
        <v>67.777799999999999</v>
      </c>
      <c r="T51" s="25" t="str">
        <f>_xll.BDP($B51,T$6)</f>
        <v>United States</v>
      </c>
      <c r="U51" s="25" t="str">
        <f>_xll.BDP($B51,U$6)</f>
        <v>Seasonally adjusted at annual rates.  The GDP personal consumption price index is the price index for personal consumption expenditures from the GDP report.  It is an inflation gauge and is basically the difference between current dollar PCE and chained dollar PCE.</v>
      </c>
    </row>
    <row r="52" spans="2:21" ht="20.100000000000001" customHeight="1" x14ac:dyDescent="0.25">
      <c r="B52" s="20" t="s">
        <v>45</v>
      </c>
      <c r="C52" s="25" t="str">
        <f>_xll.BDP($B52,C$6)</f>
        <v>US Personal Income MoM SA</v>
      </c>
      <c r="D52" s="36" t="str">
        <f t="shared" si="2"/>
        <v>PITLCHNG Index</v>
      </c>
      <c r="E52" s="37">
        <f>_xll.BDP($B52,E$6)</f>
        <v>85.714299999999994</v>
      </c>
      <c r="F52" s="25" t="str">
        <f>_xll.BDP($B52,F$6)</f>
        <v>US Personal Income MoM SA</v>
      </c>
      <c r="G52" s="38">
        <f>_xll.BDP($B52,G$6)</f>
        <v>0.4</v>
      </c>
      <c r="H52" s="38">
        <f>_xll.BDP($B52,H$6)</f>
        <v>0.2</v>
      </c>
      <c r="I52" s="38">
        <f>_xll.BDP($B52,I$6)</f>
        <v>0.4</v>
      </c>
      <c r="J52" s="25" t="str">
        <f>_xll.BDP($B52,J$6)</f>
        <v>None</v>
      </c>
      <c r="K52" s="25" t="str">
        <f>_xll.BDP($B52,K$6)</f>
        <v>MoM% SA</v>
      </c>
      <c r="L52" s="25" t="str">
        <f>_xll.BDP($B52,L$6)</f>
        <v>Mar</v>
      </c>
      <c r="M52" s="39" t="str">
        <f>_xll.BDP($B52,M$6)</f>
        <v>2/28/2015</v>
      </c>
      <c r="N52" s="39" t="str">
        <f>_xll.BDP($B52,N$6)</f>
        <v>1/31/2015</v>
      </c>
      <c r="O52" s="25" t="str">
        <f>_xll.BDP($B52,O$6)</f>
        <v>Monthly</v>
      </c>
      <c r="P52" s="39" t="str">
        <f>_xll.BDP($B52,P$6)</f>
        <v>4/30/2015</v>
      </c>
      <c r="Q52" s="39">
        <f t="shared" si="3"/>
        <v>42124</v>
      </c>
      <c r="R52" s="25" t="str">
        <f>_xll.BDP($B52,R$6)</f>
        <v>8:30:00 AM</v>
      </c>
      <c r="S52" s="25">
        <f>_xll.BDP($B52,S$6)</f>
        <v>85.714299999999994</v>
      </c>
      <c r="T52" s="25" t="str">
        <f>_xll.BDP($B52,T$6)</f>
        <v>United States</v>
      </c>
      <c r="U52" s="25" t="str">
        <f>_xll.BDP($B52,U$6)</f>
        <v>Personal income is the income received by persons from all sources, that is, from participation in production, from both government and business transfer payments, and from government interest, persons consist of individuals, nonprofit institutions that primarily serve individuals, private noninsured welfare funds, and private trust funds.  Personal income is calculated as the sum of wage and salary disbursements, other labor income, propiertors' income with inventory valuation and capital consumption adjustments, rental income of persons with capital. Consumption adjustments, personal dividend income, personal interest income, and transfer payments to persons, less personal contributions for social insurance.  Disposable personal income is personal income less tax &amp; non-tax payments.     Personal income is the income received by persons from all sources, that is, from participation in production, from both government and business transfer payments, and from government interest. 'Perso</v>
      </c>
    </row>
    <row r="53" spans="2:21" ht="20.100000000000001" customHeight="1" x14ac:dyDescent="0.25">
      <c r="B53" s="20" t="s">
        <v>48</v>
      </c>
      <c r="C53" s="25" t="str">
        <f>_xll.BDP($B53,C$6)</f>
        <v>US Personal Consumption Expenditures Nominal Dollars MoM SA</v>
      </c>
      <c r="D53" s="36" t="str">
        <f t="shared" si="2"/>
        <v>PCE CRCH Index</v>
      </c>
      <c r="E53" s="37">
        <f>_xll.BDP($B53,E$6)</f>
        <v>85.714299999999994</v>
      </c>
      <c r="F53" s="25" t="str">
        <f>_xll.BDP($B53,F$6)</f>
        <v>US Personal Consumption Expend</v>
      </c>
      <c r="G53" s="38">
        <f>_xll.BDP($B53,G$6)</f>
        <v>0.1</v>
      </c>
      <c r="H53" s="38">
        <f>_xll.BDP($B53,H$6)</f>
        <v>0.4</v>
      </c>
      <c r="I53" s="38">
        <f>_xll.BDP($B53,I$6)</f>
        <v>-0.2</v>
      </c>
      <c r="J53" s="25" t="str">
        <f>_xll.BDP($B53,J$6)</f>
        <v>None</v>
      </c>
      <c r="K53" s="25" t="str">
        <f>_xll.BDP($B53,K$6)</f>
        <v>MoM% SA</v>
      </c>
      <c r="L53" s="25" t="str">
        <f>_xll.BDP($B53,L$6)</f>
        <v>Mar</v>
      </c>
      <c r="M53" s="39" t="str">
        <f>_xll.BDP($B53,M$6)</f>
        <v>2/28/2015</v>
      </c>
      <c r="N53" s="39" t="str">
        <f>_xll.BDP($B53,N$6)</f>
        <v>1/31/2015</v>
      </c>
      <c r="O53" s="25" t="str">
        <f>_xll.BDP($B53,O$6)</f>
        <v>Monthly</v>
      </c>
      <c r="P53" s="39" t="str">
        <f>_xll.BDP($B53,P$6)</f>
        <v>4/30/2015</v>
      </c>
      <c r="Q53" s="39">
        <f t="shared" si="3"/>
        <v>42124</v>
      </c>
      <c r="R53" s="25" t="str">
        <f>_xll.BDP($B53,R$6)</f>
        <v>8:30:00 AM</v>
      </c>
      <c r="S53" s="25">
        <f>_xll.BDP($B53,S$6)</f>
        <v>85.714299999999994</v>
      </c>
      <c r="T53" s="25" t="str">
        <f>_xll.BDP($B53,T$6)</f>
        <v>United States</v>
      </c>
      <c r="U53" s="25" t="str">
        <f>_xll.BDP($B53,U$6)</f>
        <v>Personal consumption expenditures by major type of product.</v>
      </c>
    </row>
    <row r="54" spans="2:21" ht="20.100000000000001" customHeight="1" x14ac:dyDescent="0.25">
      <c r="B54" s="20" t="s">
        <v>60</v>
      </c>
      <c r="C54" s="25" t="str">
        <f>_xll.BDP($B54,C$6)</f>
        <v>US Personal Consumption Expenditure Core Price Index MoM SA</v>
      </c>
      <c r="D54" s="36" t="str">
        <f t="shared" si="2"/>
        <v>PCE CMOM Index</v>
      </c>
      <c r="E54" s="37">
        <f>_xll.BDP($B54,E$6)</f>
        <v>60</v>
      </c>
      <c r="F54" s="25" t="str">
        <f>_xll.BDP($B54,F$6)</f>
        <v>US Personal Consumption Expend</v>
      </c>
      <c r="G54" s="38">
        <f>_xll.BDP($B54,G$6)</f>
        <v>0.13</v>
      </c>
      <c r="H54" s="38">
        <f>_xll.BDP($B54,H$6)</f>
        <v>0.1</v>
      </c>
      <c r="I54" s="38">
        <f>_xll.BDP($B54,I$6)</f>
        <v>0.08</v>
      </c>
      <c r="J54" s="25" t="str">
        <f>_xll.BDP($B54,J$6)</f>
        <v>None</v>
      </c>
      <c r="K54" s="25" t="str">
        <f>_xll.BDP($B54,K$6)</f>
        <v>MoM% SA</v>
      </c>
      <c r="L54" s="25" t="str">
        <f>_xll.BDP($B54,L$6)</f>
        <v>Mar</v>
      </c>
      <c r="M54" s="39" t="str">
        <f>_xll.BDP($B54,M$6)</f>
        <v>2/28/2015</v>
      </c>
      <c r="N54" s="39" t="str">
        <f>_xll.BDP($B54,N$6)</f>
        <v>1/31/2015</v>
      </c>
      <c r="O54" s="25" t="str">
        <f>_xll.BDP($B54,O$6)</f>
        <v>Monthly</v>
      </c>
      <c r="P54" s="39" t="str">
        <f>_xll.BDP($B54,P$6)</f>
        <v>4/30/2015</v>
      </c>
      <c r="Q54" s="39">
        <f t="shared" si="3"/>
        <v>42124</v>
      </c>
      <c r="R54" s="25" t="str">
        <f>_xll.BDP($B54,R$6)</f>
        <v>8:30:00 AM</v>
      </c>
      <c r="S54" s="25">
        <f>_xll.BDP($B54,S$6)</f>
        <v>60</v>
      </c>
      <c r="T54" s="25" t="str">
        <f>_xll.BDP($B54,T$6)</f>
        <v>United States</v>
      </c>
      <c r="U54" s="25" t="str">
        <f>_xll.BDP($B54,U$6)</f>
        <v>Personal consumption expenditures by major type of product.</v>
      </c>
    </row>
    <row r="55" spans="2:21" ht="20.100000000000001" customHeight="1" x14ac:dyDescent="0.25">
      <c r="B55" s="20" t="s">
        <v>63</v>
      </c>
      <c r="C55" s="25" t="str">
        <f>_xll.BDP($B55,C$6)</f>
        <v>US Personal Consumption Expenditure Core Price Index YoY SA</v>
      </c>
      <c r="D55" s="36" t="str">
        <f t="shared" si="2"/>
        <v>PCE CYOY Index</v>
      </c>
      <c r="E55" s="37">
        <f>_xll.BDP($B55,E$6)</f>
        <v>44.444400000000002</v>
      </c>
      <c r="F55" s="25" t="str">
        <f>_xll.BDP($B55,F$6)</f>
        <v>US Personal Consumption Expend</v>
      </c>
      <c r="G55" s="38">
        <f>_xll.BDP($B55,G$6)</f>
        <v>1.36568</v>
      </c>
      <c r="H55" s="38">
        <f>_xll.BDP($B55,H$6)</f>
        <v>1.4</v>
      </c>
      <c r="I55" s="38">
        <f>_xll.BDP($B55,I$6)</f>
        <v>1.32863</v>
      </c>
      <c r="J55" s="25" t="str">
        <f>_xll.BDP($B55,J$6)</f>
        <v>None</v>
      </c>
      <c r="K55" s="25" t="str">
        <f>_xll.BDP($B55,K$6)</f>
        <v>YoY% SA</v>
      </c>
      <c r="L55" s="25" t="str">
        <f>_xll.BDP($B55,L$6)</f>
        <v>Mar</v>
      </c>
      <c r="M55" s="39" t="str">
        <f>_xll.BDP($B55,M$6)</f>
        <v>2/28/2015</v>
      </c>
      <c r="N55" s="39" t="str">
        <f>_xll.BDP($B55,N$6)</f>
        <v>1/31/2015</v>
      </c>
      <c r="O55" s="25" t="str">
        <f>_xll.BDP($B55,O$6)</f>
        <v>Monthly</v>
      </c>
      <c r="P55" s="39" t="str">
        <f>_xll.BDP($B55,P$6)</f>
        <v>4/30/2015</v>
      </c>
      <c r="Q55" s="39">
        <f t="shared" si="3"/>
        <v>42124</v>
      </c>
      <c r="R55" s="25" t="str">
        <f>_xll.BDP($B55,R$6)</f>
        <v>8:30:00 AM</v>
      </c>
      <c r="S55" s="25">
        <f>_xll.BDP($B55,S$6)</f>
        <v>44.444400000000002</v>
      </c>
      <c r="T55" s="25" t="str">
        <f>_xll.BDP($B55,T$6)</f>
        <v>United States</v>
      </c>
      <c r="U55" s="25" t="str">
        <f>_xll.BDP($B55,U$6)</f>
        <v>Personal consumption expenditures by major type of product.</v>
      </c>
    </row>
    <row r="56" spans="2:21" ht="20.100000000000001" customHeight="1" x14ac:dyDescent="0.25">
      <c r="B56" s="20" t="s">
        <v>57</v>
      </c>
      <c r="C56" s="25" t="str">
        <f>_xll.BDP($B56,C$6)</f>
        <v>US Personal Consumption Expenditures Chain Type Price Index YoY SA</v>
      </c>
      <c r="D56" s="36" t="str">
        <f t="shared" si="2"/>
        <v>PCE DEFY Index</v>
      </c>
      <c r="E56" s="37">
        <f>_xll.BDP($B56,E$6)</f>
        <v>41.269799999999996</v>
      </c>
      <c r="F56" s="25" t="str">
        <f>_xll.BDP($B56,F$6)</f>
        <v>US Personal Consumption Expend</v>
      </c>
      <c r="G56" s="38">
        <f>_xll.BDP($B56,G$6)</f>
        <v>0.3</v>
      </c>
      <c r="H56" s="38" t="str">
        <f>_xll.BDP($B56,H$6)</f>
        <v>#N/A N/A</v>
      </c>
      <c r="I56" s="38">
        <f>_xll.BDP($B56,I$6)</f>
        <v>0.2</v>
      </c>
      <c r="J56" s="25" t="str">
        <f>_xll.BDP($B56,J$6)</f>
        <v>None</v>
      </c>
      <c r="K56" s="25" t="str">
        <f>_xll.BDP($B56,K$6)</f>
        <v>YoY% SA</v>
      </c>
      <c r="L56" s="25" t="str">
        <f>_xll.BDP($B56,L$6)</f>
        <v>Mar</v>
      </c>
      <c r="M56" s="39" t="str">
        <f>_xll.BDP($B56,M$6)</f>
        <v>2/28/2015</v>
      </c>
      <c r="N56" s="39" t="str">
        <f>_xll.BDP($B56,N$6)</f>
        <v>1/31/2015</v>
      </c>
      <c r="O56" s="25" t="str">
        <f>_xll.BDP($B56,O$6)</f>
        <v>Monthly</v>
      </c>
      <c r="P56" s="39" t="str">
        <f>_xll.BDP($B56,P$6)</f>
        <v>4/30/2015</v>
      </c>
      <c r="Q56" s="39">
        <f t="shared" si="3"/>
        <v>42124</v>
      </c>
      <c r="R56" s="25" t="str">
        <f>_xll.BDP($B56,R$6)</f>
        <v>8:30:00 AM</v>
      </c>
      <c r="S56" s="25">
        <f>_xll.BDP($B56,S$6)</f>
        <v>41.269799999999996</v>
      </c>
      <c r="T56" s="25" t="str">
        <f>_xll.BDP($B56,T$6)</f>
        <v>United States</v>
      </c>
      <c r="U56" s="25" t="str">
        <f>_xll.BDP($B56,U$6)</f>
        <v>Personal consumption expenditures by major type of product.                     To see this index with a base year as 2000, please refer to the ticker PCE DEY0</v>
      </c>
    </row>
    <row r="57" spans="2:21" ht="20.100000000000001" customHeight="1" x14ac:dyDescent="0.25">
      <c r="B57" s="20" t="s">
        <v>54</v>
      </c>
      <c r="C57" s="25" t="str">
        <f>_xll.BDP($B57,C$6)</f>
        <v>US Personal Consumption Expenditures Chain Type Price Index MoM SA</v>
      </c>
      <c r="D57" s="36" t="str">
        <f t="shared" si="2"/>
        <v>PCE DEFM Index</v>
      </c>
      <c r="E57" s="37">
        <f>_xll.BDP($B57,E$6)</f>
        <v>13.492100000000001</v>
      </c>
      <c r="F57" s="25" t="str">
        <f>_xll.BDP($B57,F$6)</f>
        <v>US Personal Consumption Expend</v>
      </c>
      <c r="G57" s="38">
        <f>_xll.BDP($B57,G$6)</f>
        <v>0.2</v>
      </c>
      <c r="H57" s="38">
        <f>_xll.BDP($B57,H$6)</f>
        <v>0.2</v>
      </c>
      <c r="I57" s="38">
        <f>_xll.BDP($B57,I$6)</f>
        <v>-0.4</v>
      </c>
      <c r="J57" s="25" t="str">
        <f>_xll.BDP($B57,J$6)</f>
        <v>None</v>
      </c>
      <c r="K57" s="25" t="str">
        <f>_xll.BDP($B57,K$6)</f>
        <v>MoM% SA</v>
      </c>
      <c r="L57" s="25" t="str">
        <f>_xll.BDP($B57,L$6)</f>
        <v>Mar</v>
      </c>
      <c r="M57" s="39" t="str">
        <f>_xll.BDP($B57,M$6)</f>
        <v>2/28/2015</v>
      </c>
      <c r="N57" s="39" t="str">
        <f>_xll.BDP($B57,N$6)</f>
        <v>1/31/2015</v>
      </c>
      <c r="O57" s="25" t="str">
        <f>_xll.BDP($B57,O$6)</f>
        <v>Monthly</v>
      </c>
      <c r="P57" s="39" t="str">
        <f>_xll.BDP($B57,P$6)</f>
        <v>4/30/2015</v>
      </c>
      <c r="Q57" s="39">
        <f t="shared" si="3"/>
        <v>42124</v>
      </c>
      <c r="R57" s="25" t="str">
        <f>_xll.BDP($B57,R$6)</f>
        <v>8:30:00 AM</v>
      </c>
      <c r="S57" s="25">
        <f>_xll.BDP($B57,S$6)</f>
        <v>13.492100000000001</v>
      </c>
      <c r="T57" s="25" t="str">
        <f>_xll.BDP($B57,T$6)</f>
        <v>United States</v>
      </c>
      <c r="U57" s="25" t="str">
        <f>_xll.BDP($B57,U$6)</f>
        <v>Personal consumption expenditures by major type of product.                     To see this index with a base year as 2000, please refer to the ticker PCE DEM0</v>
      </c>
    </row>
    <row r="58" spans="2:21" ht="20.100000000000001" customHeight="1" x14ac:dyDescent="0.25">
      <c r="B58" s="20" t="s">
        <v>51</v>
      </c>
      <c r="C58" s="25" t="str">
        <f>_xll.BDP($B58,C$6)</f>
        <v>US Personal Consumption Expenditures Chained 2009 Dollars MoM SA</v>
      </c>
      <c r="D58" s="36" t="str">
        <f t="shared" si="2"/>
        <v>PCE CHNC Index</v>
      </c>
      <c r="E58" s="37">
        <f>_xll.BDP($B58,E$6)</f>
        <v>6.3492100000000002</v>
      </c>
      <c r="F58" s="25" t="str">
        <f>_xll.BDP($B58,F$6)</f>
        <v>US Personal Consumption Expend</v>
      </c>
      <c r="G58" s="38">
        <f>_xll.BDP($B58,G$6)</f>
        <v>-0.1</v>
      </c>
      <c r="H58" s="38" t="str">
        <f>_xll.BDP($B58,H$6)</f>
        <v>#N/A N/A</v>
      </c>
      <c r="I58" s="38">
        <f>_xll.BDP($B58,I$6)</f>
        <v>0.2</v>
      </c>
      <c r="J58" s="25" t="str">
        <f>_xll.BDP($B58,J$6)</f>
        <v>None</v>
      </c>
      <c r="K58" s="25" t="str">
        <f>_xll.BDP($B58,K$6)</f>
        <v>MoM% SA</v>
      </c>
      <c r="L58" s="25" t="str">
        <f>_xll.BDP($B58,L$6)</f>
        <v>Mar</v>
      </c>
      <c r="M58" s="39" t="str">
        <f>_xll.BDP($B58,M$6)</f>
        <v>2/28/2015</v>
      </c>
      <c r="N58" s="39" t="str">
        <f>_xll.BDP($B58,N$6)</f>
        <v>12/31/2014</v>
      </c>
      <c r="O58" s="25" t="str">
        <f>_xll.BDP($B58,O$6)</f>
        <v>Monthly</v>
      </c>
      <c r="P58" s="39" t="str">
        <f>_xll.BDP($B58,P$6)</f>
        <v>4/30/2015</v>
      </c>
      <c r="Q58" s="39">
        <f t="shared" si="3"/>
        <v>42124</v>
      </c>
      <c r="R58" s="25" t="str">
        <f>_xll.BDP($B58,R$6)</f>
        <v>8:30:00 AM</v>
      </c>
      <c r="S58" s="25">
        <f>_xll.BDP($B58,S$6)</f>
        <v>6.3492100000000002</v>
      </c>
      <c r="T58" s="25" t="str">
        <f>_xll.BDP($B58,T$6)</f>
        <v>United States</v>
      </c>
      <c r="U58" s="25" t="str">
        <f>_xll.BDP($B58,U$6)</f>
        <v>Personal consumption expenditures by major type of product.                     To see this index with a base year as 2000, please refer to the ticker PCE CHN0. Data is MoM of {PCE CHNC Index DES&lt;GO&gt;}.</v>
      </c>
    </row>
    <row r="59" spans="2:21" ht="20.100000000000001" customHeight="1" x14ac:dyDescent="0.25">
      <c r="B59" s="20" t="s">
        <v>102</v>
      </c>
      <c r="C59" s="25" t="str">
        <f>_xll.BDP($B59,C$6)</f>
        <v>MNI Chicago Business Barometer (sa)</v>
      </c>
      <c r="D59" s="36" t="str">
        <f t="shared" si="2"/>
        <v>CHPMINDX Index</v>
      </c>
      <c r="E59" s="37">
        <f>_xll.BDP($B59,E$6)</f>
        <v>81.745999999999995</v>
      </c>
      <c r="F59" s="25" t="str">
        <f>_xll.BDP($B59,F$6)</f>
        <v>MNI Chicago Business Barometer</v>
      </c>
      <c r="G59" s="38">
        <f>_xll.BDP($B59,G$6)</f>
        <v>46.3</v>
      </c>
      <c r="H59" s="38">
        <f>_xll.BDP($B59,H$6)</f>
        <v>49</v>
      </c>
      <c r="I59" s="38">
        <f>_xll.BDP($B59,I$6)</f>
        <v>45.8</v>
      </c>
      <c r="J59" s="25" t="str">
        <f>_xll.BDP($B59,J$6)</f>
        <v>None</v>
      </c>
      <c r="K59" s="25" t="str">
        <f>_xll.BDP($B59,K$6)</f>
        <v>% Balance/Diffusion Index SA</v>
      </c>
      <c r="L59" s="25" t="str">
        <f>_xll.BDP($B59,L$6)</f>
        <v>Apr</v>
      </c>
      <c r="M59" s="39" t="str">
        <f>_xll.BDP($B59,M$6)</f>
        <v>3/31/2015</v>
      </c>
      <c r="N59" s="39" t="str">
        <f>_xll.BDP($B59,N$6)</f>
        <v>2/28/2015</v>
      </c>
      <c r="O59" s="25" t="str">
        <f>_xll.BDP($B59,O$6)</f>
        <v>Monthly</v>
      </c>
      <c r="P59" s="39" t="str">
        <f>_xll.BDP($B59,P$6)</f>
        <v>4/30/2015</v>
      </c>
      <c r="Q59" s="39">
        <f t="shared" si="3"/>
        <v>42124</v>
      </c>
      <c r="R59" s="25" t="str">
        <f>_xll.BDP($B59,R$6)</f>
        <v>9:45:00 AM</v>
      </c>
      <c r="S59" s="25">
        <v>0</v>
      </c>
      <c r="T59" s="25" t="str">
        <f>_xll.BDP($B59,T$6)</f>
        <v>United States</v>
      </c>
      <c r="U59" s="25" t="str">
        <f>_xll.BDP($B59,U$6)</f>
        <v>As of February 1, 2014, the sub-indices for the Chicago Business Barometer are fee-liable. The headline index {CHPMINDX Index} remains free to all Bloomberg clients. To obtain a subscription to the sub-indices, please contact: MNI Subscriber Services at Tel: 212-669-6409 or clientsupport@mni-news.com. MNI Indicators at Tel: +44 (0) 207 862 7444 or Info@mni-indicators.com. The MNI Chicago Report is a monthly report that characterizes expanding or contracting US economic activity through a survey panel of purchasing/supply-chain professionals. The survey panel, primarily drawn from membership of the Institute for Supply Management-Chicago (ISM-Chicago), consists of procurement managers from service and manufacturing companies located in the Chicagoland area. The MNI Chicago Report includes the Chicago Business Barometer, seven related Business Activity Indexes (Production, New Orders, Order Backlogs, Inventories, Employment, Supplier Deliveries and Prices Paid) and three Buying Policy In</v>
      </c>
    </row>
    <row r="60" spans="2:21" ht="20.100000000000001" customHeight="1" x14ac:dyDescent="0.25">
      <c r="B60" s="20" t="s">
        <v>79</v>
      </c>
      <c r="C60" s="25" t="str">
        <f>_xll.BDP($B60,C$6)</f>
        <v>ISM Milwaukee Purchasers Manufacturing Index</v>
      </c>
      <c r="D60" s="36" t="str">
        <f t="shared" si="2"/>
        <v>MAPMINDX Index</v>
      </c>
      <c r="E60" s="37">
        <f>_xll.BDP($B60,E$6)</f>
        <v>38.8889</v>
      </c>
      <c r="F60" s="25" t="str">
        <f>_xll.BDP($B60,F$6)</f>
        <v>ISM Milwaukee Purchasers Manuf</v>
      </c>
      <c r="G60" s="38">
        <f>_xll.BDP($B60,G$6)</f>
        <v>53.25</v>
      </c>
      <c r="H60" s="38" t="str">
        <f>_xll.BDP($B60,H$6)</f>
        <v>#N/A N/A</v>
      </c>
      <c r="I60" s="38">
        <f>_xll.BDP($B60,I$6)</f>
        <v>50.32</v>
      </c>
      <c r="J60" s="25" t="str">
        <f>_xll.BDP($B60,J$6)</f>
        <v>None</v>
      </c>
      <c r="K60" s="25" t="str">
        <f>_xll.BDP($B60,K$6)</f>
        <v>% Balance/Diffusion Index SA</v>
      </c>
      <c r="L60" s="25" t="str">
        <f>_xll.BDP($B60,L$6)</f>
        <v>Apr</v>
      </c>
      <c r="M60" s="39" t="str">
        <f>_xll.BDP($B60,M$6)</f>
        <v>3/31/2015</v>
      </c>
      <c r="N60" s="39" t="str">
        <f>_xll.BDP($B60,N$6)</f>
        <v>2/28/2015</v>
      </c>
      <c r="O60" s="25" t="str">
        <f>_xll.BDP($B60,O$6)</f>
        <v>Monthly</v>
      </c>
      <c r="P60" s="39" t="str">
        <f>_xll.BDP($B60,P$6)</f>
        <v>4/30/2015</v>
      </c>
      <c r="Q60" s="39">
        <f t="shared" si="3"/>
        <v>42124</v>
      </c>
      <c r="R60" s="25" t="str">
        <f>_xll.BDP($B60,R$6)</f>
        <v>9:00:00 AM</v>
      </c>
      <c r="S60" s="25">
        <f>_xll.BDP($B60,S$6)</f>
        <v>38.8889</v>
      </c>
      <c r="T60" s="25" t="str">
        <f>_xll.BDP($B60,T$6)</f>
        <v>United States</v>
      </c>
      <c r="U60" s="25" t="str">
        <f>_xll.BDP($B60,U$6)</f>
        <v>Figures are diffusion indexes. A reading above 50 suggests expansion,           while figures below 50 suggest contraction.</v>
      </c>
    </row>
    <row r="61" spans="2:21" ht="20.100000000000001" customHeight="1" x14ac:dyDescent="0.25">
      <c r="B61" s="20" t="s">
        <v>128</v>
      </c>
      <c r="C61" s="25" t="str">
        <f>_xll.BDP($B61,C$6)</f>
        <v>ISM Manufacturing PMI SA</v>
      </c>
      <c r="D61" s="36" t="str">
        <f t="shared" si="2"/>
        <v>NAPMPMI Index</v>
      </c>
      <c r="E61" s="37">
        <f>_xll.BDP($B61,E$6)</f>
        <v>96.031700000000001</v>
      </c>
      <c r="F61" s="25" t="str">
        <f>_xll.BDP($B61,F$6)</f>
        <v>ISM Manufacturing PMI SA</v>
      </c>
      <c r="G61" s="38">
        <f>_xll.BDP($B61,G$6)</f>
        <v>51.5</v>
      </c>
      <c r="H61" s="38">
        <f>_xll.BDP($B61,H$6)</f>
        <v>52</v>
      </c>
      <c r="I61" s="38">
        <f>_xll.BDP($B61,I$6)</f>
        <v>52.9</v>
      </c>
      <c r="J61" s="25" t="str">
        <f>_xll.BDP($B61,J$6)</f>
        <v>None</v>
      </c>
      <c r="K61" s="25" t="str">
        <f>_xll.BDP($B61,K$6)</f>
        <v>% Balance/Diffusion Index SA</v>
      </c>
      <c r="L61" s="25" t="str">
        <f>_xll.BDP($B61,L$6)</f>
        <v>Apr</v>
      </c>
      <c r="M61" s="39" t="str">
        <f>_xll.BDP($B61,M$6)</f>
        <v>3/31/2015</v>
      </c>
      <c r="N61" s="39" t="str">
        <f>_xll.BDP($B61,N$6)</f>
        <v>2/28/2015</v>
      </c>
      <c r="O61" s="25" t="str">
        <f>_xll.BDP($B61,O$6)</f>
        <v>Monthly</v>
      </c>
      <c r="P61" s="39" t="str">
        <f>_xll.BDP($B61,P$6)</f>
        <v>5/1/2015</v>
      </c>
      <c r="Q61" s="39">
        <f t="shared" si="3"/>
        <v>42125</v>
      </c>
      <c r="R61" s="25" t="str">
        <f>_xll.BDP($B61,R$6)</f>
        <v>10:00:00 AM</v>
      </c>
      <c r="S61" s="25">
        <f>_xll.BDP($B61,S$6)</f>
        <v>96.031700000000001</v>
      </c>
      <c r="T61" s="25" t="str">
        <f>_xll.BDP($B61,T$6)</f>
        <v>United States</v>
      </c>
      <c r="U61" s="25" t="str">
        <f>_xll.BDP($B61,U$6)</f>
        <v>ISM Manufacturing release is published on the first business day of every month. ISM Non Manufacturing release is published on the third business day of the    month.  ISM indices compare the changes in various market areas on a month to   month basis.  The ISM index includes prices paid for all purchases including    import purchases and purchases of food and energy excluding crude oil.  The     production index compares current month production with the prior month.  The   new orders index compares current month orders with  the prior  month.  The backlog index compares current month unfilled orders with the prior month.  The same is true for imports and exports.  The inventory index compares current month units on hand with the prior month, not the dollar value.  The employment index   compares current month level of employment within purchasing companies with the prior month.  The supplier deliveries index compares the current month rate at  which orders are filled with the prior m</v>
      </c>
    </row>
    <row r="62" spans="2:21" ht="20.100000000000001" customHeight="1" x14ac:dyDescent="0.25">
      <c r="B62" s="20" t="s">
        <v>125</v>
      </c>
      <c r="C62" s="25" t="str">
        <f>_xll.BDP($B62,C$6)</f>
        <v>Census Bureau US Construction Spending MoM SA</v>
      </c>
      <c r="D62" s="36" t="str">
        <f t="shared" si="2"/>
        <v>CNSTTMOM Index</v>
      </c>
      <c r="E62" s="37">
        <f>_xll.BDP($B62,E$6)</f>
        <v>80.158699999999996</v>
      </c>
      <c r="F62" s="25" t="str">
        <f>_xll.BDP($B62,F$6)</f>
        <v>Census Bureau US Construction</v>
      </c>
      <c r="G62" s="38">
        <f>_xll.BDP($B62,G$6)</f>
        <v>-0.1</v>
      </c>
      <c r="H62" s="38">
        <f>_xll.BDP($B62,H$6)</f>
        <v>0.5</v>
      </c>
      <c r="I62" s="38">
        <f>_xll.BDP($B62,I$6)</f>
        <v>-1.7</v>
      </c>
      <c r="J62" s="25" t="str">
        <f>_xll.BDP($B62,J$6)</f>
        <v>None</v>
      </c>
      <c r="K62" s="25" t="str">
        <f>_xll.BDP($B62,K$6)</f>
        <v>MoM% SA</v>
      </c>
      <c r="L62" s="25" t="str">
        <f>_xll.BDP($B62,L$6)</f>
        <v>Mar</v>
      </c>
      <c r="M62" s="39" t="str">
        <f>_xll.BDP($B62,M$6)</f>
        <v>2/28/2015</v>
      </c>
      <c r="N62" s="39" t="str">
        <f>_xll.BDP($B62,N$6)</f>
        <v>1/31/2015</v>
      </c>
      <c r="O62" s="25" t="str">
        <f>_xll.BDP($B62,O$6)</f>
        <v>Monthly</v>
      </c>
      <c r="P62" s="39" t="str">
        <f>_xll.BDP($B62,P$6)</f>
        <v>5/1/2015</v>
      </c>
      <c r="Q62" s="39">
        <f t="shared" si="3"/>
        <v>42125</v>
      </c>
      <c r="R62" s="25" t="str">
        <f>_xll.BDP($B62,R$6)</f>
        <v>10:00:00 AM</v>
      </c>
      <c r="S62" s="25">
        <f>_xll.BDP($B62,S$6)</f>
        <v>80.158699999999996</v>
      </c>
      <c r="T62" s="25" t="str">
        <f>_xll.BDP($B62,T$6)</f>
        <v>United States</v>
      </c>
      <c r="U62" s="25" t="str">
        <f>_xll.BDP($B62,U$6)</f>
        <v>Value of new construction put in place in the US, adjusted at annual rates. Non-seasonally adjusted figures can be found under {ALLX CNNS &lt;Go&gt;}.</v>
      </c>
    </row>
    <row r="63" spans="2:21" ht="20.100000000000001" customHeight="1" x14ac:dyDescent="0.25">
      <c r="B63" s="20" t="s">
        <v>131</v>
      </c>
      <c r="C63" s="25" t="str">
        <f>_xll.BDP($B63,C$6)</f>
        <v>ISM Manufacturing Report on Business Prices Index NSA</v>
      </c>
      <c r="D63" s="36" t="str">
        <f t="shared" si="2"/>
        <v>NAPMPRIC Index</v>
      </c>
      <c r="E63" s="37">
        <f>_xll.BDP($B63,E$6)</f>
        <v>73.015900000000002</v>
      </c>
      <c r="F63" s="25" t="str">
        <f>_xll.BDP($B63,F$6)</f>
        <v>ISM Manufacturing Report on Bu</v>
      </c>
      <c r="G63" s="38">
        <f>_xll.BDP($B63,G$6)</f>
        <v>39</v>
      </c>
      <c r="H63" s="38">
        <f>_xll.BDP($B63,H$6)</f>
        <v>41</v>
      </c>
      <c r="I63" s="38">
        <f>_xll.BDP($B63,I$6)</f>
        <v>35</v>
      </c>
      <c r="J63" s="25" t="str">
        <f>_xll.BDP($B63,J$6)</f>
        <v>None</v>
      </c>
      <c r="K63" s="25" t="str">
        <f>_xll.BDP($B63,K$6)</f>
        <v>% Balance/Diffusion Index NSA</v>
      </c>
      <c r="L63" s="25" t="str">
        <f>_xll.BDP($B63,L$6)</f>
        <v>Apr</v>
      </c>
      <c r="M63" s="39" t="str">
        <f>_xll.BDP($B63,M$6)</f>
        <v>3/31/2015</v>
      </c>
      <c r="N63" s="39" t="str">
        <f>_xll.BDP($B63,N$6)</f>
        <v>2/28/2015</v>
      </c>
      <c r="O63" s="25" t="str">
        <f>_xll.BDP($B63,O$6)</f>
        <v>Monthly</v>
      </c>
      <c r="P63" s="39" t="str">
        <f>_xll.BDP($B63,P$6)</f>
        <v>5/1/2015</v>
      </c>
      <c r="Q63" s="39">
        <f t="shared" si="3"/>
        <v>42125</v>
      </c>
      <c r="R63" s="25" t="str">
        <f>_xll.BDP($B63,R$6)</f>
        <v>10:00:00 AM</v>
      </c>
      <c r="S63" s="25">
        <f>_xll.BDP($B63,S$6)</f>
        <v>73.015900000000002</v>
      </c>
      <c r="T63" s="25" t="str">
        <f>_xll.BDP($B63,T$6)</f>
        <v>United States</v>
      </c>
      <c r="U63" s="25" t="str">
        <f>_xll.BDP($B63,U$6)</f>
        <v>ISM Manufacturing release is published on the first business day of every month. ISM Non Manufacturing release is published on the third business day of the    month.  ISM indices compare the changes in various market areas on a month to   month basis.  The ISM index includes prices paid for all purchases including    import purchases and purchases of food and energy excluding crude oil.  The     production index compares current month production with the prior month.  The   new orders index compares current month orders with  the prior  month.  The backlog index compares current month unfilled orders with the prior month.  The same is true for imports and exports.  The inventory index compares current month units on hand with the prior month, not the dollar value.  The employment index   compares current month level of employment within purchasing companies with the prior month.  The supplier deliveries index compares the current month rate at  which orders are filled with the prior m</v>
      </c>
    </row>
    <row r="64" spans="2:21" ht="20.100000000000001" customHeight="1" x14ac:dyDescent="0.25">
      <c r="B64" s="20" t="s">
        <v>135</v>
      </c>
      <c r="C64" s="25" t="str">
        <f>_xll.BDP($B64,C$6)</f>
        <v>US Auto Sales Total Annualized SA</v>
      </c>
      <c r="D64" s="36" t="str">
        <f t="shared" si="2"/>
        <v>SAARTOTL Index</v>
      </c>
      <c r="E64" s="37">
        <f>_xll.BDP($B64,E$6)</f>
        <v>46.825400000000002</v>
      </c>
      <c r="F64" s="25" t="str">
        <f>_xll.BDP($B64,F$6)</f>
        <v>US Auto Sales Total Annualized</v>
      </c>
      <c r="G64" s="38">
        <f>_xll.BDP($B64,G$6)</f>
        <v>17.05</v>
      </c>
      <c r="H64" s="38">
        <f>_xll.BDP($B64,H$6)</f>
        <v>16.899999999999999</v>
      </c>
      <c r="I64" s="38">
        <f>_xll.BDP($B64,I$6)</f>
        <v>16.16</v>
      </c>
      <c r="J64" s="25" t="str">
        <f>_xll.BDP($B64,J$6)</f>
        <v>Million</v>
      </c>
      <c r="K64" s="25" t="str">
        <f>_xll.BDP($B64,K$6)</f>
        <v>#N/A N/A</v>
      </c>
      <c r="L64" s="25" t="str">
        <f>_xll.BDP($B64,L$6)</f>
        <v>Apr</v>
      </c>
      <c r="M64" s="39" t="str">
        <f>_xll.BDP($B64,M$6)</f>
        <v>3/14/2014</v>
      </c>
      <c r="N64" s="39" t="str">
        <f>_xll.BDP($B64,N$6)</f>
        <v>2/28/2014</v>
      </c>
      <c r="O64" s="25" t="str">
        <f>_xll.BDP($B64,O$6)</f>
        <v>Monthly</v>
      </c>
      <c r="P64" s="39" t="str">
        <f>_xll.BDP($B64,P$6)</f>
        <v>5/1/2015</v>
      </c>
      <c r="Q64" s="39">
        <f t="shared" si="3"/>
        <v>42125</v>
      </c>
      <c r="R64" s="25" t="str">
        <f>_xll.BDP($B64,R$6)</f>
        <v>#N/A Field Not Applicable</v>
      </c>
      <c r="S64" s="25">
        <f>_xll.BDP($B64,S$6)</f>
        <v>46.825400000000002</v>
      </c>
      <c r="T64" s="25" t="str">
        <f>_xll.BDP($B64,T$6)</f>
        <v>UNITED STATES</v>
      </c>
      <c r="U64" s="25" t="str">
        <f>_xll.BDP($B64,U$6)</f>
        <v>The underlying data is currently provided by Ward's Automotive Group.Further information on the use of auto unit sales in the preparation of PCE estimates can be found in U.S. Department of Commerce, Bureau of Economic Analysis, Personal Consumption Expenditures, Methodology Paper Series MP-6 (1990).                   SAARTOTL Index: the seasonlly adjusted annual sales of total light vehicles sold in U.S., in millions.Total sales are broken down by cars and light trucks that are manufactured in U.S., Mexico and Canada (Domestic), and those manufactured elsewhere (Imported).                                                                                                                                                                                                     These figures in SAAR index are calculated as follows: the monthly sales divided by the SAAR factors (The Seasonally Adjusted Annualized Selling Rate) provided by the Commerce Dept. The SAAR factors adjust for seasonal chan</v>
      </c>
    </row>
    <row r="65" spans="2:21" ht="20.100000000000001" customHeight="1" x14ac:dyDescent="0.25">
      <c r="B65" s="20" t="s">
        <v>138</v>
      </c>
      <c r="C65" s="25" t="str">
        <f>_xll.BDP($B65,C$6)</f>
        <v>US Auto Sales Domestic Vehicles Annualized SA</v>
      </c>
      <c r="D65" s="36" t="str">
        <f t="shared" si="2"/>
        <v>SAARDTOT Index</v>
      </c>
      <c r="E65" s="37">
        <f>_xll.BDP($B65,E$6)</f>
        <v>39.682499999999997</v>
      </c>
      <c r="F65" s="25" t="str">
        <f>_xll.BDP($B65,F$6)</f>
        <v>US Auto Sales Domestic Vehicle</v>
      </c>
      <c r="G65" s="38">
        <f>_xll.BDP($B65,G$6)</f>
        <v>13.35</v>
      </c>
      <c r="H65" s="38">
        <f>_xll.BDP($B65,H$6)</f>
        <v>13.45</v>
      </c>
      <c r="I65" s="38">
        <f>_xll.BDP($B65,I$6)</f>
        <v>12.87</v>
      </c>
      <c r="J65" s="25" t="str">
        <f>_xll.BDP($B65,J$6)</f>
        <v>Million</v>
      </c>
      <c r="K65" s="25" t="str">
        <f>_xll.BDP($B65,K$6)</f>
        <v>#N/A N/A</v>
      </c>
      <c r="L65" s="25" t="str">
        <f>_xll.BDP($B65,L$6)</f>
        <v>Apr</v>
      </c>
      <c r="M65" s="39" t="str">
        <f>_xll.BDP($B65,M$6)</f>
        <v>1/31/2018</v>
      </c>
      <c r="N65" s="39" t="str">
        <f>_xll.BDP($B65,N$6)</f>
        <v>1/31/2018</v>
      </c>
      <c r="O65" s="25" t="str">
        <f>_xll.BDP($B65,O$6)</f>
        <v>Monthly</v>
      </c>
      <c r="P65" s="39" t="str">
        <f>_xll.BDP($B65,P$6)</f>
        <v>5/1/2015</v>
      </c>
      <c r="Q65" s="39">
        <f t="shared" si="3"/>
        <v>42125</v>
      </c>
      <c r="R65" s="25" t="str">
        <f>_xll.BDP($B65,R$6)</f>
        <v>#N/A Field Not Applicable</v>
      </c>
      <c r="S65" s="25">
        <f>_xll.BDP($B65,S$6)</f>
        <v>39.682499999999997</v>
      </c>
      <c r="T65" s="25" t="str">
        <f>_xll.BDP($B65,T$6)</f>
        <v>UNITED STATES</v>
      </c>
      <c r="U65" s="25" t="str">
        <f>_xll.BDP($B65,U$6)</f>
        <v>The underlying data is currently provided by Ward's Automotive Group.Further information on the use of auto unit sales in the preparation of PCE estimates can be found in U.S. Department of Commerce, Bureau of Economic Analysis, Personal Consumption Expenditures, Methodology Paper Series MP-6 (1990).                   This index is the seasonally adjusted annual sales of domestic made light vehicles sold in the US, in Millions. Domestic made light vehicles including cars and light trucks that are manufactured in the US, Canada, and Mexico. These figures are calculated as follows: the monthly sales divided by the SAAR factors (The Seasonally Adjusted Annualized Selling Rate) provided by the Commerce Department. The SAAR factors adjust for seasonal changes in salse and annualize the figures, making comparisons of the monthly data more meaningful. Please see ATSL&lt;GO&gt; for all auto sales statistics. Data prior to 1991 is taken directly from the Commerce Department. Data revisions due to sea</v>
      </c>
    </row>
    <row r="66" spans="2:21" ht="20.100000000000001" customHeight="1" x14ac:dyDescent="0.25">
      <c r="B66" s="20" t="s">
        <v>161</v>
      </c>
      <c r="C66" s="25" t="str">
        <f>_xll.BDP($B66,C$6)</f>
        <v>NEW YORK PURCHASING MANAGER Current Business Conditions SA</v>
      </c>
      <c r="D66" s="36" t="str">
        <f t="shared" si="2"/>
        <v>NYPMCURR Index</v>
      </c>
      <c r="E66" s="37">
        <f>_xll.BDP($B66,E$6)</f>
        <v>16.666699999999999</v>
      </c>
      <c r="F66" s="25" t="str">
        <f>_xll.BDP($B66,F$6)</f>
        <v>NEW YORK PURCHASING MANAGER Cu</v>
      </c>
      <c r="G66" s="38">
        <f>_xll.BDP($B66,G$6)</f>
        <v>50</v>
      </c>
      <c r="H66" s="38" t="str">
        <f>_xll.BDP($B66,H$6)</f>
        <v>#N/A N/A</v>
      </c>
      <c r="I66" s="38">
        <f>_xll.BDP($B66,I$6)</f>
        <v>63.1</v>
      </c>
      <c r="J66" s="25" t="str">
        <f>_xll.BDP($B66,J$6)</f>
        <v>None</v>
      </c>
      <c r="K66" s="25" t="str">
        <f>_xll.BDP($B66,K$6)</f>
        <v>% Balance/Diffusion Index SA</v>
      </c>
      <c r="L66" s="25" t="str">
        <f>_xll.BDP($B66,L$6)</f>
        <v>Apr</v>
      </c>
      <c r="M66" s="39" t="str">
        <f>_xll.BDP($B66,M$6)</f>
        <v>3/31/2015</v>
      </c>
      <c r="N66" s="39" t="str">
        <f>_xll.BDP($B66,N$6)</f>
        <v>2/28/2015</v>
      </c>
      <c r="O66" s="25" t="str">
        <f>_xll.BDP($B66,O$6)</f>
        <v>Monthly</v>
      </c>
      <c r="P66" s="39" t="str">
        <f>_xll.BDP($B66,P$6)</f>
        <v>5/4/2015</v>
      </c>
      <c r="Q66" s="39">
        <f t="shared" si="3"/>
        <v>42128</v>
      </c>
      <c r="R66" s="25" t="str">
        <f>_xll.BDP($B66,R$6)</f>
        <v>9:45:00 AM</v>
      </c>
      <c r="S66" s="25">
        <f>_xll.BDP($B66,S$6)</f>
        <v>16.666699999999999</v>
      </c>
      <c r="T66" s="25" t="str">
        <f>_xll.BDP($B66,T$6)</f>
        <v>United States</v>
      </c>
      <c r="U66" s="25" t="str">
        <f>_xll.BDP($B66,U$6)</f>
        <v>#N/A Field Not Applicable</v>
      </c>
    </row>
    <row r="67" spans="2:21" ht="20.100000000000001" customHeight="1" x14ac:dyDescent="0.25">
      <c r="B67" s="20" t="s">
        <v>165</v>
      </c>
      <c r="C67" s="25" t="str">
        <f>_xll.BDP($B67,C$6)</f>
        <v>US Manufacturers New Orders Total MoM SA</v>
      </c>
      <c r="D67" s="36" t="str">
        <f t="shared" si="2"/>
        <v>TMNOCHNG Index</v>
      </c>
      <c r="E67" s="37">
        <f>_xll.BDP($B67,E$6)</f>
        <v>86.507900000000006</v>
      </c>
      <c r="F67" s="25" t="str">
        <f>_xll.BDP($B67,F$6)</f>
        <v>US Manufacturers New Orders To</v>
      </c>
      <c r="G67" s="38">
        <f>_xll.BDP($B67,G$6)</f>
        <v>0.2</v>
      </c>
      <c r="H67" s="38" t="str">
        <f>_xll.BDP($B67,H$6)</f>
        <v>#N/A N/A</v>
      </c>
      <c r="I67" s="38">
        <f>_xll.BDP($B67,I$6)</f>
        <v>-0.7</v>
      </c>
      <c r="J67" s="25" t="str">
        <f>_xll.BDP($B67,J$6)</f>
        <v>None</v>
      </c>
      <c r="K67" s="25" t="str">
        <f>_xll.BDP($B67,K$6)</f>
        <v>MoM% SA</v>
      </c>
      <c r="L67" s="25" t="str">
        <f>_xll.BDP($B67,L$6)</f>
        <v>Mar</v>
      </c>
      <c r="M67" s="39" t="str">
        <f>_xll.BDP($B67,M$6)</f>
        <v>2/28/2015</v>
      </c>
      <c r="N67" s="39" t="str">
        <f>_xll.BDP($B67,N$6)</f>
        <v>1/31/2015</v>
      </c>
      <c r="O67" s="25" t="str">
        <f>_xll.BDP($B67,O$6)</f>
        <v>Monthly</v>
      </c>
      <c r="P67" s="39" t="str">
        <f>_xll.BDP($B67,P$6)</f>
        <v>5/4/2015</v>
      </c>
      <c r="Q67" s="39">
        <f t="shared" si="3"/>
        <v>42128</v>
      </c>
      <c r="R67" s="25" t="str">
        <f>_xll.BDP($B67,R$6)</f>
        <v>10:00:00 AM</v>
      </c>
      <c r="S67" s="25">
        <f>_xll.BDP($B67,S$6)</f>
        <v>86.507900000000006</v>
      </c>
      <c r="T67" s="25" t="str">
        <f>_xll.BDP($B67,T$6)</f>
        <v>United States</v>
      </c>
      <c r="U67" s="25" t="str">
        <f>_xll.BDP($B67,U$6)</f>
        <v>Please note that semiconductor figures will no longer be included in this series due to a lack of semiconductor manufacturers participation.  In 2001, figures from January 1992 to present were revised using the North American Industry Classification System (NAICS).  Data prior to January 1992 uses the Standard Industrial Classifciation (SIC) so comparisons of figures prior to 1992 with those after 1992 should be made with caution.</v>
      </c>
    </row>
    <row r="68" spans="2:21" ht="20.100000000000001" customHeight="1" x14ac:dyDescent="0.25">
      <c r="B68" s="20" t="s">
        <v>154</v>
      </c>
      <c r="C68" s="25" t="str">
        <f>_xll.BDP($B68,C$6)</f>
        <v>US Trade Balance of Goods and Services SA</v>
      </c>
      <c r="D68" s="36" t="str">
        <f t="shared" si="2"/>
        <v>USTBTOT Index</v>
      </c>
      <c r="E68" s="37">
        <f>_xll.BDP($B68,E$6)</f>
        <v>84.920599999999993</v>
      </c>
      <c r="F68" s="25" t="str">
        <f>_xll.BDP($B68,F$6)</f>
        <v>US Trade Balance of Goods and</v>
      </c>
      <c r="G68" s="38">
        <f>_xll.BDP($B68,G$6)</f>
        <v>-35.444000000000003</v>
      </c>
      <c r="H68" s="38" t="str">
        <f>_xll.BDP($B68,H$6)</f>
        <v>#N/A N/A</v>
      </c>
      <c r="I68" s="38">
        <f>_xll.BDP($B68,I$6)</f>
        <v>-42.676000000000002</v>
      </c>
      <c r="J68" s="25" t="str">
        <f>_xll.BDP($B68,J$6)</f>
        <v>Billion</v>
      </c>
      <c r="K68" s="25" t="str">
        <f>_xll.BDP($B68,K$6)</f>
        <v>Value SA</v>
      </c>
      <c r="L68" s="25" t="str">
        <f>_xll.BDP($B68,L$6)</f>
        <v>Mar</v>
      </c>
      <c r="M68" s="39" t="str">
        <f>_xll.BDP($B68,M$6)</f>
        <v>2/28/2015</v>
      </c>
      <c r="N68" s="39" t="str">
        <f>_xll.BDP($B68,N$6)</f>
        <v>1/31/2015</v>
      </c>
      <c r="O68" s="25" t="str">
        <f>_xll.BDP($B68,O$6)</f>
        <v>Monthly</v>
      </c>
      <c r="P68" s="39" t="str">
        <f>_xll.BDP($B68,P$6)</f>
        <v>5/5/2015</v>
      </c>
      <c r="Q68" s="39">
        <f t="shared" si="3"/>
        <v>42129</v>
      </c>
      <c r="R68" s="25" t="str">
        <f>_xll.BDP($B68,R$6)</f>
        <v>8:30:00 AM</v>
      </c>
      <c r="S68" s="25">
        <f>_xll.BDP($B68,S$6)</f>
        <v>84.920599999999993</v>
      </c>
      <c r="T68" s="25" t="str">
        <f>_xll.BDP($B68,T$6)</f>
        <v>United States</v>
      </c>
      <c r="U68" s="25" t="str">
        <f>_xll.BDP($B68,U$6)</f>
        <v>Balance of payments.  Total trade balance = Goods + Services.</v>
      </c>
    </row>
    <row r="69" spans="2:21" ht="20.100000000000001" customHeight="1" x14ac:dyDescent="0.25">
      <c r="B69" s="20" t="s">
        <v>215</v>
      </c>
      <c r="C69" s="25" t="str">
        <f>_xll.BDP($B69,C$6)</f>
        <v>ISM Non-Manufacturing NMI NSA</v>
      </c>
      <c r="D69" s="36" t="str">
        <f t="shared" si="2"/>
        <v>NAPMNMI Index</v>
      </c>
      <c r="E69" s="37">
        <f>_xll.BDP($B69,E$6)</f>
        <v>76.984099999999998</v>
      </c>
      <c r="F69" s="25" t="str">
        <f>_xll.BDP($B69,F$6)</f>
        <v>ISM Non-Manufacturing NMI NSA</v>
      </c>
      <c r="G69" s="38">
        <f>_xll.BDP($B69,G$6)</f>
        <v>56.5</v>
      </c>
      <c r="H69" s="38" t="str">
        <f>_xll.BDP($B69,H$6)</f>
        <v>#N/A N/A</v>
      </c>
      <c r="I69" s="38">
        <f>_xll.BDP($B69,I$6)</f>
        <v>56.9</v>
      </c>
      <c r="J69" s="25" t="str">
        <f>_xll.BDP($B69,J$6)</f>
        <v>None</v>
      </c>
      <c r="K69" s="25" t="str">
        <f>_xll.BDP($B69,K$6)</f>
        <v>% Balance/Diffusion Index NSA</v>
      </c>
      <c r="L69" s="25" t="str">
        <f>_xll.BDP($B69,L$6)</f>
        <v>Apr</v>
      </c>
      <c r="M69" s="39" t="str">
        <f>_xll.BDP($B69,M$6)</f>
        <v>3/31/2015</v>
      </c>
      <c r="N69" s="39" t="str">
        <f>_xll.BDP($B69,N$6)</f>
        <v>2/28/2015</v>
      </c>
      <c r="O69" s="25" t="str">
        <f>_xll.BDP($B69,O$6)</f>
        <v>Monthly</v>
      </c>
      <c r="P69" s="39" t="str">
        <f>_xll.BDP($B69,P$6)</f>
        <v>5/5/2015</v>
      </c>
      <c r="Q69" s="39">
        <f t="shared" si="3"/>
        <v>42129</v>
      </c>
      <c r="R69" s="25" t="str">
        <f>_xll.BDP($B69,R$6)</f>
        <v>10:00:00 AM</v>
      </c>
      <c r="S69" s="25">
        <f>_xll.BDP($B69,S$6)</f>
        <v>76.984099999999998</v>
      </c>
      <c r="T69" s="25" t="str">
        <f>_xll.BDP($B69,T$6)</f>
        <v>United States</v>
      </c>
      <c r="U69" s="25" t="str">
        <f>_xll.BDP($B69,U$6)</f>
        <v>ISM Manufacturing release is published on the first business day of every month. ISM Non Manufacturing release is published on the third business day of the    month.  ISM indices compare the changes in various market areas on a month to   month basis.  The ISM index includes prices paid for all purchases including    import purchases and purchases of food and energy excluding crude oil.  The     production index compares current month production with the prior month.  The   new orders index compares current month orders with  the prior  month.  The backlog index compares current month unfilled orders with the prior month.  The same is true for imports and exports.  The inventory index compares current month units on hand with the prior month, not the dollar value.  The employment index   compares current month level of employment within purchasing companies with the prior month.  The supplier deliveries index compares the current month rate at  which orders are filled with the prior m</v>
      </c>
    </row>
    <row r="70" spans="2:21" ht="20.100000000000001" customHeight="1" x14ac:dyDescent="0.25">
      <c r="B70" s="20" t="s">
        <v>220</v>
      </c>
      <c r="C70" s="25" t="str">
        <f>_xll.BDP($B70,C$6)</f>
        <v>US IBD/TIPP Index of Economic Optimism</v>
      </c>
      <c r="D70" s="36" t="str">
        <f t="shared" si="2"/>
        <v>ECONUSIB Index</v>
      </c>
      <c r="E70" s="37">
        <f>_xll.BDP($B70,E$6)</f>
        <v>24.603200000000001</v>
      </c>
      <c r="F70" s="25" t="str">
        <f>_xll.BDP($B70,F$6)</f>
        <v>US IBD/TIPP Index of Economic</v>
      </c>
      <c r="G70" s="38">
        <f>_xll.BDP($B70,G$6)</f>
        <v>51.3</v>
      </c>
      <c r="H70" s="38" t="str">
        <f>_xll.BDP($B70,H$6)</f>
        <v>#N/A N/A</v>
      </c>
      <c r="I70" s="38" t="str">
        <f>_xll.BDP($B70,I$6)</f>
        <v>#N/A N/A</v>
      </c>
      <c r="J70" s="25" t="str">
        <f>_xll.BDP($B70,J$6)</f>
        <v>None</v>
      </c>
      <c r="K70" s="25" t="str">
        <f>_xll.BDP($B70,K$6)</f>
        <v>#N/A N/A</v>
      </c>
      <c r="L70" s="25" t="str">
        <f>_xll.BDP($B70,L$6)</f>
        <v>May</v>
      </c>
      <c r="M70" s="39" t="str">
        <f>_xll.BDP($B70,M$6)</f>
        <v>6/30/2006</v>
      </c>
      <c r="N70" s="39" t="str">
        <f>_xll.BDP($B70,N$6)</f>
        <v>#N/A N/A</v>
      </c>
      <c r="O70" s="25" t="str">
        <f>_xll.BDP($B70,O$6)</f>
        <v>Monthly</v>
      </c>
      <c r="P70" s="39" t="str">
        <f>_xll.BDP($B70,P$6)</f>
        <v>5/5/2015</v>
      </c>
      <c r="Q70" s="39">
        <f t="shared" si="3"/>
        <v>42129</v>
      </c>
      <c r="R70" s="25" t="str">
        <f>_xll.BDP($B70,R$6)</f>
        <v>10:00:00 AM</v>
      </c>
      <c r="S70" s="25">
        <f>_xll.BDP($B70,S$6)</f>
        <v>24.603200000000001</v>
      </c>
      <c r="T70" s="25" t="str">
        <f>_xll.BDP($B70,T$6)</f>
        <v>UNITED STATES</v>
      </c>
      <c r="U70" s="25" t="str">
        <f>_xll.BDP($B70,U$6)</f>
        <v>ECON Flash Indices. Historical data cannot be stored as per the source.         Investors Business Daily and TechnoMetrica Market Intelligence index of U.S. economic optimism.  This index only exists so that the number can be flashed on ECO US &lt;Go&gt;.  We cannot store historical data for this index.  A reading over 50 indicates a postive outlook while a reading below 50 signals a negative outlook.</v>
      </c>
    </row>
    <row r="71" spans="2:21" ht="20.100000000000001" customHeight="1" x14ac:dyDescent="0.25">
      <c r="B71" s="20" t="s">
        <v>117</v>
      </c>
      <c r="C71" s="25" t="str">
        <f>_xll.BDP($B71,C$6)</f>
        <v>ADP National Employment Report SA Private Nonfarm Level Change</v>
      </c>
      <c r="D71" s="36" t="str">
        <f t="shared" ref="D71:D102" si="4">+B71</f>
        <v>ADP CHNG Index</v>
      </c>
      <c r="E71" s="37">
        <f>_xll.BDP($B71,E$6)</f>
        <v>83.333299999999994</v>
      </c>
      <c r="F71" s="25" t="str">
        <f>_xll.BDP($B71,F$6)</f>
        <v>ADP National Employment Report</v>
      </c>
      <c r="G71" s="38">
        <f>_xll.BDP($B71,G$6)</f>
        <v>188.7</v>
      </c>
      <c r="H71" s="38" t="str">
        <f>_xll.BDP($B71,H$6)</f>
        <v>#N/A N/A</v>
      </c>
      <c r="I71" s="38">
        <f>_xll.BDP($B71,I$6)</f>
        <v>213.6</v>
      </c>
      <c r="J71" s="25" t="str">
        <f>_xll.BDP($B71,J$6)</f>
        <v>Thousand</v>
      </c>
      <c r="K71" s="25" t="str">
        <f>_xll.BDP($B71,K$6)</f>
        <v>Net Monthly Change SA</v>
      </c>
      <c r="L71" s="25" t="str">
        <f>_xll.BDP($B71,L$6)</f>
        <v>Apr</v>
      </c>
      <c r="M71" s="39" t="str">
        <f>_xll.BDP($B71,M$6)</f>
        <v>3/31/2015</v>
      </c>
      <c r="N71" s="39" t="str">
        <f>_xll.BDP($B71,N$6)</f>
        <v>2/28/2015</v>
      </c>
      <c r="O71" s="25" t="str">
        <f>_xll.BDP($B71,O$6)</f>
        <v>Monthly</v>
      </c>
      <c r="P71" s="39" t="str">
        <f>_xll.BDP($B71,P$6)</f>
        <v>5/6/2015</v>
      </c>
      <c r="Q71" s="39">
        <f t="shared" ref="Q71:Q102" si="5">+DATE(YEAR(P71),MONTH(P71),DAY(P71))</f>
        <v>42130</v>
      </c>
      <c r="R71" s="25" t="str">
        <f>_xll.BDP($B71,R$6)</f>
        <v>8:15:00 AM</v>
      </c>
      <c r="S71" s="25">
        <f>_xll.BDP($B71,S$6)</f>
        <v>83.333299999999994</v>
      </c>
      <c r="T71" s="25" t="str">
        <f>_xll.BDP($B71,T$6)</f>
        <v>United States</v>
      </c>
      <c r="U71" s="25" t="str">
        <f>_xll.BDP($B71,U$6)</f>
        <v>As of the October 2012 release, a new methodology was stated. The new methodology includes changes to the business sizes reported, additional industries reported, and additional employees and companies used in the sample size.  For the old methodology of the ADP National Employment Report, please see:  {ALLX ADP2&lt;GO&gt;}. The ADP National Employment Report is a measure of nonfarm private employment, based on a subset of aggregated and anonymous payroll data, using approximately 406,000 U.S. business clients and approximately 23 million employees working in all 19 of the major North American Industrial Classification (NAICS) private industrial sectors. The ADP National Employment Report was developed to help meet the need for additional timely and accurate estimates of short-term movements in the national labor market among economists, financial professionals, and government policy-makers.</v>
      </c>
    </row>
    <row r="72" spans="2:21" ht="20.100000000000001" customHeight="1" x14ac:dyDescent="0.25">
      <c r="B72" s="20" t="s">
        <v>142</v>
      </c>
      <c r="C72" s="25" t="str">
        <f>_xll.BDP($B72,C$6)</f>
        <v>Challenger US Job Cut Announcements Year Over Year Percent Change</v>
      </c>
      <c r="D72" s="36" t="str">
        <f t="shared" si="4"/>
        <v>CHALYOY% Index</v>
      </c>
      <c r="E72" s="37">
        <f>_xll.BDP($B72,E$6)</f>
        <v>37.301600000000001</v>
      </c>
      <c r="F72" s="25" t="str">
        <f>_xll.BDP($B72,F$6)</f>
        <v>Challenger US Job Cut Announce</v>
      </c>
      <c r="G72" s="38">
        <f>_xll.BDP($B72,G$6)</f>
        <v>6.4</v>
      </c>
      <c r="H72" s="38" t="str">
        <f>_xll.BDP($B72,H$6)</f>
        <v>#N/A N/A</v>
      </c>
      <c r="I72" s="38">
        <f>_xll.BDP($B72,I$6)</f>
        <v>20.9</v>
      </c>
      <c r="J72" s="25" t="str">
        <f>_xll.BDP($B72,J$6)</f>
        <v>None</v>
      </c>
      <c r="K72" s="25" t="str">
        <f>_xll.BDP($B72,K$6)</f>
        <v>YoY% NSA</v>
      </c>
      <c r="L72" s="25" t="str">
        <f>_xll.BDP($B72,L$6)</f>
        <v>Apr</v>
      </c>
      <c r="M72" s="39" t="str">
        <f>_xll.BDP($B72,M$6)</f>
        <v>3/31/2015</v>
      </c>
      <c r="N72" s="39" t="str">
        <f>_xll.BDP($B72,N$6)</f>
        <v>2/28/2015</v>
      </c>
      <c r="O72" s="25" t="str">
        <f>_xll.BDP($B72,O$6)</f>
        <v>Monthly</v>
      </c>
      <c r="P72" s="39" t="str">
        <f>_xll.BDP($B72,P$6)</f>
        <v>5/7/2015</v>
      </c>
      <c r="Q72" s="39">
        <f t="shared" si="5"/>
        <v>42131</v>
      </c>
      <c r="R72" s="25" t="str">
        <f>_xll.BDP($B72,R$6)</f>
        <v>7:30:00 AM</v>
      </c>
      <c r="S72" s="25">
        <f>_xll.BDP($B72,S$6)</f>
        <v>37.301600000000001</v>
      </c>
      <c r="T72" s="25" t="str">
        <f>_xll.BDP($B72,T$6)</f>
        <v>United States</v>
      </c>
      <c r="U72" s="25" t="str">
        <f>_xll.BDP($B72,U$6)</f>
        <v>A monthly report on the number of announced corporate layoffs.  These figures are not adjusted for seasonal variations. All figures in {ALLX CHAL&lt;GO&gt;} represent announced layoffs except for {CHALHIRE Index des&lt;GO&gt;}, which displays the month's announced hiring plans. For further information, please visit http://www.challengergray.com/press/press.aspx for their monthly job cuts report.              History is stored independently for monthly, quarterly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v>
      </c>
    </row>
    <row r="73" spans="2:21" ht="20.100000000000001" customHeight="1" x14ac:dyDescent="0.25">
      <c r="B73" s="20" t="s">
        <v>227</v>
      </c>
      <c r="C73" s="25" t="str">
        <f>_xll.BDP($B73,C$6)</f>
        <v>Federal Reserve Consumer Credit Total Net Change SA</v>
      </c>
      <c r="D73" s="36" t="str">
        <f t="shared" si="4"/>
        <v>CICRTOT Index</v>
      </c>
      <c r="E73" s="37">
        <f>_xll.BDP($B73,E$6)</f>
        <v>45.238100000000003</v>
      </c>
      <c r="F73" s="25" t="str">
        <f>_xll.BDP($B73,F$6)</f>
        <v>Federal Reserve Consumer Credi</v>
      </c>
      <c r="G73" s="38">
        <f>_xll.BDP($B73,G$6)</f>
        <v>15.516</v>
      </c>
      <c r="H73" s="38" t="str">
        <f>_xll.BDP($B73,H$6)</f>
        <v>#N/A N/A</v>
      </c>
      <c r="I73" s="38">
        <f>_xll.BDP($B73,I$6)</f>
        <v>10.795999999999999</v>
      </c>
      <c r="J73" s="25" t="str">
        <f>_xll.BDP($B73,J$6)</f>
        <v>Billion</v>
      </c>
      <c r="K73" s="25" t="str">
        <f>_xll.BDP($B73,K$6)</f>
        <v>Net Monthly Change SA</v>
      </c>
      <c r="L73" s="25" t="str">
        <f>_xll.BDP($B73,L$6)</f>
        <v>Mar</v>
      </c>
      <c r="M73" s="39" t="str">
        <f>_xll.BDP($B73,M$6)</f>
        <v>2/28/2015</v>
      </c>
      <c r="N73" s="39" t="str">
        <f>_xll.BDP($B73,N$6)</f>
        <v>1/31/2015</v>
      </c>
      <c r="O73" s="25" t="str">
        <f>_xll.BDP($B73,O$6)</f>
        <v>Monthly</v>
      </c>
      <c r="P73" s="39" t="str">
        <f>_xll.BDP($B73,P$6)</f>
        <v>5/7/2015</v>
      </c>
      <c r="Q73" s="39">
        <f t="shared" si="5"/>
        <v>42131</v>
      </c>
      <c r="R73" s="25" t="str">
        <f>_xll.BDP($B73,R$6)</f>
        <v>3:00:00 PM</v>
      </c>
      <c r="S73" s="25">
        <f>_xll.BDP($B73,S$6)</f>
        <v>45.238100000000003</v>
      </c>
      <c r="T73" s="25" t="str">
        <f>_xll.BDP($B73,T$6)</f>
        <v>United States</v>
      </c>
      <c r="U73" s="25" t="str">
        <f>_xll.BDP($B73,U$6)</f>
        <v>This index covers most short-term and intermediate-term credit extended to individuals, excluding loans secured by real estate.  This index is taken from the G.19 report disseminated by the Federal Reserve.  For total consumer credit outstanding type CCOSTOT &lt;Index&gt;. FAQ:In the September 10. 2012 release of the Federal Reserve reported a methodology change for the G.19 Consumer Credit Table. As such, data was revised for December 2010 forward. For more details please see the following link:&lt;http://www.federalreserve.gov/releases/g19/revisions/&gt;</v>
      </c>
    </row>
    <row r="74" spans="2:21" ht="20.100000000000001" customHeight="1" x14ac:dyDescent="0.25">
      <c r="B74" s="20" t="s">
        <v>171</v>
      </c>
      <c r="C74" s="25" t="str">
        <f>_xll.BDP($B74,C$6)</f>
        <v>US Employees on Nonfarm Payrolls Total MoM Net Change SA</v>
      </c>
      <c r="D74" s="36" t="str">
        <f t="shared" si="4"/>
        <v>NFP TCH Index</v>
      </c>
      <c r="E74" s="37">
        <f>_xll.BDP($B74,E$6)</f>
        <v>99.206299999999999</v>
      </c>
      <c r="F74" s="25" t="str">
        <f>_xll.BDP($B74,F$6)</f>
        <v>US Employees on Nonfarm Payrol</v>
      </c>
      <c r="G74" s="38">
        <f>_xll.BDP($B74,G$6)</f>
        <v>126</v>
      </c>
      <c r="H74" s="38" t="str">
        <f>_xll.BDP($B74,H$6)</f>
        <v>#N/A N/A</v>
      </c>
      <c r="I74" s="38">
        <f>_xll.BDP($B74,I$6)</f>
        <v>264</v>
      </c>
      <c r="J74" s="25" t="str">
        <f>_xll.BDP($B74,J$6)</f>
        <v>Thousand</v>
      </c>
      <c r="K74" s="25" t="str">
        <f>_xll.BDP($B74,K$6)</f>
        <v>Net Monthly Change SA</v>
      </c>
      <c r="L74" s="25" t="str">
        <f>_xll.BDP($B74,L$6)</f>
        <v>Apr</v>
      </c>
      <c r="M74" s="39" t="str">
        <f>_xll.BDP($B74,M$6)</f>
        <v>3/31/2015</v>
      </c>
      <c r="N74" s="39" t="str">
        <f>_xll.BDP($B74,N$6)</f>
        <v>2/28/2015</v>
      </c>
      <c r="O74" s="25" t="str">
        <f>_xll.BDP($B74,O$6)</f>
        <v>Monthly</v>
      </c>
      <c r="P74" s="39" t="str">
        <f>_xll.BDP($B74,P$6)</f>
        <v>5/8/2015</v>
      </c>
      <c r="Q74" s="39">
        <f t="shared" si="5"/>
        <v>42132</v>
      </c>
      <c r="R74" s="25" t="str">
        <f>_xll.BDP($B74,R$6)</f>
        <v>8:30:00 AM</v>
      </c>
      <c r="S74" s="25">
        <f>_xll.BDP($B74,S$6)</f>
        <v>99.206299999999999</v>
      </c>
      <c r="T74" s="25" t="str">
        <f>_xll.BDP($B74,T$6)</f>
        <v>United States</v>
      </c>
      <c r="U74" s="25" t="str">
        <f>_xll.BDP($B74,U$6)</f>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                                                            In June 2003, all figures from the establishment survey were converted from the Standard Industrial Classification (SIC) over to the North American Industry Classification System (NAICS).  As a result, new categories were created and all history was revised.  Please note that only the broader categories will have history dating back prior to 1990.</v>
      </c>
    </row>
    <row r="75" spans="2:21" ht="20.100000000000001" customHeight="1" x14ac:dyDescent="0.25">
      <c r="B75" s="20" t="s">
        <v>183</v>
      </c>
      <c r="C75" s="25" t="str">
        <f>_xll.BDP($B75,C$6)</f>
        <v>U-3 US Unemployment Rate Total in Labor Force Seasonally Adjusted</v>
      </c>
      <c r="D75" s="36" t="str">
        <f t="shared" si="4"/>
        <v>USURTOT Index</v>
      </c>
      <c r="E75" s="37">
        <f>_xll.BDP($B75,E$6)</f>
        <v>89.285700000000006</v>
      </c>
      <c r="F75" s="25" t="str">
        <f>_xll.BDP($B75,F$6)</f>
        <v>U-3 US Unemployment Rate Total</v>
      </c>
      <c r="G75" s="38">
        <f>_xll.BDP($B75,G$6)</f>
        <v>5.5</v>
      </c>
      <c r="H75" s="38" t="str">
        <f>_xll.BDP($B75,H$6)</f>
        <v>#N/A N/A</v>
      </c>
      <c r="I75" s="38">
        <f>_xll.BDP($B75,I$6)</f>
        <v>5.5</v>
      </c>
      <c r="J75" s="25" t="str">
        <f>_xll.BDP($B75,J$6)</f>
        <v>None</v>
      </c>
      <c r="K75" s="25" t="str">
        <f>_xll.BDP($B75,K$6)</f>
        <v>Percent SA</v>
      </c>
      <c r="L75" s="25" t="str">
        <f>_xll.BDP($B75,L$6)</f>
        <v>Apr</v>
      </c>
      <c r="M75" s="39" t="str">
        <f>_xll.BDP($B75,M$6)</f>
        <v>3/31/2015</v>
      </c>
      <c r="N75" s="39" t="str">
        <f>_xll.BDP($B75,N$6)</f>
        <v>2/28/2015</v>
      </c>
      <c r="O75" s="25" t="str">
        <f>_xll.BDP($B75,O$6)</f>
        <v>Monthly</v>
      </c>
      <c r="P75" s="39" t="str">
        <f>_xll.BDP($B75,P$6)</f>
        <v>5/8/2015</v>
      </c>
      <c r="Q75" s="39">
        <f t="shared" si="5"/>
        <v>42132</v>
      </c>
      <c r="R75" s="25" t="str">
        <f>_xll.BDP($B75,R$6)</f>
        <v>8:30:00 AM</v>
      </c>
      <c r="S75" s="25">
        <f>_xll.BDP($B75,S$6)</f>
        <v>89.285700000000006</v>
      </c>
      <c r="T75" s="25" t="str">
        <f>_xll.BDP($B75,T$6)</f>
        <v>United States</v>
      </c>
      <c r="U75" s="25" t="str">
        <f>_xll.BDP($B75,U$6)</f>
        <v>Index measures the US unemployment rate on a monthly basis.  The unemployment rate represents the number unemployed persons as a percent of the labor force.  Each month approximately 60,000 sample households are interviewed (a portion is done via telephone) during the week that includes the 12th of the month.          History is stored independently for monthly, quarterly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 on.</v>
      </c>
    </row>
    <row r="76" spans="2:21" ht="20.100000000000001" customHeight="1" x14ac:dyDescent="0.25">
      <c r="B76" s="20" t="s">
        <v>180</v>
      </c>
      <c r="C76" s="25" t="str">
        <f>_xll.BDP($B76,C$6)</f>
        <v>US Employees on Nonfarm Payrolls Manufacturing Industry Monthly Net Change SA</v>
      </c>
      <c r="D76" s="36" t="str">
        <f t="shared" si="4"/>
        <v>USMMMNCH Index</v>
      </c>
      <c r="E76" s="37">
        <f>_xll.BDP($B76,E$6)</f>
        <v>69.444400000000002</v>
      </c>
      <c r="F76" s="25" t="str">
        <f>_xll.BDP($B76,F$6)</f>
        <v>US Employees on Nonfarm Payrol</v>
      </c>
      <c r="G76" s="38">
        <f>_xll.BDP($B76,G$6)</f>
        <v>-1</v>
      </c>
      <c r="H76" s="38" t="str">
        <f>_xll.BDP($B76,H$6)</f>
        <v>#N/A N/A</v>
      </c>
      <c r="I76" s="38">
        <f>_xll.BDP($B76,I$6)</f>
        <v>2</v>
      </c>
      <c r="J76" s="25" t="str">
        <f>_xll.BDP($B76,J$6)</f>
        <v>Thousand</v>
      </c>
      <c r="K76" s="25" t="str">
        <f>_xll.BDP($B76,K$6)</f>
        <v>Net Monthly Change SA</v>
      </c>
      <c r="L76" s="25" t="str">
        <f>_xll.BDP($B76,L$6)</f>
        <v>Apr</v>
      </c>
      <c r="M76" s="39" t="str">
        <f>_xll.BDP($B76,M$6)</f>
        <v>3/31/2015</v>
      </c>
      <c r="N76" s="39" t="str">
        <f>_xll.BDP($B76,N$6)</f>
        <v>2/28/2015</v>
      </c>
      <c r="O76" s="25" t="str">
        <f>_xll.BDP($B76,O$6)</f>
        <v>Monthly</v>
      </c>
      <c r="P76" s="39" t="str">
        <f>_xll.BDP($B76,P$6)</f>
        <v>5/8/2015</v>
      </c>
      <c r="Q76" s="39">
        <f t="shared" si="5"/>
        <v>42132</v>
      </c>
      <c r="R76" s="25" t="str">
        <f>_xll.BDP($B76,R$6)</f>
        <v>8:30:00 AM</v>
      </c>
      <c r="S76" s="25">
        <f>_xll.BDP($B76,S$6)</f>
        <v>69.444400000000002</v>
      </c>
      <c r="T76" s="25" t="str">
        <f>_xll.BDP($B76,T$6)</f>
        <v>United States</v>
      </c>
      <c r="U76" s="25" t="str">
        <f>_xll.BDP($B76,U$6)</f>
        <v>In June 2003, all figures from the establishment survey were converted from the Standard Industrial Classification (SIC) over to the North American Industry Classification System (NAICS).  As a result, new categories were created and all history was revised.  Please note that only the broader categories will have history dating back prior to 1990.</v>
      </c>
    </row>
    <row r="77" spans="2:21" ht="20.100000000000001" customHeight="1" x14ac:dyDescent="0.25">
      <c r="B77" s="20" t="s">
        <v>177</v>
      </c>
      <c r="C77" s="25" t="str">
        <f>_xll.BDP($B77,C$6)</f>
        <v>US Employees on Nonfarm Payrolls Total Private MoM Net Change SA</v>
      </c>
      <c r="D77" s="36" t="str">
        <f t="shared" si="4"/>
        <v>NFP PCH Index</v>
      </c>
      <c r="E77" s="37">
        <f>_xll.BDP($B77,E$6)</f>
        <v>30.952400000000001</v>
      </c>
      <c r="F77" s="25" t="str">
        <f>_xll.BDP($B77,F$6)</f>
        <v>US Employees on Nonfarm Payrol</v>
      </c>
      <c r="G77" s="38">
        <f>_xll.BDP($B77,G$6)</f>
        <v>129</v>
      </c>
      <c r="H77" s="38" t="str">
        <f>_xll.BDP($B77,H$6)</f>
        <v>#N/A N/A</v>
      </c>
      <c r="I77" s="38">
        <f>_xll.BDP($B77,I$6)</f>
        <v>264</v>
      </c>
      <c r="J77" s="25" t="str">
        <f>_xll.BDP($B77,J$6)</f>
        <v>Thousand</v>
      </c>
      <c r="K77" s="25" t="str">
        <f>_xll.BDP($B77,K$6)</f>
        <v>Net Monthly Change SA</v>
      </c>
      <c r="L77" s="25" t="str">
        <f>_xll.BDP($B77,L$6)</f>
        <v>Apr</v>
      </c>
      <c r="M77" s="39" t="str">
        <f>_xll.BDP($B77,M$6)</f>
        <v>3/31/2015</v>
      </c>
      <c r="N77" s="39" t="str">
        <f>_xll.BDP($B77,N$6)</f>
        <v>2/28/2015</v>
      </c>
      <c r="O77" s="25" t="str">
        <f>_xll.BDP($B77,O$6)</f>
        <v>Monthly</v>
      </c>
      <c r="P77" s="39" t="str">
        <f>_xll.BDP($B77,P$6)</f>
        <v>5/8/2015</v>
      </c>
      <c r="Q77" s="39">
        <f t="shared" si="5"/>
        <v>42132</v>
      </c>
      <c r="R77" s="25" t="str">
        <f>_xll.BDP($B77,R$6)</f>
        <v>8:30:00 AM</v>
      </c>
      <c r="S77" s="25">
        <f>_xll.BDP($B77,S$6)</f>
        <v>30.952400000000001</v>
      </c>
      <c r="T77" s="25" t="str">
        <f>_xll.BDP($B77,T$6)</f>
        <v>United States</v>
      </c>
      <c r="U77" s="25" t="str">
        <f>_xll.BDP($B77,U$6)</f>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v>
      </c>
    </row>
    <row r="78" spans="2:21" ht="20.100000000000001" customHeight="1" x14ac:dyDescent="0.25">
      <c r="B78" s="20" t="s">
        <v>186</v>
      </c>
      <c r="C78" s="25" t="str">
        <f>_xll.BDP($B78,C$6)</f>
        <v>US Average Hourly Earnings All Employees Total Private Monthly Percentage Change</v>
      </c>
      <c r="D78" s="36" t="str">
        <f t="shared" si="4"/>
        <v>AHE MOM% Index</v>
      </c>
      <c r="E78" s="37">
        <f>_xll.BDP($B78,E$6)</f>
        <v>28.571400000000001</v>
      </c>
      <c r="F78" s="25" t="str">
        <f>_xll.BDP($B78,F$6)</f>
        <v>US Average Hourly Earnings All</v>
      </c>
      <c r="G78" s="38">
        <f>_xll.BDP($B78,G$6)</f>
        <v>0.3</v>
      </c>
      <c r="H78" s="38" t="str">
        <f>_xll.BDP($B78,H$6)</f>
        <v>#N/A N/A</v>
      </c>
      <c r="I78" s="38">
        <f>_xll.BDP($B78,I$6)</f>
        <v>0.1</v>
      </c>
      <c r="J78" s="25" t="str">
        <f>_xll.BDP($B78,J$6)</f>
        <v>None</v>
      </c>
      <c r="K78" s="25" t="str">
        <f>_xll.BDP($B78,K$6)</f>
        <v>MoM% SA</v>
      </c>
      <c r="L78" s="25" t="str">
        <f>_xll.BDP($B78,L$6)</f>
        <v>Apr</v>
      </c>
      <c r="M78" s="39" t="str">
        <f>_xll.BDP($B78,M$6)</f>
        <v>3/31/2015</v>
      </c>
      <c r="N78" s="39" t="str">
        <f>_xll.BDP($B78,N$6)</f>
        <v>2/28/2015</v>
      </c>
      <c r="O78" s="25" t="str">
        <f>_xll.BDP($B78,O$6)</f>
        <v>Monthly</v>
      </c>
      <c r="P78" s="39" t="str">
        <f>_xll.BDP($B78,P$6)</f>
        <v>5/8/2015</v>
      </c>
      <c r="Q78" s="39">
        <f t="shared" si="5"/>
        <v>42132</v>
      </c>
      <c r="R78" s="25" t="str">
        <f>_xll.BDP($B78,R$6)</f>
        <v>8:30:00 AM</v>
      </c>
      <c r="S78" s="25">
        <f>_xll.BDP($B78,S$6)</f>
        <v>28.571400000000001</v>
      </c>
      <c r="T78" s="25" t="str">
        <f>_xll.BDP($B78,T$6)</f>
        <v>United States</v>
      </c>
      <c r="U78" s="25" t="str">
        <f>_xll.BDP($B78,U$6)</f>
        <v>Please note that this sector represents earnings of all workers; for the average hourly earnings of production or nonsupervisory workers on private non-farm payrolls by industry; please use ALLX USHE, which is BLS' older series that contains further historical data.</v>
      </c>
    </row>
    <row r="79" spans="2:21" ht="20.100000000000001" customHeight="1" x14ac:dyDescent="0.25">
      <c r="B79" s="20" t="s">
        <v>189</v>
      </c>
      <c r="C79" s="25" t="str">
        <f>_xll.BDP($B79,C$6)</f>
        <v>US Average Hourly Earnings All Employees Total Private Yearly Percent Change SA</v>
      </c>
      <c r="D79" s="36" t="str">
        <f t="shared" si="4"/>
        <v>AHE YOY% Index</v>
      </c>
      <c r="E79" s="37">
        <f>_xll.BDP($B79,E$6)</f>
        <v>27.777799999999999</v>
      </c>
      <c r="F79" s="25" t="str">
        <f>_xll.BDP($B79,F$6)</f>
        <v>US Average Hourly Earnings All</v>
      </c>
      <c r="G79" s="38">
        <f>_xll.BDP($B79,G$6)</f>
        <v>2.1</v>
      </c>
      <c r="H79" s="38" t="str">
        <f>_xll.BDP($B79,H$6)</f>
        <v>#N/A N/A</v>
      </c>
      <c r="I79" s="38">
        <f>_xll.BDP($B79,I$6)</f>
        <v>2</v>
      </c>
      <c r="J79" s="25" t="str">
        <f>_xll.BDP($B79,J$6)</f>
        <v>None</v>
      </c>
      <c r="K79" s="25" t="str">
        <f>_xll.BDP($B79,K$6)</f>
        <v>YoY% SA</v>
      </c>
      <c r="L79" s="25" t="str">
        <f>_xll.BDP($B79,L$6)</f>
        <v>Apr</v>
      </c>
      <c r="M79" s="39" t="str">
        <f>_xll.BDP($B79,M$6)</f>
        <v>3/31/2015</v>
      </c>
      <c r="N79" s="39" t="str">
        <f>_xll.BDP($B79,N$6)</f>
        <v>2/28/2015</v>
      </c>
      <c r="O79" s="25" t="str">
        <f>_xll.BDP($B79,O$6)</f>
        <v>Monthly</v>
      </c>
      <c r="P79" s="39" t="str">
        <f>_xll.BDP($B79,P$6)</f>
        <v>5/8/2015</v>
      </c>
      <c r="Q79" s="39">
        <f t="shared" si="5"/>
        <v>42132</v>
      </c>
      <c r="R79" s="25" t="str">
        <f>_xll.BDP($B79,R$6)</f>
        <v>8:30:00 AM</v>
      </c>
      <c r="S79" s="25">
        <f>_xll.BDP($B79,S$6)</f>
        <v>27.777799999999999</v>
      </c>
      <c r="T79" s="25" t="str">
        <f>_xll.BDP($B79,T$6)</f>
        <v>United States</v>
      </c>
      <c r="U79" s="25" t="str">
        <f>_xll.BDP($B79,U$6)</f>
        <v>Please note that this sector represents earnings of all workers; for the average hourly earnings of production or nonsupervisory workers on private non-farm payrolls by industry; please use ALLX USHE, which is BLS' older series that contains further historical data.</v>
      </c>
    </row>
    <row r="80" spans="2:21" ht="20.100000000000001" customHeight="1" x14ac:dyDescent="0.25">
      <c r="B80" s="20" t="s">
        <v>192</v>
      </c>
      <c r="C80" s="25" t="str">
        <f>_xll.BDP($B80,C$6)</f>
        <v>US Average Weekly Hours All Employees Total Private SA</v>
      </c>
      <c r="D80" s="36" t="str">
        <f t="shared" si="4"/>
        <v>AWH TOTL Index</v>
      </c>
      <c r="E80" s="37">
        <f>_xll.BDP($B80,E$6)</f>
        <v>25.396799999999999</v>
      </c>
      <c r="F80" s="25" t="str">
        <f>_xll.BDP($B80,F$6)</f>
        <v>US Average Weekly Hours All Em</v>
      </c>
      <c r="G80" s="38">
        <f>_xll.BDP($B80,G$6)</f>
        <v>34.5</v>
      </c>
      <c r="H80" s="38" t="str">
        <f>_xll.BDP($B80,H$6)</f>
        <v>#N/A N/A</v>
      </c>
      <c r="I80" s="38">
        <f>_xll.BDP($B80,I$6)</f>
        <v>34.6</v>
      </c>
      <c r="J80" s="25" t="str">
        <f>_xll.BDP($B80,J$6)</f>
        <v>None</v>
      </c>
      <c r="K80" s="25" t="str">
        <f>_xll.BDP($B80,K$6)</f>
        <v>Units/Persons SA</v>
      </c>
      <c r="L80" s="25" t="str">
        <f>_xll.BDP($B80,L$6)</f>
        <v>Apr</v>
      </c>
      <c r="M80" s="39" t="str">
        <f>_xll.BDP($B80,M$6)</f>
        <v>3/31/2015</v>
      </c>
      <c r="N80" s="39" t="str">
        <f>_xll.BDP($B80,N$6)</f>
        <v>2/28/2015</v>
      </c>
      <c r="O80" s="25" t="str">
        <f>_xll.BDP($B80,O$6)</f>
        <v>Monthly</v>
      </c>
      <c r="P80" s="39" t="str">
        <f>_xll.BDP($B80,P$6)</f>
        <v>5/8/2015</v>
      </c>
      <c r="Q80" s="39">
        <f t="shared" si="5"/>
        <v>42132</v>
      </c>
      <c r="R80" s="25" t="str">
        <f>_xll.BDP($B80,R$6)</f>
        <v>8:30:00 AM</v>
      </c>
      <c r="S80" s="25">
        <f>_xll.BDP($B80,S$6)</f>
        <v>25.396799999999999</v>
      </c>
      <c r="T80" s="25" t="str">
        <f>_xll.BDP($B80,T$6)</f>
        <v>United States</v>
      </c>
      <c r="U80" s="25" t="str">
        <f>_xll.BDP($B80,U$6)</f>
        <v>#N/A Field Not Applicable</v>
      </c>
    </row>
    <row r="81" spans="2:21" ht="20.100000000000001" customHeight="1" x14ac:dyDescent="0.25">
      <c r="B81" s="20" t="s">
        <v>198</v>
      </c>
      <c r="C81" s="25" t="str">
        <f>_xll.BDP($B81,C$6)</f>
        <v>US Employment Total in Labor Force Net Change SA</v>
      </c>
      <c r="D81" s="36" t="str">
        <f t="shared" si="4"/>
        <v>USEMNCHG Index</v>
      </c>
      <c r="E81" s="37">
        <f>_xll.BDP($B81,E$6)</f>
        <v>22.222200000000001</v>
      </c>
      <c r="F81" s="25" t="str">
        <f>_xll.BDP($B81,F$6)</f>
        <v>US Employment Total in Labor F</v>
      </c>
      <c r="G81" s="38">
        <f>_xll.BDP($B81,G$6)</f>
        <v>34</v>
      </c>
      <c r="H81" s="38" t="str">
        <f>_xll.BDP($B81,H$6)</f>
        <v>#N/A N/A</v>
      </c>
      <c r="I81" s="38">
        <f>_xll.BDP($B81,I$6)</f>
        <v>96</v>
      </c>
      <c r="J81" s="25" t="str">
        <f>_xll.BDP($B81,J$6)</f>
        <v>Thousand</v>
      </c>
      <c r="K81" s="25" t="str">
        <f>_xll.BDP($B81,K$6)</f>
        <v>Net Monthly Change SA</v>
      </c>
      <c r="L81" s="25" t="str">
        <f>_xll.BDP($B81,L$6)</f>
        <v>Apr</v>
      </c>
      <c r="M81" s="39" t="str">
        <f>_xll.BDP($B81,M$6)</f>
        <v>3/31/2015</v>
      </c>
      <c r="N81" s="39" t="str">
        <f>_xll.BDP($B81,N$6)</f>
        <v>2/28/2015</v>
      </c>
      <c r="O81" s="25" t="str">
        <f>_xll.BDP($B81,O$6)</f>
        <v>Monthly</v>
      </c>
      <c r="P81" s="39" t="str">
        <f>_xll.BDP($B81,P$6)</f>
        <v>5/8/2015</v>
      </c>
      <c r="Q81" s="39">
        <f t="shared" si="5"/>
        <v>42132</v>
      </c>
      <c r="R81" s="25" t="str">
        <f>_xll.BDP($B81,R$6)</f>
        <v>8:30:00 AM</v>
      </c>
      <c r="S81" s="25">
        <f>_xll.BDP($B81,S$6)</f>
        <v>22.222200000000001</v>
      </c>
      <c r="T81" s="25" t="str">
        <f>_xll.BDP($B81,T$6)</f>
        <v>United States</v>
      </c>
      <c r="U81" s="25" t="str">
        <f>_xll.BDP($B81,U$6)</f>
        <v>http://www.bls.gov/cps/smoothed_emp.htm for USEMADJP                            This index's calculation is (USEMTOT index Previous value - USEMTOT index Current Value)</v>
      </c>
    </row>
    <row r="82" spans="2:21" ht="20.100000000000001" customHeight="1" x14ac:dyDescent="0.25">
      <c r="B82" s="20" t="s">
        <v>195</v>
      </c>
      <c r="C82" s="25" t="str">
        <f>_xll.BDP($B82,C$6)</f>
        <v>U-6 Unemployment Rate Unemployed &amp; Margin &amp; Part Time as % Labor Force &amp; Margin</v>
      </c>
      <c r="D82" s="36" t="str">
        <f t="shared" si="4"/>
        <v>USUDMAER Index</v>
      </c>
      <c r="E82" s="37">
        <f>_xll.BDP($B82,E$6)</f>
        <v>21.428599999999999</v>
      </c>
      <c r="F82" s="25" t="str">
        <f>_xll.BDP($B82,F$6)</f>
        <v>U-6 Unemployment Rate Unemploy</v>
      </c>
      <c r="G82" s="38">
        <f>_xll.BDP($B82,G$6)</f>
        <v>10.9</v>
      </c>
      <c r="H82" s="38" t="str">
        <f>_xll.BDP($B82,H$6)</f>
        <v>#N/A N/A</v>
      </c>
      <c r="I82" s="38">
        <f>_xll.BDP($B82,I$6)</f>
        <v>11</v>
      </c>
      <c r="J82" s="25" t="str">
        <f>_xll.BDP($B82,J$6)</f>
        <v>None</v>
      </c>
      <c r="K82" s="25" t="str">
        <f>_xll.BDP($B82,K$6)</f>
        <v>Percent SA</v>
      </c>
      <c r="L82" s="25" t="str">
        <f>_xll.BDP($B82,L$6)</f>
        <v>Apr</v>
      </c>
      <c r="M82" s="39" t="str">
        <f>_xll.BDP($B82,M$6)</f>
        <v>3/31/2015</v>
      </c>
      <c r="N82" s="39" t="str">
        <f>_xll.BDP($B82,N$6)</f>
        <v>2/28/2015</v>
      </c>
      <c r="O82" s="25" t="str">
        <f>_xll.BDP($B82,O$6)</f>
        <v>Monthly</v>
      </c>
      <c r="P82" s="39" t="str">
        <f>_xll.BDP($B82,P$6)</f>
        <v>5/8/2015</v>
      </c>
      <c r="Q82" s="39">
        <f t="shared" si="5"/>
        <v>42132</v>
      </c>
      <c r="R82" s="25" t="str">
        <f>_xll.BDP($B82,R$6)</f>
        <v>8:30:00 AM</v>
      </c>
      <c r="S82" s="25">
        <f>_xll.BDP($B82,S$6)</f>
        <v>21.428599999999999</v>
      </c>
      <c r="T82" s="25" t="str">
        <f>_xll.BDP($B82,T$6)</f>
        <v>United States</v>
      </c>
      <c r="U82" s="25" t="str">
        <f>_xll.BDP($B82,U$6)</f>
        <v>Total unemployed, plus all marginally attached workers, plus total employed part time for economic reasons, as a percent of the civilian labor force plus all marginally attached workers. Marginally attached workers are persons who currently are neither working nor looking for work but indicate that they want and are available for a job and have looked for work sometime in the recent past. Discouraged workers, a subset of the marginally attached, have given a job-market related reason for not currently looking for a job. Persons employed part time for economic reasons are those who want and are available for full-time work but have had to settle for a part-time schedule.</v>
      </c>
    </row>
    <row r="83" spans="2:21" ht="20.100000000000001" customHeight="1" x14ac:dyDescent="0.25">
      <c r="B83" s="20" t="s">
        <v>201</v>
      </c>
      <c r="C83" s="25" t="str">
        <f>_xll.BDP($B83,C$6)</f>
        <v>US Labor Force Participation Rate Total SA</v>
      </c>
      <c r="D83" s="36" t="str">
        <f t="shared" si="4"/>
        <v>PRUSTOT Index</v>
      </c>
      <c r="E83" s="37">
        <f>_xll.BDP($B83,E$6)</f>
        <v>11.1111</v>
      </c>
      <c r="F83" s="25" t="str">
        <f>_xll.BDP($B83,F$6)</f>
        <v>US Labor Force Participation R</v>
      </c>
      <c r="G83" s="38">
        <f>_xll.BDP($B83,G$6)</f>
        <v>62.7</v>
      </c>
      <c r="H83" s="38" t="str">
        <f>_xll.BDP($B83,H$6)</f>
        <v>#N/A N/A</v>
      </c>
      <c r="I83" s="38">
        <f>_xll.BDP($B83,I$6)</f>
        <v>62.8</v>
      </c>
      <c r="J83" s="25" t="str">
        <f>_xll.BDP($B83,J$6)</f>
        <v>None</v>
      </c>
      <c r="K83" s="25" t="str">
        <f>_xll.BDP($B83,K$6)</f>
        <v>Percent SA</v>
      </c>
      <c r="L83" s="25" t="str">
        <f>_xll.BDP($B83,L$6)</f>
        <v>Apr</v>
      </c>
      <c r="M83" s="39" t="str">
        <f>_xll.BDP($B83,M$6)</f>
        <v>3/31/2015</v>
      </c>
      <c r="N83" s="39" t="str">
        <f>_xll.BDP($B83,N$6)</f>
        <v>2/28/2015</v>
      </c>
      <c r="O83" s="25" t="str">
        <f>_xll.BDP($B83,O$6)</f>
        <v>Monthly</v>
      </c>
      <c r="P83" s="39" t="str">
        <f>_xll.BDP($B83,P$6)</f>
        <v>5/8/2015</v>
      </c>
      <c r="Q83" s="39">
        <f t="shared" si="5"/>
        <v>42132</v>
      </c>
      <c r="R83" s="25" t="str">
        <f>_xll.BDP($B83,R$6)</f>
        <v>8:30:00 AM</v>
      </c>
      <c r="S83" s="25">
        <f>_xll.BDP($B83,S$6)</f>
        <v>11.1111</v>
      </c>
      <c r="T83" s="25" t="str">
        <f>_xll.BDP($B83,T$6)</f>
        <v>United States</v>
      </c>
      <c r="U83" s="25" t="str">
        <f>_xll.BDP($B83,U$6)</f>
        <v>The employment participation rate represents the proportion of the population that is in the labor force.                                                       Formula for PRUSTOT Index = USLFTOT Index/ USCPTOT  Index</v>
      </c>
    </row>
    <row r="84" spans="2:21" ht="20.100000000000001" customHeight="1" x14ac:dyDescent="0.25">
      <c r="B84" s="20" t="s">
        <v>174</v>
      </c>
      <c r="C84" s="25" t="str">
        <f>_xll.BDP($B84,C$6)</f>
        <v>Net Revisions to Nonfarm Payrolls</v>
      </c>
      <c r="D84" s="36" t="str">
        <f t="shared" si="4"/>
        <v>ECONGECC Index</v>
      </c>
      <c r="E84" s="37">
        <f>_xll.BDP($B84,E$6)</f>
        <v>10.317500000000001</v>
      </c>
      <c r="F84" s="25" t="str">
        <f>_xll.BDP($B84,F$6)</f>
        <v>Net Revisions to Nonfarm Payro</v>
      </c>
      <c r="G84" s="38">
        <f>_xll.BDP($B84,G$6)</f>
        <v>-69</v>
      </c>
      <c r="H84" s="38" t="str">
        <f>_xll.BDP($B84,H$6)</f>
        <v>#N/A N/A</v>
      </c>
      <c r="I84" s="38" t="str">
        <f>_xll.BDP($B84,I$6)</f>
        <v>#N/A N/A</v>
      </c>
      <c r="J84" s="25" t="str">
        <f>_xll.BDP($B84,J$6)</f>
        <v>None</v>
      </c>
      <c r="K84" s="25" t="str">
        <f>_xll.BDP($B84,K$6)</f>
        <v>#N/A N/A</v>
      </c>
      <c r="L84" s="25" t="str">
        <f>_xll.BDP($B84,L$6)</f>
        <v>Apr</v>
      </c>
      <c r="M84" s="39" t="str">
        <f>_xll.BDP($B84,M$6)</f>
        <v>2/28/2013</v>
      </c>
      <c r="N84" s="39" t="str">
        <f>_xll.BDP($B84,N$6)</f>
        <v>2/28/2013</v>
      </c>
      <c r="O84" s="25" t="str">
        <f>_xll.BDP($B84,O$6)</f>
        <v>Monthly</v>
      </c>
      <c r="P84" s="39" t="str">
        <f>_xll.BDP($B84,P$6)</f>
        <v>5/8/2015</v>
      </c>
      <c r="Q84" s="39">
        <f t="shared" si="5"/>
        <v>42132</v>
      </c>
      <c r="R84" s="25" t="str">
        <f>_xll.BDP($B84,R$6)</f>
        <v>8:30:00 AM</v>
      </c>
      <c r="S84" s="25">
        <f>_xll.BDP($B84,S$6)</f>
        <v>10.317500000000001</v>
      </c>
      <c r="T84" s="25" t="str">
        <f>_xll.BDP($B84,T$6)</f>
        <v>UNITED STATES</v>
      </c>
      <c r="U84" s="25" t="str">
        <f>_xll.BDP($B84,U$6)</f>
        <v>ECON Flash Indices. Historical data cannot be stored as per the source.         Historical data is not currently stored for this Index, only the current value is stored to update ECO&lt;GO&gt;. This index is based on the original and revised values for {NFP TCH  Index &lt;go&gt;} for the prior two months.</v>
      </c>
    </row>
    <row r="85" spans="2:21" ht="20.100000000000001" customHeight="1" x14ac:dyDescent="0.25">
      <c r="B85" s="20" t="s">
        <v>241</v>
      </c>
      <c r="C85" s="25" t="str">
        <f>_xll.BDP($B85,C$6)</f>
        <v>Merchant Wholesalers Inventories Total Monthly % Change</v>
      </c>
      <c r="D85" s="36" t="str">
        <f t="shared" si="4"/>
        <v>MWINCHNG Index</v>
      </c>
      <c r="E85" s="37">
        <f>_xll.BDP($B85,E$6)</f>
        <v>80.952399999999997</v>
      </c>
      <c r="F85" s="25" t="str">
        <f>_xll.BDP($B85,F$6)</f>
        <v>Merchant Wholesalers Inventori</v>
      </c>
      <c r="G85" s="38">
        <f>_xll.BDP($B85,G$6)</f>
        <v>0.3</v>
      </c>
      <c r="H85" s="38" t="str">
        <f>_xll.BDP($B85,H$6)</f>
        <v>#N/A N/A</v>
      </c>
      <c r="I85" s="38">
        <f>_xll.BDP($B85,I$6)</f>
        <v>0.4</v>
      </c>
      <c r="J85" s="25" t="str">
        <f>_xll.BDP($B85,J$6)</f>
        <v>None</v>
      </c>
      <c r="K85" s="25" t="str">
        <f>_xll.BDP($B85,K$6)</f>
        <v>MoM% SA</v>
      </c>
      <c r="L85" s="25" t="str">
        <f>_xll.BDP($B85,L$6)</f>
        <v>Mar</v>
      </c>
      <c r="M85" s="39" t="str">
        <f>_xll.BDP($B85,M$6)</f>
        <v>2/28/2015</v>
      </c>
      <c r="N85" s="39" t="str">
        <f>_xll.BDP($B85,N$6)</f>
        <v>1/31/2015</v>
      </c>
      <c r="O85" s="25" t="str">
        <f>_xll.BDP($B85,O$6)</f>
        <v>Monthly</v>
      </c>
      <c r="P85" s="39" t="str">
        <f>_xll.BDP($B85,P$6)</f>
        <v>5/8/2015</v>
      </c>
      <c r="Q85" s="39">
        <f t="shared" si="5"/>
        <v>42132</v>
      </c>
      <c r="R85" s="25" t="str">
        <f>_xll.BDP($B85,R$6)</f>
        <v>10:00:00 AM</v>
      </c>
      <c r="S85" s="25">
        <f>_xll.BDP($B85,S$6)</f>
        <v>80.952399999999997</v>
      </c>
      <c r="T85" s="25" t="str">
        <f>_xll.BDP($B85,T$6)</f>
        <v>United States</v>
      </c>
      <c r="U85" s="25" t="str">
        <f>_xll.BDP($B85,U$6)</f>
        <v>This sector comes from the Wholesale trade report from the Census Bureau.       Figures from Jan. 1992 to present have been revised using the North American Industry Classification System (NAICS).  Data prior to Jan. 1992 uses the Standard Industrial Classification.  The NAICS figures make statistics comparable across North America and recognizes the changing makeup of the U.S. economy.  For old data series, containing data prior to 1992, please see {MWOSCHNG Index DES&lt;GO&gt;}.</v>
      </c>
    </row>
    <row r="86" spans="2:21" ht="20.100000000000001" customHeight="1" x14ac:dyDescent="0.25">
      <c r="B86" s="20" t="s">
        <v>244</v>
      </c>
      <c r="C86" s="25" t="str">
        <f>_xll.BDP($B86,C$6)</f>
        <v>Merchant Wholesalers Sales Total Monthly % Change SA</v>
      </c>
      <c r="D86" s="36" t="str">
        <f t="shared" si="4"/>
        <v>MWSLCHNG Index</v>
      </c>
      <c r="E86" s="37">
        <f>_xll.BDP($B86,E$6)</f>
        <v>9.5238099999999992</v>
      </c>
      <c r="F86" s="25" t="str">
        <f>_xll.BDP($B86,F$6)</f>
        <v>Merchant Wholesalers Sales Tot</v>
      </c>
      <c r="G86" s="38">
        <f>_xll.BDP($B86,G$6)</f>
        <v>-0.2</v>
      </c>
      <c r="H86" s="38" t="str">
        <f>_xll.BDP($B86,H$6)</f>
        <v>#N/A N/A</v>
      </c>
      <c r="I86" s="38">
        <f>_xll.BDP($B86,I$6)</f>
        <v>-3.6</v>
      </c>
      <c r="J86" s="25" t="str">
        <f>_xll.BDP($B86,J$6)</f>
        <v>None</v>
      </c>
      <c r="K86" s="25" t="str">
        <f>_xll.BDP($B86,K$6)</f>
        <v>MoM% SA</v>
      </c>
      <c r="L86" s="25" t="str">
        <f>_xll.BDP($B86,L$6)</f>
        <v>Mar</v>
      </c>
      <c r="M86" s="39" t="str">
        <f>_xll.BDP($B86,M$6)</f>
        <v>2/28/2015</v>
      </c>
      <c r="N86" s="39" t="str">
        <f>_xll.BDP($B86,N$6)</f>
        <v>1/31/2015</v>
      </c>
      <c r="O86" s="25" t="str">
        <f>_xll.BDP($B86,O$6)</f>
        <v>Monthly</v>
      </c>
      <c r="P86" s="39" t="str">
        <f>_xll.BDP($B86,P$6)</f>
        <v>5/8/2015</v>
      </c>
      <c r="Q86" s="39">
        <f t="shared" si="5"/>
        <v>42132</v>
      </c>
      <c r="R86" s="25" t="str">
        <f>_xll.BDP($B86,R$6)</f>
        <v>10:00:00 AM</v>
      </c>
      <c r="S86" s="25">
        <f>_xll.BDP($B86,S$6)</f>
        <v>9.5238099999999992</v>
      </c>
      <c r="T86" s="25" t="str">
        <f>_xll.BDP($B86,T$6)</f>
        <v>United States</v>
      </c>
      <c r="U86" s="25" t="str">
        <f>_xll.BDP($B86,U$6)</f>
        <v>Figures from Jan. 1992 to present have been revised using the North American Industry Classification System (NAICS).  Data prior to Jan. 1992 uses the Standard Industrial Classification.  The NAICS figures make statistics comparable across North America and recognizes the changing makeup of the U.S. economy.  Comparison of figures prior to 1992 with those after 1992 should be made with caution.  Wholesale Trade includes establishments promarily engaged in selling merchandise to retailers: to industrial, commercial institional, farm or professional bsiness users; or to other wholesalers; or acting as agents or brokers in buying merchandise for or selling merchandise to such persons or companies.                 In 2001, figures from January 1992 to present were revised using the North American Industry Classification System (NAICS). For old data series, containing data prior to 1992, please see {MWOSSCHG Index DES&lt;GO&gt;}.</v>
      </c>
    </row>
    <row r="87" spans="2:21" ht="20.100000000000001" customHeight="1" x14ac:dyDescent="0.25">
      <c r="B87" s="20" t="s">
        <v>212</v>
      </c>
      <c r="C87" s="25" t="str">
        <f>_xll.BDP($B87,C$6)</f>
        <v>Average Monthly Change in Fed Labor Market Conditions Index - LMCI 19</v>
      </c>
      <c r="D87" s="36" t="str">
        <f t="shared" si="4"/>
        <v>LMCILMCC Index</v>
      </c>
      <c r="E87" s="37">
        <f>_xll.BDP($B87,E$6)</f>
        <v>7.9365100000000002</v>
      </c>
      <c r="F87" s="25" t="str">
        <f>_xll.BDP($B87,F$6)</f>
        <v>Average Monthly Change in Fed</v>
      </c>
      <c r="G87" s="38">
        <f>_xll.BDP($B87,G$6)</f>
        <v>-0.3</v>
      </c>
      <c r="H87" s="38" t="str">
        <f>_xll.BDP($B87,H$6)</f>
        <v>#N/A N/A</v>
      </c>
      <c r="I87" s="38">
        <f>_xll.BDP($B87,I$6)</f>
        <v>2</v>
      </c>
      <c r="J87" s="25" t="str">
        <f>_xll.BDP($B87,J$6)</f>
        <v>None</v>
      </c>
      <c r="K87" s="25" t="str">
        <f>_xll.BDP($B87,K$6)</f>
        <v>MoM% SA</v>
      </c>
      <c r="L87" s="25" t="str">
        <f>_xll.BDP($B87,L$6)</f>
        <v>Apr</v>
      </c>
      <c r="M87" s="39" t="str">
        <f>_xll.BDP($B87,M$6)</f>
        <v>3/31/2015</v>
      </c>
      <c r="N87" s="39" t="str">
        <f>_xll.BDP($B87,N$6)</f>
        <v>2/28/2015</v>
      </c>
      <c r="O87" s="25" t="str">
        <f>_xll.BDP($B87,O$6)</f>
        <v>Monthly</v>
      </c>
      <c r="P87" s="39" t="str">
        <f>_xll.BDP($B87,P$6)</f>
        <v>5/11/2015</v>
      </c>
      <c r="Q87" s="39">
        <f t="shared" si="5"/>
        <v>42135</v>
      </c>
      <c r="R87" s="25" t="str">
        <f>_xll.BDP($B87,R$6)</f>
        <v>10:00:00 AM</v>
      </c>
      <c r="S87" s="25">
        <f>_xll.BDP($B87,S$6)</f>
        <v>7.9365100000000002</v>
      </c>
      <c r="T87" s="25" t="str">
        <f>_xll.BDP($B87,T$6)</f>
        <v>United States</v>
      </c>
      <c r="U87" s="25" t="str">
        <f>_xll.BDP($B87,U$6)</f>
        <v>From the the Board's H.4.1 statistical release: Factors Affecting Reserve Balances of Depository Institutions and Condition Statement of Federal Reserve Banks. Please note that the Federal Reserve does not release the actual index level, the data in this series represents the average monthly change in LMCI. For more information please see {http://www.federalreserve.gov/econresdata/notes/feds-notes/2014/assessing-the-change-in-labor-market-conditions-20140522.html}</v>
      </c>
    </row>
    <row r="88" spans="2:21" ht="20.100000000000001" customHeight="1" x14ac:dyDescent="0.25">
      <c r="B88" s="20" t="s">
        <v>223</v>
      </c>
      <c r="C88" s="25" t="str">
        <f>_xll.BDP($B88,C$6)</f>
        <v>US Job Openings By Industry Total SA</v>
      </c>
      <c r="D88" s="36" t="str">
        <f t="shared" si="4"/>
        <v>JOLTTOTL Index</v>
      </c>
      <c r="E88" s="37">
        <f>_xll.BDP($B88,E$6)</f>
        <v>23.015899999999998</v>
      </c>
      <c r="F88" s="25" t="str">
        <f>_xll.BDP($B88,F$6)</f>
        <v>US Job Openings By Industry To</v>
      </c>
      <c r="G88" s="38">
        <f>_xll.BDP($B88,G$6)</f>
        <v>5133</v>
      </c>
      <c r="H88" s="38" t="str">
        <f>_xll.BDP($B88,H$6)</f>
        <v>#N/A N/A</v>
      </c>
      <c r="I88" s="38">
        <f>_xll.BDP($B88,I$6)</f>
        <v>4965</v>
      </c>
      <c r="J88" s="25" t="str">
        <f>_xll.BDP($B88,J$6)</f>
        <v>Thousand</v>
      </c>
      <c r="K88" s="25" t="str">
        <f>_xll.BDP($B88,K$6)</f>
        <v>Units/Persons SA</v>
      </c>
      <c r="L88" s="25" t="str">
        <f>_xll.BDP($B88,L$6)</f>
        <v>Mar</v>
      </c>
      <c r="M88" s="39" t="str">
        <f>_xll.BDP($B88,M$6)</f>
        <v>2/28/2015</v>
      </c>
      <c r="N88" s="39" t="str">
        <f>_xll.BDP($B88,N$6)</f>
        <v>1/31/2015</v>
      </c>
      <c r="O88" s="25" t="str">
        <f>_xll.BDP($B88,O$6)</f>
        <v>Monthly</v>
      </c>
      <c r="P88" s="39" t="str">
        <f>_xll.BDP($B88,P$6)</f>
        <v>5/12/2015</v>
      </c>
      <c r="Q88" s="39">
        <f t="shared" si="5"/>
        <v>42136</v>
      </c>
      <c r="R88" s="25" t="str">
        <f>_xll.BDP($B88,R$6)</f>
        <v>10:00:00 AM</v>
      </c>
      <c r="S88" s="25">
        <f>_xll.BDP($B88,S$6)</f>
        <v>23.015899999999998</v>
      </c>
      <c r="T88" s="25" t="str">
        <f>_xll.BDP($B88,T$6)</f>
        <v>United States</v>
      </c>
      <c r="U88" s="25" t="str">
        <f>_xll.BDP($B88,U$6)</f>
        <v>Job Openings and Labor Turnover includes the number and rate of job openings,   hires and separations for the nation, by industry and geographic region.</v>
      </c>
    </row>
    <row r="89" spans="2:21" ht="20.100000000000001" customHeight="1" x14ac:dyDescent="0.25">
      <c r="B89" s="20" t="s">
        <v>255</v>
      </c>
      <c r="C89" s="25" t="str">
        <f>_xll.BDP($B89,C$6)</f>
        <v>US Treasury Federal Budget Debt Summary Deficit Or Surplus NSA</v>
      </c>
      <c r="D89" s="36" t="str">
        <f t="shared" si="4"/>
        <v>FDDSSD Index</v>
      </c>
      <c r="E89" s="37">
        <f>_xll.BDP($B89,E$6)</f>
        <v>76.1905</v>
      </c>
      <c r="F89" s="25" t="str">
        <f>_xll.BDP($B89,F$6)</f>
        <v>US Treasury Federal Budget Deb</v>
      </c>
      <c r="G89" s="38">
        <f>_xll.BDP($B89,G$6)</f>
        <v>-52.91</v>
      </c>
      <c r="H89" s="38" t="str">
        <f>_xll.BDP($B89,H$6)</f>
        <v>#N/A N/A</v>
      </c>
      <c r="I89" s="38">
        <f>_xll.BDP($B89,I$6)</f>
        <v>-192.327</v>
      </c>
      <c r="J89" s="25" t="str">
        <f>_xll.BDP($B89,J$6)</f>
        <v>Billion</v>
      </c>
      <c r="K89" s="25" t="str">
        <f>_xll.BDP($B89,K$6)</f>
        <v>Value NSA</v>
      </c>
      <c r="L89" s="25" t="str">
        <f>_xll.BDP($B89,L$6)</f>
        <v>Apr</v>
      </c>
      <c r="M89" s="39" t="str">
        <f>_xll.BDP($B89,M$6)</f>
        <v>3/31/2015</v>
      </c>
      <c r="N89" s="39" t="str">
        <f>_xll.BDP($B89,N$6)</f>
        <v>2/28/2015</v>
      </c>
      <c r="O89" s="25" t="str">
        <f>_xll.BDP($B89,O$6)</f>
        <v>Monthly</v>
      </c>
      <c r="P89" s="39" t="str">
        <f>_xll.BDP($B89,P$6)</f>
        <v>5/12/2015</v>
      </c>
      <c r="Q89" s="39">
        <f t="shared" si="5"/>
        <v>42136</v>
      </c>
      <c r="R89" s="25" t="str">
        <f>_xll.BDP($B89,R$6)</f>
        <v>2:00:00 PM</v>
      </c>
      <c r="S89" s="25">
        <f>_xll.BDP($B89,S$6)</f>
        <v>76.1905</v>
      </c>
      <c r="T89" s="25" t="str">
        <f>_xll.BDP($B89,T$6)</f>
        <v>United States</v>
      </c>
      <c r="U89" s="25" t="str">
        <f>_xll.BDP($B89,U$6)</f>
        <v>Prior figure is from the same month of a year earlier. This item is reported in the monthly Treasury statment of Receipts and Outlays of the US Government.  This statement summarizes the financial activities of the Federal Government and off-budget federal entities conducted in accordance with the budget of the US Government, i.e. receipts and outlays of funds, surplus or deficit, and the means of financing the deficit or disposing of the surplus.  Information is presented on a modified cash basis:  receipts are accounted for on the basis of collections; refunds of receipts are treated as deductions from gross receipts; revolving and management fund receipts; reimbursements refunds of monies previously expended are treaded as deductions from gross outlay; interest on public debt is recognized on the accrual basis.  Major sources include accounting data reported by federal entities, disbursing officers, and Federal Reserve banks.</v>
      </c>
    </row>
    <row r="90" spans="2:21" ht="20.100000000000001" customHeight="1" x14ac:dyDescent="0.25">
      <c r="B90" s="20" t="s">
        <v>290</v>
      </c>
      <c r="C90" s="25" t="str">
        <f>_xll.BDP($B90,C$6)</f>
        <v>NFIB Small Business Optimism Index</v>
      </c>
      <c r="D90" s="36" t="str">
        <f t="shared" si="4"/>
        <v>SBOITOTL Index</v>
      </c>
      <c r="E90" s="37">
        <f>_xll.BDP($B90,E$6)</f>
        <v>61.904800000000002</v>
      </c>
      <c r="F90" s="25" t="str">
        <f>_xll.BDP($B90,F$6)</f>
        <v>NFIB Small Business Optimism I</v>
      </c>
      <c r="G90" s="38">
        <f>_xll.BDP($B90,G$6)</f>
        <v>95.2</v>
      </c>
      <c r="H90" s="38" t="str">
        <f>_xll.BDP($B90,H$6)</f>
        <v>#N/A N/A</v>
      </c>
      <c r="I90" s="38">
        <f>_xll.BDP($B90,I$6)</f>
        <v>98</v>
      </c>
      <c r="J90" s="25" t="str">
        <f>_xll.BDP($B90,J$6)</f>
        <v>None</v>
      </c>
      <c r="K90" s="25" t="str">
        <f>_xll.BDP($B90,K$6)</f>
        <v>Index SA</v>
      </c>
      <c r="L90" s="25" t="str">
        <f>_xll.BDP($B90,L$6)</f>
        <v>Apr</v>
      </c>
      <c r="M90" s="39" t="str">
        <f>_xll.BDP($B90,M$6)</f>
        <v>3/31/2015</v>
      </c>
      <c r="N90" s="39" t="str">
        <f>_xll.BDP($B90,N$6)</f>
        <v>2/28/2015</v>
      </c>
      <c r="O90" s="25" t="str">
        <f>_xll.BDP($B90,O$6)</f>
        <v>Monthly</v>
      </c>
      <c r="P90" s="39" t="str">
        <f>_xll.BDP($B90,P$6)</f>
        <v>5/12/2015</v>
      </c>
      <c r="Q90" s="39">
        <f t="shared" si="5"/>
        <v>42136</v>
      </c>
      <c r="R90" s="25" t="str">
        <f>_xll.BDP($B90,R$6)</f>
        <v>9:00:00 AM</v>
      </c>
      <c r="S90" s="25">
        <f>_xll.BDP($B90,S$6)</f>
        <v>61.904800000000002</v>
      </c>
      <c r="T90" s="25" t="str">
        <f>_xll.BDP($B90,T$6)</f>
        <v>United States</v>
      </c>
      <c r="U90" s="25" t="str">
        <f>_xll.BDP($B90,U$6)</f>
        <v>NFIB Research Foundation has collected Small Business Economic Trends Data with Quarterly surveys since 1973 and monthly surveys since 1986. The sample is drawn from the membership files of the National Federation of Independent Business (NFIB). Archived Survey reports can be found on the NFIB website: &lt;http://www.nfib.com/research-foundation/small-business-economic-trends-sbet-archive&gt;&lt;P&gt;The term "small business" is defined as an independent (not publicly-held or held by an entity that is publicly-held), for-profit enterprise that employs between 1 and 250 people, not including the owners.</v>
      </c>
    </row>
    <row r="91" spans="2:21" ht="20.100000000000001" customHeight="1" x14ac:dyDescent="0.25">
      <c r="B91" s="20" t="s">
        <v>248</v>
      </c>
      <c r="C91" s="25" t="str">
        <f>_xll.BDP($B91,C$6)</f>
        <v>US Import Price Index by End Use All MoM NSA</v>
      </c>
      <c r="D91" s="36" t="str">
        <f t="shared" si="4"/>
        <v>IMP1CHNG Index</v>
      </c>
      <c r="E91" s="37">
        <f>_xll.BDP($B91,E$6)</f>
        <v>79.365099999999998</v>
      </c>
      <c r="F91" s="25" t="str">
        <f>_xll.BDP($B91,F$6)</f>
        <v>US Import Price Index by End U</v>
      </c>
      <c r="G91" s="38">
        <f>_xll.BDP($B91,G$6)</f>
        <v>-0.3</v>
      </c>
      <c r="H91" s="38" t="str">
        <f>_xll.BDP($B91,H$6)</f>
        <v>#N/A N/A</v>
      </c>
      <c r="I91" s="38">
        <f>_xll.BDP($B91,I$6)</f>
        <v>0.2</v>
      </c>
      <c r="J91" s="25" t="str">
        <f>_xll.BDP($B91,J$6)</f>
        <v>None</v>
      </c>
      <c r="K91" s="25" t="str">
        <f>_xll.BDP($B91,K$6)</f>
        <v>MoM% NSA</v>
      </c>
      <c r="L91" s="25" t="str">
        <f>_xll.BDP($B91,L$6)</f>
        <v>Apr</v>
      </c>
      <c r="M91" s="39" t="str">
        <f>_xll.BDP($B91,M$6)</f>
        <v>3/31/2015</v>
      </c>
      <c r="N91" s="39" t="str">
        <f>_xll.BDP($B91,N$6)</f>
        <v>2/28/2015</v>
      </c>
      <c r="O91" s="25" t="str">
        <f>_xll.BDP($B91,O$6)</f>
        <v>Monthly</v>
      </c>
      <c r="P91" s="39" t="str">
        <f>_xll.BDP($B91,P$6)</f>
        <v>5/13/2015</v>
      </c>
      <c r="Q91" s="39">
        <f t="shared" si="5"/>
        <v>42137</v>
      </c>
      <c r="R91" s="25" t="str">
        <f>_xll.BDP($B91,R$6)</f>
        <v>8:30:00 AM</v>
      </c>
      <c r="S91" s="25">
        <f>_xll.BDP($B91,S$6)</f>
        <v>79.365099999999998</v>
      </c>
      <c r="T91" s="25" t="str">
        <f>_xll.BDP($B91,T$6)</f>
        <v>United States</v>
      </c>
      <c r="U91" s="25" t="str">
        <f>_xll.BDP($B91,U$6)</f>
        <v>Base year 2000=100.</v>
      </c>
    </row>
    <row r="92" spans="2:21" ht="20.100000000000001" customHeight="1" x14ac:dyDescent="0.25">
      <c r="B92" s="20" t="s">
        <v>251</v>
      </c>
      <c r="C92" s="25" t="str">
        <f>_xll.BDP($B92,C$6)</f>
        <v>US Import Price Index by End Use All YoY NSA</v>
      </c>
      <c r="D92" s="36" t="str">
        <f t="shared" si="4"/>
        <v>IMP1YOY% Index</v>
      </c>
      <c r="E92" s="37">
        <f>_xll.BDP($B92,E$6)</f>
        <v>35.714300000000001</v>
      </c>
      <c r="F92" s="25" t="str">
        <f>_xll.BDP($B92,F$6)</f>
        <v>US Import Price Index by End U</v>
      </c>
      <c r="G92" s="38">
        <f>_xll.BDP($B92,G$6)</f>
        <v>-10.5</v>
      </c>
      <c r="H92" s="38" t="str">
        <f>_xll.BDP($B92,H$6)</f>
        <v>#N/A N/A</v>
      </c>
      <c r="I92" s="38">
        <f>_xll.BDP($B92,I$6)</f>
        <v>-9.6999999999999993</v>
      </c>
      <c r="J92" s="25" t="str">
        <f>_xll.BDP($B92,J$6)</f>
        <v>None</v>
      </c>
      <c r="K92" s="25" t="str">
        <f>_xll.BDP($B92,K$6)</f>
        <v>YoY% NSA</v>
      </c>
      <c r="L92" s="25" t="str">
        <f>_xll.BDP($B92,L$6)</f>
        <v>Apr</v>
      </c>
      <c r="M92" s="39" t="str">
        <f>_xll.BDP($B92,M$6)</f>
        <v>3/31/2015</v>
      </c>
      <c r="N92" s="39" t="str">
        <f>_xll.BDP($B92,N$6)</f>
        <v>2/28/2015</v>
      </c>
      <c r="O92" s="25" t="str">
        <f>_xll.BDP($B92,O$6)</f>
        <v>Monthly</v>
      </c>
      <c r="P92" s="39" t="str">
        <f>_xll.BDP($B92,P$6)</f>
        <v>5/13/2015</v>
      </c>
      <c r="Q92" s="39">
        <f t="shared" si="5"/>
        <v>42137</v>
      </c>
      <c r="R92" s="25" t="str">
        <f>_xll.BDP($B92,R$6)</f>
        <v>8:30:00 AM</v>
      </c>
      <c r="S92" s="25">
        <f>_xll.BDP($B92,S$6)</f>
        <v>35.714300000000001</v>
      </c>
      <c r="T92" s="25" t="str">
        <f>_xll.BDP($B92,T$6)</f>
        <v>United States</v>
      </c>
      <c r="U92" s="25" t="str">
        <f>_xll.BDP($B92,U$6)</f>
        <v>Base year 2000=100.</v>
      </c>
    </row>
    <row r="93" spans="2:21" ht="20.100000000000001" customHeight="1" x14ac:dyDescent="0.25">
      <c r="B93" s="20" t="s">
        <v>259</v>
      </c>
      <c r="C93" s="25" t="str">
        <f>_xll.BDP($B93,C$6)</f>
        <v>Adjusted Retail &amp; Food Services Sales SA Total Monthly % Change</v>
      </c>
      <c r="D93" s="36" t="str">
        <f t="shared" si="4"/>
        <v>RSTAMOM Index</v>
      </c>
      <c r="E93" s="37">
        <f>_xll.BDP($B93,E$6)</f>
        <v>91.269800000000004</v>
      </c>
      <c r="F93" s="25" t="str">
        <f>_xll.BDP($B93,F$6)</f>
        <v>Adjusted Retail &amp; Food Service</v>
      </c>
      <c r="G93" s="38">
        <f>_xll.BDP($B93,G$6)</f>
        <v>0.9</v>
      </c>
      <c r="H93" s="38" t="str">
        <f>_xll.BDP($B93,H$6)</f>
        <v>#N/A N/A</v>
      </c>
      <c r="I93" s="38">
        <f>_xll.BDP($B93,I$6)</f>
        <v>-0.5</v>
      </c>
      <c r="J93" s="25" t="str">
        <f>_xll.BDP($B93,J$6)</f>
        <v>None</v>
      </c>
      <c r="K93" s="25" t="str">
        <f>_xll.BDP($B93,K$6)</f>
        <v>MoM% SA</v>
      </c>
      <c r="L93" s="25" t="str">
        <f>_xll.BDP($B93,L$6)</f>
        <v>Apr</v>
      </c>
      <c r="M93" s="39" t="str">
        <f>_xll.BDP($B93,M$6)</f>
        <v>3/31/2015</v>
      </c>
      <c r="N93" s="39" t="str">
        <f>_xll.BDP($B93,N$6)</f>
        <v>2/28/2015</v>
      </c>
      <c r="O93" s="25" t="str">
        <f>_xll.BDP($B93,O$6)</f>
        <v>Monthly</v>
      </c>
      <c r="P93" s="39" t="str">
        <f>_xll.BDP($B93,P$6)</f>
        <v>5/13/2015</v>
      </c>
      <c r="Q93" s="39">
        <f t="shared" si="5"/>
        <v>42137</v>
      </c>
      <c r="R93" s="25" t="str">
        <f>_xll.BDP($B93,R$6)</f>
        <v>8:30:00 AM</v>
      </c>
      <c r="S93" s="25">
        <f>_xll.BDP($B93,S$6)</f>
        <v>91.269800000000004</v>
      </c>
      <c r="T93" s="25" t="str">
        <f>_xll.BDP($B93,T$6)</f>
        <v>United States</v>
      </c>
      <c r="U93" s="25" t="str">
        <f>_xll.BDP($B93,U$6)</f>
        <v>Adjusted for seasonal variation, for holiday and trading day differences, but not for price changes.</v>
      </c>
    </row>
    <row r="94" spans="2:21" ht="20.100000000000001" customHeight="1" x14ac:dyDescent="0.25">
      <c r="B94" s="20" t="s">
        <v>262</v>
      </c>
      <c r="C94" s="25" t="str">
        <f>_xll.BDP($B94,C$6)</f>
        <v>Adjusted Retail Sales Less Autos SA Monthly % Change</v>
      </c>
      <c r="D94" s="36" t="str">
        <f t="shared" si="4"/>
        <v>RSTAXMOM Index</v>
      </c>
      <c r="E94" s="37">
        <f>_xll.BDP($B94,E$6)</f>
        <v>63.8889</v>
      </c>
      <c r="F94" s="25" t="str">
        <f>_xll.BDP($B94,F$6)</f>
        <v>Adjusted Retail Sales Less Aut</v>
      </c>
      <c r="G94" s="38">
        <f>_xll.BDP($B94,G$6)</f>
        <v>0.4</v>
      </c>
      <c r="H94" s="38" t="str">
        <f>_xll.BDP($B94,H$6)</f>
        <v>#N/A N/A</v>
      </c>
      <c r="I94" s="38">
        <f>_xll.BDP($B94,I$6)</f>
        <v>0</v>
      </c>
      <c r="J94" s="25" t="str">
        <f>_xll.BDP($B94,J$6)</f>
        <v>None</v>
      </c>
      <c r="K94" s="25" t="str">
        <f>_xll.BDP($B94,K$6)</f>
        <v>MoM% SA</v>
      </c>
      <c r="L94" s="25" t="str">
        <f>_xll.BDP($B94,L$6)</f>
        <v>Apr</v>
      </c>
      <c r="M94" s="39" t="str">
        <f>_xll.BDP($B94,M$6)</f>
        <v>3/31/2015</v>
      </c>
      <c r="N94" s="39" t="str">
        <f>_xll.BDP($B94,N$6)</f>
        <v>2/28/2015</v>
      </c>
      <c r="O94" s="25" t="str">
        <f>_xll.BDP($B94,O$6)</f>
        <v>Monthly</v>
      </c>
      <c r="P94" s="39" t="str">
        <f>_xll.BDP($B94,P$6)</f>
        <v>5/13/2015</v>
      </c>
      <c r="Q94" s="39">
        <f t="shared" si="5"/>
        <v>42137</v>
      </c>
      <c r="R94" s="25" t="str">
        <f>_xll.BDP($B94,R$6)</f>
        <v>8:30:00 AM</v>
      </c>
      <c r="S94" s="25">
        <f>_xll.BDP($B94,S$6)</f>
        <v>63.8889</v>
      </c>
      <c r="T94" s="25" t="str">
        <f>_xll.BDP($B94,T$6)</f>
        <v>United States</v>
      </c>
      <c r="U94" s="25" t="str">
        <f>_xll.BDP($B94,U$6)</f>
        <v>Adjusted for seasonal variation, for holiday and trading day differences, but not for price changes.</v>
      </c>
    </row>
    <row r="95" spans="2:21" ht="20.100000000000001" customHeight="1" x14ac:dyDescent="0.25">
      <c r="B95" s="20" t="s">
        <v>265</v>
      </c>
      <c r="C95" s="25" t="str">
        <f>_xll.BDP($B95,C$6)</f>
        <v>Adjusted Retail Sales Less Autos and Gas Stations SA MoM Percent Change</v>
      </c>
      <c r="D95" s="36" t="str">
        <f t="shared" si="4"/>
        <v>RSTAXAG% Index</v>
      </c>
      <c r="E95" s="37">
        <f>_xll.BDP($B95,E$6)</f>
        <v>62.698399999999999</v>
      </c>
      <c r="F95" s="25" t="str">
        <f>_xll.BDP($B95,F$6)</f>
        <v>Adjusted Retail Sales Less Aut</v>
      </c>
      <c r="G95" s="38">
        <f>_xll.BDP($B95,G$6)</f>
        <v>0.5</v>
      </c>
      <c r="H95" s="38" t="str">
        <f>_xll.BDP($B95,H$6)</f>
        <v>#N/A N/A</v>
      </c>
      <c r="I95" s="38">
        <f>_xll.BDP($B95,I$6)</f>
        <v>-0.3</v>
      </c>
      <c r="J95" s="25" t="str">
        <f>_xll.BDP($B95,J$6)</f>
        <v>None</v>
      </c>
      <c r="K95" s="25" t="str">
        <f>_xll.BDP($B95,K$6)</f>
        <v>MoM% SA</v>
      </c>
      <c r="L95" s="25" t="str">
        <f>_xll.BDP($B95,L$6)</f>
        <v>Apr</v>
      </c>
      <c r="M95" s="39" t="str">
        <f>_xll.BDP($B95,M$6)</f>
        <v>3/31/2015</v>
      </c>
      <c r="N95" s="39" t="str">
        <f>_xll.BDP($B95,N$6)</f>
        <v>2/28/2015</v>
      </c>
      <c r="O95" s="25" t="str">
        <f>_xll.BDP($B95,O$6)</f>
        <v>Monthly</v>
      </c>
      <c r="P95" s="39" t="str">
        <f>_xll.BDP($B95,P$6)</f>
        <v>5/13/2015</v>
      </c>
      <c r="Q95" s="39">
        <f t="shared" si="5"/>
        <v>42137</v>
      </c>
      <c r="R95" s="25" t="str">
        <f>_xll.BDP($B95,R$6)</f>
        <v>8:30:00 AM</v>
      </c>
      <c r="S95" s="25">
        <f>_xll.BDP($B95,S$6)</f>
        <v>62.698399999999999</v>
      </c>
      <c r="T95" s="25" t="str">
        <f>_xll.BDP($B95,T$6)</f>
        <v>United States</v>
      </c>
      <c r="U95" s="25" t="str">
        <f>_xll.BDP($B95,U$6)</f>
        <v>Adjusted for seasonal variation, for holiday and trading day differences, but not for price changes.</v>
      </c>
    </row>
    <row r="96" spans="2:21" ht="20.100000000000001" customHeight="1" x14ac:dyDescent="0.25">
      <c r="B96" s="20" t="s">
        <v>268</v>
      </c>
      <c r="C96" s="25" t="str">
        <f>_xll.BDP($B96,C$6)</f>
        <v>Adj Retail Sales Less Food Auto Dealers &amp; Build Materials &amp; Gas Stations MoM%</v>
      </c>
      <c r="D96" s="36" t="str">
        <f t="shared" si="4"/>
        <v>RSTAXAGM Index</v>
      </c>
      <c r="E96" s="37">
        <f>_xll.BDP($B96,E$6)</f>
        <v>15.872999999999999</v>
      </c>
      <c r="F96" s="25" t="str">
        <f>_xll.BDP($B96,F$6)</f>
        <v>Adj Retail Sales Less Food Aut</v>
      </c>
      <c r="G96" s="38">
        <f>_xll.BDP($B96,G$6)</f>
        <v>0.3</v>
      </c>
      <c r="H96" s="38" t="str">
        <f>_xll.BDP($B96,H$6)</f>
        <v>#N/A N/A</v>
      </c>
      <c r="I96" s="38">
        <f>_xll.BDP($B96,I$6)</f>
        <v>-0.23</v>
      </c>
      <c r="J96" s="25" t="str">
        <f>_xll.BDP($B96,J$6)</f>
        <v>None</v>
      </c>
      <c r="K96" s="25" t="str">
        <f>_xll.BDP($B96,K$6)</f>
        <v>MoM% SA</v>
      </c>
      <c r="L96" s="25" t="str">
        <f>_xll.BDP($B96,L$6)</f>
        <v>Apr</v>
      </c>
      <c r="M96" s="39" t="str">
        <f>_xll.BDP($B96,M$6)</f>
        <v>3/31/2015</v>
      </c>
      <c r="N96" s="39" t="str">
        <f>_xll.BDP($B96,N$6)</f>
        <v>2/28/2015</v>
      </c>
      <c r="O96" s="25" t="str">
        <f>_xll.BDP($B96,O$6)</f>
        <v>Monthly</v>
      </c>
      <c r="P96" s="39" t="str">
        <f>_xll.BDP($B96,P$6)</f>
        <v>5/13/2015</v>
      </c>
      <c r="Q96" s="39">
        <f t="shared" si="5"/>
        <v>42137</v>
      </c>
      <c r="R96" s="25" t="str">
        <f>_xll.BDP($B96,R$6)</f>
        <v>8:30:00 AM</v>
      </c>
      <c r="S96" s="25">
        <f>_xll.BDP($B96,S$6)</f>
        <v>15.872999999999999</v>
      </c>
      <c r="T96" s="25" t="str">
        <f>_xll.BDP($B96,T$6)</f>
        <v>United States</v>
      </c>
      <c r="U96" s="25" t="str">
        <f>_xll.BDP($B96,U$6)</f>
        <v>Adjusted for seasonal variation, for holiday and trading day differences, but not for price changes.</v>
      </c>
    </row>
    <row r="97" spans="2:21" ht="20.100000000000001" customHeight="1" x14ac:dyDescent="0.25">
      <c r="B97" s="20" t="s">
        <v>294</v>
      </c>
      <c r="C97" s="25" t="str">
        <f>_xll.BDP($B97,C$6)</f>
        <v>US Manufacturing &amp; Trade Inventories Total MoM SA</v>
      </c>
      <c r="D97" s="36" t="str">
        <f t="shared" si="4"/>
        <v>MTIBCHNG Index</v>
      </c>
      <c r="E97" s="37">
        <f>_xll.BDP($B97,E$6)</f>
        <v>42.857100000000003</v>
      </c>
      <c r="F97" s="25" t="str">
        <f>_xll.BDP($B97,F$6)</f>
        <v>US Manufacturing &amp; Trade Inven</v>
      </c>
      <c r="G97" s="38">
        <f>_xll.BDP($B97,G$6)</f>
        <v>0.3</v>
      </c>
      <c r="H97" s="38" t="str">
        <f>_xll.BDP($B97,H$6)</f>
        <v>#N/A N/A</v>
      </c>
      <c r="I97" s="38" t="str">
        <f>_xll.BDP($B97,I$6)</f>
        <v>#N/A N/A</v>
      </c>
      <c r="J97" s="25" t="str">
        <f>_xll.BDP($B97,J$6)</f>
        <v>None</v>
      </c>
      <c r="K97" s="25" t="str">
        <f>_xll.BDP($B97,K$6)</f>
        <v>MoM% SA</v>
      </c>
      <c r="L97" s="25" t="str">
        <f>_xll.BDP($B97,L$6)</f>
        <v>Mar</v>
      </c>
      <c r="M97" s="39" t="str">
        <f>_xll.BDP($B97,M$6)</f>
        <v>2/28/2015</v>
      </c>
      <c r="N97" s="39" t="str">
        <f>_xll.BDP($B97,N$6)</f>
        <v>1/31/2015</v>
      </c>
      <c r="O97" s="25" t="str">
        <f>_xll.BDP($B97,O$6)</f>
        <v>Monthly</v>
      </c>
      <c r="P97" s="39" t="str">
        <f>_xll.BDP($B97,P$6)</f>
        <v>5/13/2015</v>
      </c>
      <c r="Q97" s="39">
        <f t="shared" si="5"/>
        <v>42137</v>
      </c>
      <c r="R97" s="25" t="str">
        <f>_xll.BDP($B97,R$6)</f>
        <v>10:00:00 AM</v>
      </c>
      <c r="S97" s="25">
        <f>_xll.BDP($B97,S$6)</f>
        <v>42.857100000000003</v>
      </c>
      <c r="T97" s="25" t="str">
        <f>_xll.BDP($B97,T$6)</f>
        <v>United States</v>
      </c>
      <c r="U97" s="25" t="str">
        <f>_xll.BDP($B97,U$6)</f>
        <v>Figures from Jan. 1992 to present have been revised and reclassified into new categories.  Comparison of figures prior to 1992 with those after 1992 should be made with caution.                                                               2 Month Lag.</v>
      </c>
    </row>
    <row r="98" spans="2:21" ht="20.100000000000001" customHeight="1" x14ac:dyDescent="0.25">
      <c r="B98" s="20" t="s">
        <v>271</v>
      </c>
      <c r="C98" s="25" t="str">
        <f>_xll.BDP($B98,C$6)</f>
        <v>US PPI Final Demand MoM SA</v>
      </c>
      <c r="D98" s="36" t="str">
        <f t="shared" si="4"/>
        <v>FDIDFDMO Index</v>
      </c>
      <c r="E98" s="37">
        <f>_xll.BDP($B98,E$6)</f>
        <v>87.301599999999993</v>
      </c>
      <c r="F98" s="25" t="str">
        <f>_xll.BDP($B98,F$6)</f>
        <v>US PPI Final Demand MoM SA</v>
      </c>
      <c r="G98" s="38">
        <f>_xll.BDP($B98,G$6)</f>
        <v>0.2</v>
      </c>
      <c r="H98" s="38" t="str">
        <f>_xll.BDP($B98,H$6)</f>
        <v>#N/A N/A</v>
      </c>
      <c r="I98" s="38">
        <f>_xll.BDP($B98,I$6)</f>
        <v>-0.5</v>
      </c>
      <c r="J98" s="25" t="str">
        <f>_xll.BDP($B98,J$6)</f>
        <v>None</v>
      </c>
      <c r="K98" s="25" t="str">
        <f>_xll.BDP($B98,K$6)</f>
        <v>MoM% SA</v>
      </c>
      <c r="L98" s="25" t="str">
        <f>_xll.BDP($B98,L$6)</f>
        <v>Apr</v>
      </c>
      <c r="M98" s="39" t="str">
        <f>_xll.BDP($B98,M$6)</f>
        <v>3/31/2015</v>
      </c>
      <c r="N98" s="39" t="str">
        <f>_xll.BDP($B98,N$6)</f>
        <v>2/28/2015</v>
      </c>
      <c r="O98" s="25" t="str">
        <f>_xll.BDP($B98,O$6)</f>
        <v>Monthly</v>
      </c>
      <c r="P98" s="39" t="str">
        <f>_xll.BDP($B98,P$6)</f>
        <v>5/14/2015</v>
      </c>
      <c r="Q98" s="39">
        <f t="shared" si="5"/>
        <v>42138</v>
      </c>
      <c r="R98" s="25" t="str">
        <f>_xll.BDP($B98,R$6)</f>
        <v>8:30:00 AM</v>
      </c>
      <c r="S98" s="25">
        <f>_xll.BDP($B98,S$6)</f>
        <v>87.301599999999993</v>
      </c>
      <c r="T98" s="25" t="str">
        <f>_xll.BDP($B98,T$6)</f>
        <v>United States</v>
      </c>
      <c r="U98" s="25" t="str">
        <f>_xll.BDP($B98,U$6)</f>
        <v>#N/A Field Not Applicable</v>
      </c>
    </row>
    <row r="99" spans="2:21" ht="20.100000000000001" customHeight="1" x14ac:dyDescent="0.25">
      <c r="B99" s="20" t="s">
        <v>280</v>
      </c>
      <c r="C99" s="25" t="str">
        <f>_xll.BDP($B99,C$6)</f>
        <v>US PPI Final Demand YoY NSA</v>
      </c>
      <c r="D99" s="36" t="str">
        <f t="shared" si="4"/>
        <v>FDIUFDYO Index</v>
      </c>
      <c r="E99" s="37">
        <f>_xll.BDP($B99,E$6)</f>
        <v>70.634900000000002</v>
      </c>
      <c r="F99" s="25" t="str">
        <f>_xll.BDP($B99,F$6)</f>
        <v>US PPI Final Demand YoY NSA</v>
      </c>
      <c r="G99" s="38">
        <f>_xll.BDP($B99,G$6)</f>
        <v>-0.8</v>
      </c>
      <c r="H99" s="38" t="str">
        <f>_xll.BDP($B99,H$6)</f>
        <v>#N/A N/A</v>
      </c>
      <c r="I99" s="38">
        <f>_xll.BDP($B99,I$6)</f>
        <v>-0.6</v>
      </c>
      <c r="J99" s="25" t="str">
        <f>_xll.BDP($B99,J$6)</f>
        <v>None</v>
      </c>
      <c r="K99" s="25" t="str">
        <f>_xll.BDP($B99,K$6)</f>
        <v>YoY% NSA</v>
      </c>
      <c r="L99" s="25" t="str">
        <f>_xll.BDP($B99,L$6)</f>
        <v>Apr</v>
      </c>
      <c r="M99" s="39" t="str">
        <f>_xll.BDP($B99,M$6)</f>
        <v>3/31/2015</v>
      </c>
      <c r="N99" s="39" t="str">
        <f>_xll.BDP($B99,N$6)</f>
        <v>2/28/2015</v>
      </c>
      <c r="O99" s="25" t="str">
        <f>_xll.BDP($B99,O$6)</f>
        <v>Monthly</v>
      </c>
      <c r="P99" s="39" t="str">
        <f>_xll.BDP($B99,P$6)</f>
        <v>5/14/2015</v>
      </c>
      <c r="Q99" s="39">
        <f t="shared" si="5"/>
        <v>42138</v>
      </c>
      <c r="R99" s="25" t="str">
        <f>_xll.BDP($B99,R$6)</f>
        <v>8:30:00 AM</v>
      </c>
      <c r="S99" s="25">
        <f>_xll.BDP($B99,S$6)</f>
        <v>70.634900000000002</v>
      </c>
      <c r="T99" s="25" t="str">
        <f>_xll.BDP($B99,T$6)</f>
        <v>United States</v>
      </c>
      <c r="U99" s="25" t="str">
        <f>_xll.BDP($B99,U$6)</f>
        <v>#N/A Field Not Applicable</v>
      </c>
    </row>
    <row r="100" spans="2:21" ht="20.100000000000001" customHeight="1" x14ac:dyDescent="0.25">
      <c r="B100" s="20" t="s">
        <v>274</v>
      </c>
      <c r="C100" s="25" t="str">
        <f>_xll.BDP($B100,C$6)</f>
        <v>US PPI Final Demand Less Foods and Energy MoM SA</v>
      </c>
      <c r="D100" s="36" t="str">
        <f t="shared" si="4"/>
        <v>FDIDSGMO Index</v>
      </c>
      <c r="E100" s="37">
        <f>_xll.BDP($B100,E$6)</f>
        <v>69.047600000000003</v>
      </c>
      <c r="F100" s="25" t="str">
        <f>_xll.BDP($B100,F$6)</f>
        <v>US PPI Final Demand Less Foods</v>
      </c>
      <c r="G100" s="38">
        <f>_xll.BDP($B100,G$6)</f>
        <v>0.2</v>
      </c>
      <c r="H100" s="38" t="str">
        <f>_xll.BDP($B100,H$6)</f>
        <v>#N/A N/A</v>
      </c>
      <c r="I100" s="38">
        <f>_xll.BDP($B100,I$6)</f>
        <v>-0.5</v>
      </c>
      <c r="J100" s="25" t="str">
        <f>_xll.BDP($B100,J$6)</f>
        <v>None</v>
      </c>
      <c r="K100" s="25" t="str">
        <f>_xll.BDP($B100,K$6)</f>
        <v>MoM% SA</v>
      </c>
      <c r="L100" s="25" t="str">
        <f>_xll.BDP($B100,L$6)</f>
        <v>Apr</v>
      </c>
      <c r="M100" s="39" t="str">
        <f>_xll.BDP($B100,M$6)</f>
        <v>3/31/2015</v>
      </c>
      <c r="N100" s="39" t="str">
        <f>_xll.BDP($B100,N$6)</f>
        <v>2/28/2015</v>
      </c>
      <c r="O100" s="25" t="str">
        <f>_xll.BDP($B100,O$6)</f>
        <v>Monthly</v>
      </c>
      <c r="P100" s="39" t="str">
        <f>_xll.BDP($B100,P$6)</f>
        <v>5/14/2015</v>
      </c>
      <c r="Q100" s="39">
        <f t="shared" si="5"/>
        <v>42138</v>
      </c>
      <c r="R100" s="25" t="str">
        <f>_xll.BDP($B100,R$6)</f>
        <v>8:30:00 AM</v>
      </c>
      <c r="S100" s="25">
        <f>_xll.BDP($B100,S$6)</f>
        <v>69.047600000000003</v>
      </c>
      <c r="T100" s="25" t="str">
        <f>_xll.BDP($B100,T$6)</f>
        <v>United States</v>
      </c>
      <c r="U100" s="25" t="str">
        <f>_xll.BDP($B100,U$6)</f>
        <v>#N/A Field Not Applicable</v>
      </c>
    </row>
    <row r="101" spans="2:21" ht="20.100000000000001" customHeight="1" x14ac:dyDescent="0.25">
      <c r="B101" s="20" t="s">
        <v>283</v>
      </c>
      <c r="C101" s="25" t="str">
        <f>_xll.BDP($B101,C$6)</f>
        <v>US PPI Final Demand Less Foods and Energy YoY NSA</v>
      </c>
      <c r="D101" s="36" t="str">
        <f t="shared" si="4"/>
        <v>FDIUSGYO Index</v>
      </c>
      <c r="E101" s="37">
        <f>_xll.BDP($B101,E$6)</f>
        <v>68.254000000000005</v>
      </c>
      <c r="F101" s="25" t="str">
        <f>_xll.BDP($B101,F$6)</f>
        <v>US PPI Final Demand Less Foods</v>
      </c>
      <c r="G101" s="38">
        <f>_xll.BDP($B101,G$6)</f>
        <v>0.9</v>
      </c>
      <c r="H101" s="38" t="str">
        <f>_xll.BDP($B101,H$6)</f>
        <v>#N/A N/A</v>
      </c>
      <c r="I101" s="38">
        <f>_xll.BDP($B101,I$6)</f>
        <v>1</v>
      </c>
      <c r="J101" s="25" t="str">
        <f>_xll.BDP($B101,J$6)</f>
        <v>None</v>
      </c>
      <c r="K101" s="25" t="str">
        <f>_xll.BDP($B101,K$6)</f>
        <v>YoY% NSA</v>
      </c>
      <c r="L101" s="25" t="str">
        <f>_xll.BDP($B101,L$6)</f>
        <v>Apr</v>
      </c>
      <c r="M101" s="39" t="str">
        <f>_xll.BDP($B101,M$6)</f>
        <v>3/31/2015</v>
      </c>
      <c r="N101" s="39" t="str">
        <f>_xll.BDP($B101,N$6)</f>
        <v>2/28/2015</v>
      </c>
      <c r="O101" s="25" t="str">
        <f>_xll.BDP($B101,O$6)</f>
        <v>Monthly</v>
      </c>
      <c r="P101" s="39" t="str">
        <f>_xll.BDP($B101,P$6)</f>
        <v>5/14/2015</v>
      </c>
      <c r="Q101" s="39">
        <f t="shared" si="5"/>
        <v>42138</v>
      </c>
      <c r="R101" s="25" t="str">
        <f>_xll.BDP($B101,R$6)</f>
        <v>8:30:00 AM</v>
      </c>
      <c r="S101" s="25">
        <f>_xll.BDP($B101,S$6)</f>
        <v>68.254000000000005</v>
      </c>
      <c r="T101" s="25" t="str">
        <f>_xll.BDP($B101,T$6)</f>
        <v>United States</v>
      </c>
      <c r="U101" s="25" t="str">
        <f>_xll.BDP($B101,U$6)</f>
        <v>#N/A Field Not Applicable</v>
      </c>
    </row>
    <row r="102" spans="2:21" ht="20.100000000000001" customHeight="1" x14ac:dyDescent="0.25">
      <c r="B102" s="20" t="s">
        <v>277</v>
      </c>
      <c r="C102" s="25" t="str">
        <f>_xll.BDP($B102,C$6)</f>
        <v>US PPI Final Demand Less Foods Energy and Trade Services MoM</v>
      </c>
      <c r="D102" s="36" t="str">
        <f t="shared" si="4"/>
        <v>FDIDSGUM Index</v>
      </c>
      <c r="E102" s="37">
        <f>_xll.BDP($B102,E$6)</f>
        <v>7.1428599999999998</v>
      </c>
      <c r="F102" s="25" t="str">
        <f>_xll.BDP($B102,F$6)</f>
        <v>US PPI Final Demand Less Foods</v>
      </c>
      <c r="G102" s="38">
        <f>_xll.BDP($B102,G$6)</f>
        <v>0.2</v>
      </c>
      <c r="H102" s="38" t="str">
        <f>_xll.BDP($B102,H$6)</f>
        <v>#N/A N/A</v>
      </c>
      <c r="I102" s="38" t="str">
        <f>_xll.BDP($B102,I$6)</f>
        <v>#N/A N/A</v>
      </c>
      <c r="J102" s="25" t="str">
        <f>_xll.BDP($B102,J$6)</f>
        <v>None</v>
      </c>
      <c r="K102" s="25" t="str">
        <f>_xll.BDP($B102,K$6)</f>
        <v>MoM% SA</v>
      </c>
      <c r="L102" s="25" t="str">
        <f>_xll.BDP($B102,L$6)</f>
        <v>Apr</v>
      </c>
      <c r="M102" s="39" t="str">
        <f>_xll.BDP($B102,M$6)</f>
        <v>3/31/2015</v>
      </c>
      <c r="N102" s="39" t="str">
        <f>_xll.BDP($B102,N$6)</f>
        <v>2/28/2015</v>
      </c>
      <c r="O102" s="25" t="str">
        <f>_xll.BDP($B102,O$6)</f>
        <v>Monthly</v>
      </c>
      <c r="P102" s="39" t="str">
        <f>_xll.BDP($B102,P$6)</f>
        <v>5/14/2015</v>
      </c>
      <c r="Q102" s="39">
        <f t="shared" si="5"/>
        <v>42138</v>
      </c>
      <c r="R102" s="25" t="str">
        <f>_xll.BDP($B102,R$6)</f>
        <v>8:30:00 AM</v>
      </c>
      <c r="S102" s="25">
        <f>_xll.BDP($B102,S$6)</f>
        <v>7.1428599999999998</v>
      </c>
      <c r="T102" s="25" t="str">
        <f>_xll.BDP($B102,T$6)</f>
        <v>United States</v>
      </c>
      <c r="U102" s="25" t="str">
        <f>_xll.BDP($B102,U$6)</f>
        <v>#N/A Field Not Applicable</v>
      </c>
    </row>
    <row r="103" spans="2:21" ht="20.100000000000001" customHeight="1" x14ac:dyDescent="0.25">
      <c r="B103" s="20" t="s">
        <v>286</v>
      </c>
      <c r="C103" s="25" t="str">
        <f>_xll.BDP($B103,C$6)</f>
        <v>US PPI Final Demand Less Foods Energy and Trade Services NSA YoY</v>
      </c>
      <c r="D103" s="36" t="str">
        <f t="shared" ref="D103:D122" si="6">+B103</f>
        <v>FDIUSGUY Index</v>
      </c>
      <c r="E103" s="37">
        <f>_xll.BDP($B103,E$6)</f>
        <v>5.5555599999999998</v>
      </c>
      <c r="F103" s="25" t="str">
        <f>_xll.BDP($B103,F$6)</f>
        <v>US PPI Final Demand Less Foods</v>
      </c>
      <c r="G103" s="38">
        <f>_xll.BDP($B103,G$6)</f>
        <v>0.8</v>
      </c>
      <c r="H103" s="38" t="str">
        <f>_xll.BDP($B103,H$6)</f>
        <v>#N/A N/A</v>
      </c>
      <c r="I103" s="38">
        <f>_xll.BDP($B103,I$6)</f>
        <v>0.7</v>
      </c>
      <c r="J103" s="25" t="str">
        <f>_xll.BDP($B103,J$6)</f>
        <v>None</v>
      </c>
      <c r="K103" s="25" t="str">
        <f>_xll.BDP($B103,K$6)</f>
        <v>YoY% NSA</v>
      </c>
      <c r="L103" s="25" t="str">
        <f>_xll.BDP($B103,L$6)</f>
        <v>Apr</v>
      </c>
      <c r="M103" s="39" t="str">
        <f>_xll.BDP($B103,M$6)</f>
        <v>3/31/2015</v>
      </c>
      <c r="N103" s="39" t="str">
        <f>_xll.BDP($B103,N$6)</f>
        <v>2/28/2015</v>
      </c>
      <c r="O103" s="25" t="str">
        <f>_xll.BDP($B103,O$6)</f>
        <v>Monthly</v>
      </c>
      <c r="P103" s="39" t="str">
        <f>_xll.BDP($B103,P$6)</f>
        <v>5/14/2015</v>
      </c>
      <c r="Q103" s="39">
        <f t="shared" ref="Q103:Q134" si="7">+DATE(YEAR(P103),MONTH(P103),DAY(P103))</f>
        <v>42138</v>
      </c>
      <c r="R103" s="25" t="str">
        <f>_xll.BDP($B103,R$6)</f>
        <v>8:30:00 AM</v>
      </c>
      <c r="S103" s="25">
        <f>_xll.BDP($B103,S$6)</f>
        <v>5.5555599999999998</v>
      </c>
      <c r="T103" s="25" t="str">
        <f>_xll.BDP($B103,T$6)</f>
        <v>United States</v>
      </c>
      <c r="U103" s="25" t="str">
        <f>_xll.BDP($B103,U$6)</f>
        <v>#N/A Field Not Applicable</v>
      </c>
    </row>
    <row r="104" spans="2:21" ht="20.100000000000001" customHeight="1" x14ac:dyDescent="0.25">
      <c r="B104" s="20" t="s">
        <v>306</v>
      </c>
      <c r="C104" s="25" t="str">
        <f>_xll.BDP($B104,C$6)</f>
        <v>US Industrial Production MoM 2007=100 SA</v>
      </c>
      <c r="D104" s="36" t="str">
        <f t="shared" si="6"/>
        <v>IP CHNG Index</v>
      </c>
      <c r="E104" s="37">
        <f>_xll.BDP($B104,E$6)</f>
        <v>88.888900000000007</v>
      </c>
      <c r="F104" s="25" t="str">
        <f>_xll.BDP($B104,F$6)</f>
        <v>US Industrial Production MoM 2</v>
      </c>
      <c r="G104" s="38">
        <f>_xll.BDP($B104,G$6)</f>
        <v>-0.64</v>
      </c>
      <c r="H104" s="38" t="str">
        <f>_xll.BDP($B104,H$6)</f>
        <v>#N/A N/A</v>
      </c>
      <c r="I104" s="38">
        <f>_xll.BDP($B104,I$6)</f>
        <v>0.1</v>
      </c>
      <c r="J104" s="25" t="str">
        <f>_xll.BDP($B104,J$6)</f>
        <v>None</v>
      </c>
      <c r="K104" s="25" t="str">
        <f>_xll.BDP($B104,K$6)</f>
        <v>MoM% SA</v>
      </c>
      <c r="L104" s="25" t="str">
        <f>_xll.BDP($B104,L$6)</f>
        <v>Apr</v>
      </c>
      <c r="M104" s="39" t="str">
        <f>_xll.BDP($B104,M$6)</f>
        <v>3/31/2015</v>
      </c>
      <c r="N104" s="39" t="str">
        <f>_xll.BDP($B104,N$6)</f>
        <v>2/28/2015</v>
      </c>
      <c r="O104" s="25" t="str">
        <f>_xll.BDP($B104,O$6)</f>
        <v>Monthly</v>
      </c>
      <c r="P104" s="39" t="str">
        <f>_xll.BDP($B104,P$6)</f>
        <v>5/15/2015</v>
      </c>
      <c r="Q104" s="39">
        <f t="shared" si="7"/>
        <v>42139</v>
      </c>
      <c r="R104" s="25" t="str">
        <f>_xll.BDP($B104,R$6)</f>
        <v>9:15:00 AM</v>
      </c>
      <c r="S104" s="25">
        <f>_xll.BDP($B104,S$6)</f>
        <v>88.888900000000007</v>
      </c>
      <c r="T104" s="25" t="str">
        <f>_xll.BDP($B104,T$6)</f>
        <v>United States</v>
      </c>
      <c r="U104" s="25" t="str">
        <f>_xll.BDP($B104,U$6)</f>
        <v>This Industrial Production data is Seasonally Adjusted                          The production index measures real output and is expressed as a percentage of real output in a base year, currently 2007. The production indexes are computed as Fisher indexes since 1972; the weights are based on annual estimates of value added. Please note IPNEXMOT Index represents the Non-energy ex. motor vehicles &amp; pts., computers, communications eq., and semiconductors; s.a. IP from the G.17 Report</v>
      </c>
    </row>
    <row r="105" spans="2:21" ht="20.100000000000001" customHeight="1" x14ac:dyDescent="0.25">
      <c r="B105" s="20" t="s">
        <v>309</v>
      </c>
      <c r="C105" s="25" t="str">
        <f>_xll.BDP($B105,C$6)</f>
        <v>US Capacity Utilization % of Total Capacity SA</v>
      </c>
      <c r="D105" s="36" t="str">
        <f t="shared" si="6"/>
        <v>CPTICHNG Index</v>
      </c>
      <c r="E105" s="37">
        <f>_xll.BDP($B105,E$6)</f>
        <v>62.222200000000001</v>
      </c>
      <c r="F105" s="25" t="str">
        <f>_xll.BDP($B105,F$6)</f>
        <v>US Capacity Utilization % of T</v>
      </c>
      <c r="G105" s="38">
        <f>_xll.BDP($B105,G$6)</f>
        <v>78.372600000000006</v>
      </c>
      <c r="H105" s="38" t="str">
        <f>_xll.BDP($B105,H$6)</f>
        <v>#N/A N/A</v>
      </c>
      <c r="I105" s="38">
        <f>_xll.BDP($B105,I$6)</f>
        <v>79.016499999999994</v>
      </c>
      <c r="J105" s="25" t="str">
        <f>_xll.BDP($B105,J$6)</f>
        <v>None</v>
      </c>
      <c r="K105" s="25" t="str">
        <f>_xll.BDP($B105,K$6)</f>
        <v>Percent SA</v>
      </c>
      <c r="L105" s="25" t="str">
        <f>_xll.BDP($B105,L$6)</f>
        <v>Apr</v>
      </c>
      <c r="M105" s="39" t="str">
        <f>_xll.BDP($B105,M$6)</f>
        <v>3/31/2015</v>
      </c>
      <c r="N105" s="39" t="str">
        <f>_xll.BDP($B105,N$6)</f>
        <v>2/28/2015</v>
      </c>
      <c r="O105" s="25" t="str">
        <f>_xll.BDP($B105,O$6)</f>
        <v>Monthly</v>
      </c>
      <c r="P105" s="39" t="str">
        <f>_xll.BDP($B105,P$6)</f>
        <v>5/15/2015</v>
      </c>
      <c r="Q105" s="39">
        <f t="shared" si="7"/>
        <v>42139</v>
      </c>
      <c r="R105" s="25" t="str">
        <f>_xll.BDP($B105,R$6)</f>
        <v>9:15:00 AM</v>
      </c>
      <c r="S105" s="25">
        <f>_xll.BDP($B105,S$6)</f>
        <v>62.222200000000001</v>
      </c>
      <c r="T105" s="25" t="str">
        <f>_xll.BDP($B105,T$6)</f>
        <v>United States</v>
      </c>
      <c r="U105" s="25" t="str">
        <f>_xll.BDP($B105,U$6)</f>
        <v>On December 5, 2002 the Federal Reserve published a revision to Industrial Production.  The revised estimates will be classified according to the 2002 North American Industrial Classification System (NAICS); previously, the estimates were classified according the the 1987 Standard Industrial Classification (SIC) system.  Capacity utilization is calculated for the manufacturing, mining, and electric and gas utilities industries.  For a given industry, the utilization rate is equal to an output index divided by a capacity index.  Output is measured by seasonally adjusted indexes of industrial production.  The capactiy indexes attempt to capture the concept of sustainable practical capacity, which is defined as the greatest level of output that a plant can maintain within the framework of a realistic work schedule, taking account of normal downtime, and assuming sufficient availability of inputs to operate the machinery and equipment in place.      History is stored independently for mont</v>
      </c>
    </row>
    <row r="106" spans="2:21" ht="20.100000000000001" customHeight="1" x14ac:dyDescent="0.25">
      <c r="B106" s="20" t="s">
        <v>312</v>
      </c>
      <c r="C106" s="25" t="str">
        <f>_xll.BDP($B106,C$6)</f>
        <v>US Industrial Production Industry Groups Manufacturing MoM SA</v>
      </c>
      <c r="D106" s="36" t="str">
        <f t="shared" si="6"/>
        <v>IPMGCHNG Index</v>
      </c>
      <c r="E106" s="37">
        <f>_xll.BDP($B106,E$6)</f>
        <v>12.698399999999999</v>
      </c>
      <c r="F106" s="25" t="str">
        <f>_xll.BDP($B106,F$6)</f>
        <v>US Industrial Production Indus</v>
      </c>
      <c r="G106" s="38">
        <f>_xll.BDP($B106,G$6)</f>
        <v>0.1</v>
      </c>
      <c r="H106" s="38" t="str">
        <f>_xll.BDP($B106,H$6)</f>
        <v>#N/A N/A</v>
      </c>
      <c r="I106" s="38">
        <f>_xll.BDP($B106,I$6)</f>
        <v>-0.2</v>
      </c>
      <c r="J106" s="25" t="str">
        <f>_xll.BDP($B106,J$6)</f>
        <v>None</v>
      </c>
      <c r="K106" s="25" t="str">
        <f>_xll.BDP($B106,K$6)</f>
        <v>MoM% SA</v>
      </c>
      <c r="L106" s="25" t="str">
        <f>_xll.BDP($B106,L$6)</f>
        <v>Apr</v>
      </c>
      <c r="M106" s="39" t="str">
        <f>_xll.BDP($B106,M$6)</f>
        <v>3/31/2015</v>
      </c>
      <c r="N106" s="39" t="str">
        <f>_xll.BDP($B106,N$6)</f>
        <v>2/28/2015</v>
      </c>
      <c r="O106" s="25" t="str">
        <f>_xll.BDP($B106,O$6)</f>
        <v>Monthly</v>
      </c>
      <c r="P106" s="39" t="str">
        <f>_xll.BDP($B106,P$6)</f>
        <v>5/15/2015</v>
      </c>
      <c r="Q106" s="39">
        <f t="shared" si="7"/>
        <v>42139</v>
      </c>
      <c r="R106" s="25" t="str">
        <f>_xll.BDP($B106,R$6)</f>
        <v>9:15:00 AM</v>
      </c>
      <c r="S106" s="25">
        <f>_xll.BDP($B106,S$6)</f>
        <v>12.698399999999999</v>
      </c>
      <c r="T106" s="25" t="str">
        <f>_xll.BDP($B106,T$6)</f>
        <v>United States</v>
      </c>
      <c r="U106" s="25" t="str">
        <f>_xll.BDP($B106,U$6)</f>
        <v>The production index measures real output and is expressed as a percentage of real output in a base year, currently 2007. The production indexes are computed as Fisher indexes since 1972; the weights are based on annual estimates of value added. Please note IPNEXMOT Index represents the Non-energy ex. motor vehicles &amp; pts., computers, communications eq., and semiconductors; s.a. IP from the G.17 Report</v>
      </c>
    </row>
    <row r="107" spans="2:21" ht="20.100000000000001" customHeight="1" x14ac:dyDescent="0.25">
      <c r="B107" s="20" t="s">
        <v>302</v>
      </c>
      <c r="C107" s="25" t="str">
        <f>_xll.BDP($B107,C$6)</f>
        <v>US Empire State Manufacturing Survey General Business Conditions SA</v>
      </c>
      <c r="D107" s="36" t="str">
        <f t="shared" si="6"/>
        <v>EMPRGBCI Index</v>
      </c>
      <c r="E107" s="37">
        <f>_xll.BDP($B107,E$6)</f>
        <v>82.539699999999996</v>
      </c>
      <c r="F107" s="25" t="str">
        <f>_xll.BDP($B107,F$6)</f>
        <v>US Empire State Manufacturing</v>
      </c>
      <c r="G107" s="38">
        <f>_xll.BDP($B107,G$6)</f>
        <v>-1.19</v>
      </c>
      <c r="H107" s="38" t="str">
        <f>_xll.BDP($B107,H$6)</f>
        <v>#N/A N/A</v>
      </c>
      <c r="I107" s="38">
        <f>_xll.BDP($B107,I$6)</f>
        <v>6.9</v>
      </c>
      <c r="J107" s="25" t="str">
        <f>_xll.BDP($B107,J$6)</f>
        <v>None</v>
      </c>
      <c r="K107" s="25" t="str">
        <f>_xll.BDP($B107,K$6)</f>
        <v>% Balance/Diffusion Index SA</v>
      </c>
      <c r="L107" s="25" t="str">
        <f>_xll.BDP($B107,L$6)</f>
        <v>May</v>
      </c>
      <c r="M107" s="39" t="str">
        <f>_xll.BDP($B107,M$6)</f>
        <v>4/30/2015</v>
      </c>
      <c r="N107" s="39" t="str">
        <f>_xll.BDP($B107,N$6)</f>
        <v>3/31/2015</v>
      </c>
      <c r="O107" s="25" t="str">
        <f>_xll.BDP($B107,O$6)</f>
        <v>Monthly</v>
      </c>
      <c r="P107" s="39" t="str">
        <f>_xll.BDP($B107,P$6)</f>
        <v>5/15/2015</v>
      </c>
      <c r="Q107" s="39">
        <f t="shared" si="7"/>
        <v>42139</v>
      </c>
      <c r="R107" s="25" t="str">
        <f>_xll.BDP($B107,R$6)</f>
        <v>8:30:00 AM</v>
      </c>
      <c r="S107" s="25">
        <f>_xll.BDP($B107,S$6)</f>
        <v>82.539699999999996</v>
      </c>
      <c r="T107" s="25" t="str">
        <f>_xll.BDP($B107,T$6)</f>
        <v>United States</v>
      </c>
      <c r="U107" s="25" t="str">
        <f>_xll.BDP($B107,U$6)</f>
        <v>The Empire State Manufacturing Survey is a monthly survey of manufacturers in New York State conducted by the Federal Reserve Bank of New York. Participants from across the state in a variety of industries respond to a questionnaire and report the change in a variety of indicators from the previous month. Respondents also state the likely direction of these same indicators six months ahead. April 2002 is the first report, although survey data date back to July 2001. Each month, new data will be released and the previous month's data will be revised slightly. Once per year, all data will undergo a benchmark revision.</v>
      </c>
    </row>
    <row r="108" spans="2:21" ht="20.100000000000001" customHeight="1" x14ac:dyDescent="0.25">
      <c r="B108" s="20" t="s">
        <v>323</v>
      </c>
      <c r="C108" s="25" t="str">
        <f>_xll.BDP($B108,C$6)</f>
        <v>US Foreign Net Transactions</v>
      </c>
      <c r="D108" s="36" t="str">
        <f t="shared" si="6"/>
        <v>FRNTTOTL Index</v>
      </c>
      <c r="E108" s="37">
        <f>_xll.BDP($B108,E$6)</f>
        <v>74.603200000000001</v>
      </c>
      <c r="F108" s="25" t="str">
        <f>_xll.BDP($B108,F$6)</f>
        <v>US Foreign Net Transactions</v>
      </c>
      <c r="G108" s="38">
        <f>_xll.BDP($B108,G$6)</f>
        <v>9.7989999999999995</v>
      </c>
      <c r="H108" s="38" t="str">
        <f>_xll.BDP($B108,H$6)</f>
        <v>#N/A N/A</v>
      </c>
      <c r="I108" s="38">
        <f>_xll.BDP($B108,I$6)</f>
        <v>-27.367000000000001</v>
      </c>
      <c r="J108" s="25" t="str">
        <f>_xll.BDP($B108,J$6)</f>
        <v>None</v>
      </c>
      <c r="K108" s="25" t="str">
        <f>_xll.BDP($B108,K$6)</f>
        <v>#N/A N/A</v>
      </c>
      <c r="L108" s="25" t="str">
        <f>_xll.BDP($B108,L$6)</f>
        <v>Mar</v>
      </c>
      <c r="M108" s="39" t="str">
        <f>_xll.BDP($B108,M$6)</f>
        <v>2/28/2015</v>
      </c>
      <c r="N108" s="39" t="str">
        <f>_xll.BDP($B108,N$6)</f>
        <v>1/31/2015</v>
      </c>
      <c r="O108" s="25" t="str">
        <f>_xll.BDP($B108,O$6)</f>
        <v>Monthly</v>
      </c>
      <c r="P108" s="39" t="str">
        <f>_xll.BDP($B108,P$6)</f>
        <v>5/15/2015</v>
      </c>
      <c r="Q108" s="39">
        <f t="shared" si="7"/>
        <v>42139</v>
      </c>
      <c r="R108" s="25" t="str">
        <f>_xll.BDP($B108,R$6)</f>
        <v>4:00:00 PM</v>
      </c>
      <c r="S108" s="25">
        <f>_xll.BDP($B108,S$6)</f>
        <v>74.603200000000001</v>
      </c>
      <c r="T108" s="25" t="str">
        <f>_xll.BDP($B108,T$6)</f>
        <v>UNITED STATES</v>
      </c>
      <c r="U108" s="25" t="str">
        <f>_xll.BDP($B108,U$6)</f>
        <v>This is the sum of gross purchases by foreigners from US residents minus gross sales by foreigners to US residents. The categories are as follows: US Treasury Bonds &amp; Notes, US Gov't Agency Bonds, US Corp Bonds, US Corp Stocks, Foreign Bonds, and Foreign Stocks. This data is for long-term securites, for example US Treasury Bills are not included.                                                    History is stored independently for monthly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v>
      </c>
    </row>
    <row r="109" spans="2:21" ht="20.100000000000001" customHeight="1" x14ac:dyDescent="0.25">
      <c r="B109" s="20" t="s">
        <v>326</v>
      </c>
      <c r="C109" s="25" t="str">
        <f>_xll.BDP($B109,C$6)</f>
        <v>US Treasury International Capital Net Monthly Inflows Total</v>
      </c>
      <c r="D109" s="36" t="str">
        <f t="shared" si="6"/>
        <v>FRNTTNET Index</v>
      </c>
      <c r="E109" s="37">
        <f>_xll.BDP($B109,E$6)</f>
        <v>67.460300000000004</v>
      </c>
      <c r="F109" s="25" t="str">
        <f>_xll.BDP($B109,F$6)</f>
        <v>US Treasury International Capi</v>
      </c>
      <c r="G109" s="38">
        <f>_xll.BDP($B109,G$6)</f>
        <v>4.1379999999999999</v>
      </c>
      <c r="H109" s="38" t="str">
        <f>_xll.BDP($B109,H$6)</f>
        <v>#N/A N/A</v>
      </c>
      <c r="I109" s="38">
        <f>_xll.BDP($B109,I$6)</f>
        <v>50.962000000000003</v>
      </c>
      <c r="J109" s="25" t="str">
        <f>_xll.BDP($B109,J$6)</f>
        <v>None</v>
      </c>
      <c r="K109" s="25" t="str">
        <f>_xll.BDP($B109,K$6)</f>
        <v>#N/A N/A</v>
      </c>
      <c r="L109" s="25" t="str">
        <f>_xll.BDP($B109,L$6)</f>
        <v>Mar</v>
      </c>
      <c r="M109" s="39" t="str">
        <f>_xll.BDP($B109,M$6)</f>
        <v>2/28/2015</v>
      </c>
      <c r="N109" s="39" t="str">
        <f>_xll.BDP($B109,N$6)</f>
        <v>1/31/2015</v>
      </c>
      <c r="O109" s="25" t="str">
        <f>_xll.BDP($B109,O$6)</f>
        <v>Monthly</v>
      </c>
      <c r="P109" s="39" t="str">
        <f>_xll.BDP($B109,P$6)</f>
        <v>5/15/2015</v>
      </c>
      <c r="Q109" s="39">
        <f t="shared" si="7"/>
        <v>42139</v>
      </c>
      <c r="R109" s="25" t="str">
        <f>_xll.BDP($B109,R$6)</f>
        <v>4:00:00 PM</v>
      </c>
      <c r="S109" s="25">
        <f>_xll.BDP($B109,S$6)</f>
        <v>67.460300000000004</v>
      </c>
      <c r="T109" s="25" t="str">
        <f>_xll.BDP($B109,T$6)</f>
        <v>UNITED STATES</v>
      </c>
      <c r="U109" s="25" t="str">
        <f>_xll.BDP($B109,U$6)</f>
        <v>Represents the sum of US Net Private Transaction &amp; Net Official in other words FRNTTPVT index + FRNTTOFF index                                                  History is stored independently for monthly and yearly frequencies.             HP values for these frequencies may not match each other. Note that when only one frequency is stored in history, for the other frequencies, history is derived from that of the stored frequency.  For example, HP W, HP M, HP Q and HP Y will derive data from HP D when only daily history is stored; HP Q and HP Y will derive data from HP M when only monthly history is stored. As another example, if both daily and monthly are stored, HP W will derive data from HP D, while HP Q and HP Y will derive data from HP M and so on.</v>
      </c>
    </row>
    <row r="110" spans="2:21" ht="20.100000000000001" customHeight="1" x14ac:dyDescent="0.25">
      <c r="B110" s="20" t="s">
        <v>316</v>
      </c>
      <c r="C110" s="25" t="str">
        <f>_xll.BDP($B110,C$6)</f>
        <v>National Association of Home Builders Market Index SA</v>
      </c>
      <c r="D110" s="36" t="str">
        <f t="shared" si="6"/>
        <v>USHBMIDX Index</v>
      </c>
      <c r="E110" s="37">
        <f>_xll.BDP($B110,E$6)</f>
        <v>47.619</v>
      </c>
      <c r="F110" s="25" t="str">
        <f>_xll.BDP($B110,F$6)</f>
        <v>National Association of Home B</v>
      </c>
      <c r="G110" s="38">
        <f>_xll.BDP($B110,G$6)</f>
        <v>56</v>
      </c>
      <c r="H110" s="38" t="str">
        <f>_xll.BDP($B110,H$6)</f>
        <v>#N/A N/A</v>
      </c>
      <c r="I110" s="38">
        <f>_xll.BDP($B110,I$6)</f>
        <v>52</v>
      </c>
      <c r="J110" s="25" t="str">
        <f>_xll.BDP($B110,J$6)</f>
        <v>None</v>
      </c>
      <c r="K110" s="25" t="str">
        <f>_xll.BDP($B110,K$6)</f>
        <v>% Balance/Diffusion Index SA</v>
      </c>
      <c r="L110" s="25" t="str">
        <f>_xll.BDP($B110,L$6)</f>
        <v>May</v>
      </c>
      <c r="M110" s="39" t="str">
        <f>_xll.BDP($B110,M$6)</f>
        <v>4/30/2015</v>
      </c>
      <c r="N110" s="39" t="str">
        <f>_xll.BDP($B110,N$6)</f>
        <v>3/31/2015</v>
      </c>
      <c r="O110" s="25" t="str">
        <f>_xll.BDP($B110,O$6)</f>
        <v>Monthly</v>
      </c>
      <c r="P110" s="39" t="str">
        <f>_xll.BDP($B110,P$6)</f>
        <v>5/18/2015</v>
      </c>
      <c r="Q110" s="39">
        <f t="shared" si="7"/>
        <v>42142</v>
      </c>
      <c r="R110" s="25" t="str">
        <f>_xll.BDP($B110,R$6)</f>
        <v>10:00:00 AM</v>
      </c>
      <c r="S110" s="25">
        <f>_xll.BDP($B110,S$6)</f>
        <v>47.619</v>
      </c>
      <c r="T110" s="25" t="str">
        <f>_xll.BDP($B110,T$6)</f>
        <v>United States</v>
      </c>
      <c r="U110" s="25" t="str">
        <f>_xll.BDP($B110,U$6)</f>
        <v>This concept tracks sentiment among participants in the housing industry.       A reading above 50 indicates more builders view conditions as good than poor.</v>
      </c>
    </row>
    <row r="111" spans="2:21" ht="20.100000000000001" customHeight="1" x14ac:dyDescent="0.25">
      <c r="B111" s="20" t="s">
        <v>330</v>
      </c>
      <c r="C111" s="25" t="str">
        <f>_xll.BDP($B111,C$6)</f>
        <v>US New Privately Owned Housing Units Started by Structure Total SAAR</v>
      </c>
      <c r="D111" s="36" t="str">
        <f t="shared" si="6"/>
        <v>NHSPSTOT Index</v>
      </c>
      <c r="E111" s="37">
        <f>_xll.BDP($B111,E$6)</f>
        <v>89.682500000000005</v>
      </c>
      <c r="F111" s="25" t="str">
        <f>_xll.BDP($B111,F$6)</f>
        <v>US New Privately Owned Housing</v>
      </c>
      <c r="G111" s="38">
        <f>_xll.BDP($B111,G$6)</f>
        <v>926</v>
      </c>
      <c r="H111" s="38" t="str">
        <f>_xll.BDP($B111,H$6)</f>
        <v>#N/A N/A</v>
      </c>
      <c r="I111" s="38">
        <f>_xll.BDP($B111,I$6)</f>
        <v>908</v>
      </c>
      <c r="J111" s="25" t="str">
        <f>_xll.BDP($B111,J$6)</f>
        <v>Thousand</v>
      </c>
      <c r="K111" s="25" t="str">
        <f>_xll.BDP($B111,K$6)</f>
        <v>Units/Persons SAAR</v>
      </c>
      <c r="L111" s="25" t="str">
        <f>_xll.BDP($B111,L$6)</f>
        <v>Apr</v>
      </c>
      <c r="M111" s="39" t="str">
        <f>_xll.BDP($B111,M$6)</f>
        <v>3/31/2015</v>
      </c>
      <c r="N111" s="39" t="str">
        <f>_xll.BDP($B111,N$6)</f>
        <v>2/28/2015</v>
      </c>
      <c r="O111" s="25" t="str">
        <f>_xll.BDP($B111,O$6)</f>
        <v>Monthly</v>
      </c>
      <c r="P111" s="39" t="str">
        <f>_xll.BDP($B111,P$6)</f>
        <v>5/19/2015</v>
      </c>
      <c r="Q111" s="39">
        <f t="shared" si="7"/>
        <v>42143</v>
      </c>
      <c r="R111" s="25" t="str">
        <f>_xll.BDP($B111,R$6)</f>
        <v>8:30:00 AM</v>
      </c>
      <c r="S111" s="25">
        <f>_xll.BDP($B111,S$6)</f>
        <v>89.682500000000005</v>
      </c>
      <c r="T111" s="25" t="str">
        <f>_xll.BDP($B111,T$6)</f>
        <v>United States</v>
      </c>
      <c r="U111" s="25" t="str">
        <f>_xll.BDP($B111,U$6)</f>
        <v>As per the U.S. Commerce Department's Bureau of the Census, Private Residential Real Estate Activity in Thousands of Units. Seasonally Adjusted Annual rates.ALLX NHSP &lt;GO&gt; provides these totals broken into regions Northeast, Midwest, South and West.                                                                                                This index tracks New Privately Owned Housing Units Started.  It includes total 1 unit, 2 unit, 3 &amp; 4 units, 5 or more units.</v>
      </c>
    </row>
    <row r="112" spans="2:21" ht="20.100000000000001" customHeight="1" x14ac:dyDescent="0.25">
      <c r="B112" s="20" t="s">
        <v>336</v>
      </c>
      <c r="C112" s="25" t="str">
        <f>_xll.BDP($B112,C$6)</f>
        <v>Private Housing Authorized by Bldg Permits by Type Total SAAR</v>
      </c>
      <c r="D112" s="36" t="str">
        <f t="shared" si="6"/>
        <v>NHSPATOT Index</v>
      </c>
      <c r="E112" s="37">
        <f>_xll.BDP($B112,E$6)</f>
        <v>62.777799999999999</v>
      </c>
      <c r="F112" s="25" t="str">
        <f>_xll.BDP($B112,F$6)</f>
        <v>Private Housing Authorized by</v>
      </c>
      <c r="G112" s="38">
        <f>_xll.BDP($B112,G$6)</f>
        <v>1039</v>
      </c>
      <c r="H112" s="38" t="str">
        <f>_xll.BDP($B112,H$6)</f>
        <v>#N/A N/A</v>
      </c>
      <c r="I112" s="38">
        <f>_xll.BDP($B112,I$6)</f>
        <v>1102</v>
      </c>
      <c r="J112" s="25" t="str">
        <f>_xll.BDP($B112,J$6)</f>
        <v>Thousand</v>
      </c>
      <c r="K112" s="25" t="str">
        <f>_xll.BDP($B112,K$6)</f>
        <v>Units/Persons SAAR</v>
      </c>
      <c r="L112" s="25" t="str">
        <f>_xll.BDP($B112,L$6)</f>
        <v>Apr</v>
      </c>
      <c r="M112" s="39" t="str">
        <f>_xll.BDP($B112,M$6)</f>
        <v>3/31/2015</v>
      </c>
      <c r="N112" s="39" t="str">
        <f>_xll.BDP($B112,N$6)</f>
        <v>2/28/2015</v>
      </c>
      <c r="O112" s="25" t="str">
        <f>_xll.BDP($B112,O$6)</f>
        <v>Monthly</v>
      </c>
      <c r="P112" s="39" t="str">
        <f>_xll.BDP($B112,P$6)</f>
        <v>5/19/2015</v>
      </c>
      <c r="Q112" s="39">
        <f t="shared" si="7"/>
        <v>42143</v>
      </c>
      <c r="R112" s="25" t="str">
        <f>_xll.BDP($B112,R$6)</f>
        <v>8:30:00 AM</v>
      </c>
      <c r="S112" s="25">
        <f>_xll.BDP($B112,S$6)</f>
        <v>62.777799999999999</v>
      </c>
      <c r="T112" s="25" t="str">
        <f>_xll.BDP($B112,T$6)</f>
        <v>United States</v>
      </c>
      <c r="U112" s="25" t="str">
        <f>_xll.BDP($B112,U$6)</f>
        <v>As per the U.S. Commerce Department's Bureau of the Census, Private Residential Real Estate Activity in Thousands of Units. Seasonally Adjusted Annual rates.ALLX NHSP &lt;GO&gt; provides these totals broken into regions Northeast, Midwest, South and West.                                                                       Ç</v>
      </c>
    </row>
    <row r="113" spans="2:21" ht="20.100000000000001" customHeight="1" x14ac:dyDescent="0.25">
      <c r="B113" s="20" t="s">
        <v>333</v>
      </c>
      <c r="C113" s="25" t="str">
        <f>_xll.BDP($B113,C$6)</f>
        <v>Private Housing Units Started by Structure Total Monthly % Change SA</v>
      </c>
      <c r="D113" s="36" t="str">
        <f t="shared" si="6"/>
        <v>NHCHSTCH Index</v>
      </c>
      <c r="E113" s="37">
        <f>_xll.BDP($B113,E$6)</f>
        <v>30.1587</v>
      </c>
      <c r="F113" s="25" t="str">
        <f>_xll.BDP($B113,F$6)</f>
        <v>Private Housing Units Started</v>
      </c>
      <c r="G113" s="38">
        <f>_xll.BDP($B113,G$6)</f>
        <v>2</v>
      </c>
      <c r="H113" s="38" t="str">
        <f>_xll.BDP($B113,H$6)</f>
        <v>#N/A N/A</v>
      </c>
      <c r="I113" s="38">
        <f>_xll.BDP($B113,I$6)</f>
        <v>-15.3</v>
      </c>
      <c r="J113" s="25" t="str">
        <f>_xll.BDP($B113,J$6)</f>
        <v>None</v>
      </c>
      <c r="K113" s="25" t="str">
        <f>_xll.BDP($B113,K$6)</f>
        <v>MoM% SA</v>
      </c>
      <c r="L113" s="25" t="str">
        <f>_xll.BDP($B113,L$6)</f>
        <v>Apr</v>
      </c>
      <c r="M113" s="39" t="str">
        <f>_xll.BDP($B113,M$6)</f>
        <v>3/31/2015</v>
      </c>
      <c r="N113" s="39" t="str">
        <f>_xll.BDP($B113,N$6)</f>
        <v>2/28/2015</v>
      </c>
      <c r="O113" s="25" t="str">
        <f>_xll.BDP($B113,O$6)</f>
        <v>Monthly</v>
      </c>
      <c r="P113" s="39" t="str">
        <f>_xll.BDP($B113,P$6)</f>
        <v>5/19/2015</v>
      </c>
      <c r="Q113" s="39">
        <f t="shared" si="7"/>
        <v>42143</v>
      </c>
      <c r="R113" s="25" t="str">
        <f>_xll.BDP($B113,R$6)</f>
        <v>8:30:00 AM</v>
      </c>
      <c r="S113" s="25">
        <f>_xll.BDP($B113,S$6)</f>
        <v>30.1587</v>
      </c>
      <c r="T113" s="25" t="str">
        <f>_xll.BDP($B113,T$6)</f>
        <v>United States</v>
      </c>
      <c r="U113" s="25" t="str">
        <f>_xll.BDP($B113,U$6)</f>
        <v>Index % change is based from NHSPSTOT (index) total # of authorized housing starts % change.</v>
      </c>
    </row>
    <row r="114" spans="2:21" ht="20.100000000000001" customHeight="1" x14ac:dyDescent="0.25">
      <c r="B114" s="20" t="s">
        <v>339</v>
      </c>
      <c r="C114" s="25" t="str">
        <f>_xll.BDP($B114,C$6)</f>
        <v>Private Total Housing Authorized by Building Permits MoM SA</v>
      </c>
      <c r="D114" s="36" t="str">
        <f t="shared" si="6"/>
        <v>NHCHATCH Index</v>
      </c>
      <c r="E114" s="37">
        <f>_xll.BDP($B114,E$6)</f>
        <v>26.984100000000002</v>
      </c>
      <c r="F114" s="25" t="str">
        <f>_xll.BDP($B114,F$6)</f>
        <v>Private Total Housing Authoriz</v>
      </c>
      <c r="G114" s="38">
        <f>_xll.BDP($B114,G$6)</f>
        <v>-5.7</v>
      </c>
      <c r="H114" s="38" t="str">
        <f>_xll.BDP($B114,H$6)</f>
        <v>#N/A N/A</v>
      </c>
      <c r="I114" s="38">
        <f>_xll.BDP($B114,I$6)</f>
        <v>4</v>
      </c>
      <c r="J114" s="25" t="str">
        <f>_xll.BDP($B114,J$6)</f>
        <v>None</v>
      </c>
      <c r="K114" s="25" t="str">
        <f>_xll.BDP($B114,K$6)</f>
        <v>MoM% SA</v>
      </c>
      <c r="L114" s="25" t="str">
        <f>_xll.BDP($B114,L$6)</f>
        <v>Apr</v>
      </c>
      <c r="M114" s="39" t="str">
        <f>_xll.BDP($B114,M$6)</f>
        <v>3/31/2015</v>
      </c>
      <c r="N114" s="39" t="str">
        <f>_xll.BDP($B114,N$6)</f>
        <v>2/28/2015</v>
      </c>
      <c r="O114" s="25" t="str">
        <f>_xll.BDP($B114,O$6)</f>
        <v>Monthly</v>
      </c>
      <c r="P114" s="39" t="str">
        <f>_xll.BDP($B114,P$6)</f>
        <v>5/19/2015</v>
      </c>
      <c r="Q114" s="39">
        <f t="shared" si="7"/>
        <v>42143</v>
      </c>
      <c r="R114" s="25" t="str">
        <f>_xll.BDP($B114,R$6)</f>
        <v>8:30:00 AM</v>
      </c>
      <c r="S114" s="25">
        <f>_xll.BDP($B114,S$6)</f>
        <v>26.984100000000002</v>
      </c>
      <c r="T114" s="25" t="str">
        <f>_xll.BDP($B114,T$6)</f>
        <v>United States</v>
      </c>
      <c r="U114" s="25" t="str">
        <f>_xll.BDP($B114,U$6)</f>
        <v>#N/A Field Not Applicable</v>
      </c>
    </row>
    <row r="115" spans="2:21" ht="20.100000000000001" customHeight="1" x14ac:dyDescent="0.25">
      <c r="B115" s="20" t="s">
        <v>346</v>
      </c>
      <c r="C115" s="25" t="str">
        <f>_xll.BDP($B115,C$6)</f>
        <v>Bloomberg US National Economy Expectations Diffusion Index</v>
      </c>
      <c r="D115" s="36" t="str">
        <f t="shared" si="6"/>
        <v>COMFBTWR Index</v>
      </c>
      <c r="E115" s="37">
        <f>_xll.BDP($B115,E$6)</f>
        <v>43.650799999999997</v>
      </c>
      <c r="F115" s="25" t="str">
        <f>_xll.BDP($B115,F$6)</f>
        <v>Bloomberg US National Economy</v>
      </c>
      <c r="G115" s="38">
        <f>_xll.BDP($B115,G$6)</f>
        <v>50</v>
      </c>
      <c r="H115" s="38" t="str">
        <f>_xll.BDP($B115,H$6)</f>
        <v>#N/A N/A</v>
      </c>
      <c r="I115" s="38">
        <f>_xll.BDP($B115,I$6)</f>
        <v>51.5</v>
      </c>
      <c r="J115" s="25" t="str">
        <f>_xll.BDP($B115,J$6)</f>
        <v>None</v>
      </c>
      <c r="K115" s="25" t="str">
        <f>_xll.BDP($B115,K$6)</f>
        <v>% Balance/Diffusion Index NSA</v>
      </c>
      <c r="L115" s="25" t="str">
        <f>_xll.BDP($B115,L$6)</f>
        <v>May</v>
      </c>
      <c r="M115" s="39" t="str">
        <f>_xll.BDP($B115,M$6)</f>
        <v>4/30/2015</v>
      </c>
      <c r="N115" s="39" t="str">
        <f>_xll.BDP($B115,N$6)</f>
        <v>3/31/2015</v>
      </c>
      <c r="O115" s="25" t="str">
        <f>_xll.BDP($B115,O$6)</f>
        <v>Monthly</v>
      </c>
      <c r="P115" s="39" t="str">
        <f>_xll.BDP($B115,P$6)</f>
        <v>5/21/2015</v>
      </c>
      <c r="Q115" s="39">
        <f t="shared" si="7"/>
        <v>42145</v>
      </c>
      <c r="R115" s="25" t="str">
        <f>_xll.BDP($B115,R$6)</f>
        <v>9:45:00 AM</v>
      </c>
      <c r="S115" s="25">
        <f>_xll.BDP($B115,S$6)</f>
        <v>43.650799999999997</v>
      </c>
      <c r="T115" s="25" t="str">
        <f>_xll.BDP($B115,T$6)</f>
        <v>United States</v>
      </c>
      <c r="U115" s="25" t="str">
        <f>_xll.BDP($B115,U$6)</f>
        <v>Ç                                                                               Survey question asked: Do you think the nation's economy is getting better, getting worse or staying the same?</v>
      </c>
    </row>
    <row r="116" spans="2:21" ht="20.100000000000001" customHeight="1" x14ac:dyDescent="0.25">
      <c r="B116" s="20" t="s">
        <v>350</v>
      </c>
      <c r="C116" s="25" t="str">
        <f>_xll.BDP($B116,C$6)</f>
        <v>Philadelphia Fed Business Outlook Survey Diffusion Index General Conditions</v>
      </c>
      <c r="D116" s="36" t="str">
        <f t="shared" si="6"/>
        <v>OUTFGAF Index</v>
      </c>
      <c r="E116" s="37">
        <f>_xll.BDP($B116,E$6)</f>
        <v>78.571399999999997</v>
      </c>
      <c r="F116" s="25" t="str">
        <f>_xll.BDP($B116,F$6)</f>
        <v>Philadelphia Fed Business Outl</v>
      </c>
      <c r="G116" s="38">
        <f>_xll.BDP($B116,G$6)</f>
        <v>7.5</v>
      </c>
      <c r="H116" s="38" t="str">
        <f>_xll.BDP($B116,H$6)</f>
        <v>#N/A N/A</v>
      </c>
      <c r="I116" s="38">
        <f>_xll.BDP($B116,I$6)</f>
        <v>5</v>
      </c>
      <c r="J116" s="25" t="str">
        <f>_xll.BDP($B116,J$6)</f>
        <v>None</v>
      </c>
      <c r="K116" s="25" t="str">
        <f>_xll.BDP($B116,K$6)</f>
        <v>% Balance/Diffusion Index SA</v>
      </c>
      <c r="L116" s="25" t="str">
        <f>_xll.BDP($B116,L$6)</f>
        <v>May</v>
      </c>
      <c r="M116" s="39" t="str">
        <f>_xll.BDP($B116,M$6)</f>
        <v>4/30/2015</v>
      </c>
      <c r="N116" s="39" t="str">
        <f>_xll.BDP($B116,N$6)</f>
        <v>3/31/2015</v>
      </c>
      <c r="O116" s="25" t="str">
        <f>_xll.BDP($B116,O$6)</f>
        <v>Monthly</v>
      </c>
      <c r="P116" s="39" t="str">
        <f>_xll.BDP($B116,P$6)</f>
        <v>5/21/2015</v>
      </c>
      <c r="Q116" s="39">
        <f t="shared" si="7"/>
        <v>42145</v>
      </c>
      <c r="R116" s="25" t="str">
        <f>_xll.BDP($B116,R$6)</f>
        <v>10:00:00 AM</v>
      </c>
      <c r="S116" s="25">
        <f>_xll.BDP($B116,S$6)</f>
        <v>78.571399999999997</v>
      </c>
      <c r="T116" s="25" t="str">
        <f>_xll.BDP($B116,T$6)</f>
        <v>United States</v>
      </c>
      <c r="U116" s="25" t="str">
        <f>_xll.BDP($B116,U$6)</f>
        <v>Federal Reserve Bank of Philadelphia:Business outlook survey diffusion.             Each January seasonally adjusted history is revised.</v>
      </c>
    </row>
    <row r="117" spans="2:21" ht="20.100000000000001" customHeight="1" x14ac:dyDescent="0.25">
      <c r="B117" s="20" t="s">
        <v>453</v>
      </c>
      <c r="C117" s="25" t="str">
        <f>_xll.BDP($B117,C$6)</f>
        <v>US Initial Jobless Claims NSA</v>
      </c>
      <c r="D117" s="36" t="str">
        <f t="shared" si="6"/>
        <v>INJCJCNS Index</v>
      </c>
      <c r="E117" s="37" t="str">
        <f>_xll.BDP($B117,E$6)</f>
        <v>#N/A Field Not Applicable</v>
      </c>
      <c r="F117" s="25" t="str">
        <f>_xll.BDP($B117,F$6)</f>
        <v>US Initial Jobless Claims NSA</v>
      </c>
      <c r="G117" s="38">
        <f>_xll.BDP($B117,G$6)</f>
        <v>307.5</v>
      </c>
      <c r="H117" s="38" t="str">
        <f>_xll.BDP($B117,H$6)</f>
        <v>#N/A N/A</v>
      </c>
      <c r="I117" s="38">
        <f>_xll.BDP($B117,I$6)</f>
        <v>253.5</v>
      </c>
      <c r="J117" s="25" t="str">
        <f>_xll.BDP($B117,J$6)</f>
        <v>Thousand</v>
      </c>
      <c r="K117" s="25" t="str">
        <f>_xll.BDP($B117,K$6)</f>
        <v>Units/Persons NSA</v>
      </c>
      <c r="L117" s="25" t="str">
        <f>_xll.BDP($B117,L$6)</f>
        <v>#N/A Field Not Applicable</v>
      </c>
      <c r="M117" s="25" t="str">
        <f>_xll.BDP($B117,M$6)</f>
        <v>4/10/2015</v>
      </c>
      <c r="N117" s="25" t="str">
        <f>_xll.BDP($B117,N$6)</f>
        <v>4/3/2015</v>
      </c>
      <c r="O117" s="25" t="str">
        <f>_xll.BDP($B117,O$6)</f>
        <v>Weekly on Friday</v>
      </c>
      <c r="P117" s="25" t="str">
        <f>_xll.BDP($B117,P$6)</f>
        <v>#N/A Field Not Applicable</v>
      </c>
      <c r="Q117" s="39" t="e">
        <f t="shared" si="7"/>
        <v>#VALUE!</v>
      </c>
      <c r="R117" s="25" t="str">
        <f>_xll.BDP($B117,R$6)</f>
        <v>#N/A Field Not Applicable</v>
      </c>
      <c r="S117" s="25" t="str">
        <f>_xll.BDP($B117,S$6)</f>
        <v>#N/A Field Not Applicable</v>
      </c>
      <c r="T117" s="25" t="str">
        <f>_xll.BDP($B117,T$6)</f>
        <v>United States</v>
      </c>
      <c r="U117" s="25" t="str">
        <f>_xll.BDP($B117,U$6)</f>
        <v>Weekly initial jobless claims is the actual number of people who have filed for Unemployment benefits for the first time. Following five (5) eligibility criteria must be met in order to file for unemployment benefits: 1. Meet the requirements of time worked during a 1 year period (full time or not).  2.  Become unemployed through no fault of your own (cannot be fired).  3. Must be able to work; no physical or mental holdbacks.  4.  Must be available for work.  5.  Must be actively seeking work.</v>
      </c>
    </row>
    <row r="118" spans="2:21" ht="20.100000000000001" customHeight="1" x14ac:dyDescent="0.25">
      <c r="B118" s="20" t="s">
        <v>454</v>
      </c>
      <c r="C118" s="25" t="str">
        <f>_xll.BDP($B118,C$6)</f>
        <v>US Employees on Nonfarm Payrolls Total SA</v>
      </c>
      <c r="D118" s="36" t="str">
        <f t="shared" si="6"/>
        <v>NFP T Index</v>
      </c>
      <c r="E118" s="37" t="str">
        <f>_xll.BDP($B118,E$6)</f>
        <v>#N/A Field Not Applicable</v>
      </c>
      <c r="F118" s="25" t="str">
        <f>_xll.BDP($B118,F$6)</f>
        <v>US Employees on Nonfarm Payrol</v>
      </c>
      <c r="G118" s="38">
        <f>_xll.BDP($B118,G$6)</f>
        <v>141183</v>
      </c>
      <c r="H118" s="38" t="str">
        <f>_xll.BDP($B118,H$6)</f>
        <v>#N/A N/A</v>
      </c>
      <c r="I118" s="38">
        <f>_xll.BDP($B118,I$6)</f>
        <v>141057</v>
      </c>
      <c r="J118" s="25" t="str">
        <f>_xll.BDP($B118,J$6)</f>
        <v>Thousand</v>
      </c>
      <c r="K118" s="25" t="str">
        <f>_xll.BDP($B118,K$6)</f>
        <v>Units/Persons SA</v>
      </c>
      <c r="L118" s="25" t="str">
        <f>_xll.BDP($B118,L$6)</f>
        <v>#N/A Field Not Applicable</v>
      </c>
      <c r="M118" s="25" t="str">
        <f>_xll.BDP($B118,M$6)</f>
        <v>3/31/2015</v>
      </c>
      <c r="N118" s="25" t="str">
        <f>_xll.BDP($B118,N$6)</f>
        <v>2/28/2015</v>
      </c>
      <c r="O118" s="25" t="str">
        <f>_xll.BDP($B118,O$6)</f>
        <v>Monthly</v>
      </c>
      <c r="P118" s="25" t="str">
        <f>_xll.BDP($B118,P$6)</f>
        <v>#N/A Field Not Applicable</v>
      </c>
      <c r="Q118" s="39" t="e">
        <f t="shared" si="7"/>
        <v>#VALUE!</v>
      </c>
      <c r="R118" s="25" t="str">
        <f>_xll.BDP($B118,R$6)</f>
        <v>#N/A Field Not Applicable</v>
      </c>
      <c r="S118" s="25" t="str">
        <f>_xll.BDP($B118,S$6)</f>
        <v>#N/A Field Not Applicable</v>
      </c>
      <c r="T118" s="25" t="str">
        <f>_xll.BDP($B118,T$6)</f>
        <v>United States</v>
      </c>
      <c r="U118" s="25" t="str">
        <f>_xll.BDP($B118,U$6)</f>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                                                            In June 2003, all figures from the establishment survey were converted from the Standard Industrial Classification (SIC) over to the North American Industry Classification System (NAICS).  As a result, new categories were created and all history was revised.  Please note that only the broader categories will have history dating back prior to 1990.</v>
      </c>
    </row>
    <row r="119" spans="2:21" ht="20.100000000000001" customHeight="1" x14ac:dyDescent="0.25">
      <c r="B119" s="20" t="s">
        <v>455</v>
      </c>
      <c r="C119" s="25" t="str">
        <f>_xll.BDP($B119,C$6)</f>
        <v>US Employees on Nonfarm Payrolls Total Net Change SA From Year Ago</v>
      </c>
      <c r="D119" s="36" t="str">
        <f t="shared" si="6"/>
        <v>NFP TYCH Index</v>
      </c>
      <c r="E119" s="37" t="str">
        <f>_xll.BDP($B119,E$6)</f>
        <v>#N/A Field Not Applicable</v>
      </c>
      <c r="F119" s="25" t="str">
        <f>_xll.BDP($B119,F$6)</f>
        <v>US Employees on Nonfarm Payrol</v>
      </c>
      <c r="G119" s="38">
        <f>_xll.BDP($B119,G$6)</f>
        <v>3128</v>
      </c>
      <c r="H119" s="38" t="str">
        <f>_xll.BDP($B119,H$6)</f>
        <v>#N/A N/A</v>
      </c>
      <c r="I119" s="38">
        <f>_xll.BDP($B119,I$6)</f>
        <v>3227</v>
      </c>
      <c r="J119" s="25" t="str">
        <f>_xll.BDP($B119,J$6)</f>
        <v>Thousand</v>
      </c>
      <c r="K119" s="25" t="str">
        <f>_xll.BDP($B119,K$6)</f>
        <v>Net Yearly Change SA</v>
      </c>
      <c r="L119" s="25" t="str">
        <f>_xll.BDP($B119,L$6)</f>
        <v>#N/A Field Not Applicable</v>
      </c>
      <c r="M119" s="25" t="str">
        <f>_xll.BDP($B119,M$6)</f>
        <v>3/31/2015</v>
      </c>
      <c r="N119" s="25" t="str">
        <f>_xll.BDP($B119,N$6)</f>
        <v>2/28/2015</v>
      </c>
      <c r="O119" s="25" t="str">
        <f>_xll.BDP($B119,O$6)</f>
        <v>Monthly</v>
      </c>
      <c r="P119" s="25" t="str">
        <f>_xll.BDP($B119,P$6)</f>
        <v>#N/A Field Not Applicable</v>
      </c>
      <c r="Q119" s="39" t="e">
        <f t="shared" si="7"/>
        <v>#VALUE!</v>
      </c>
      <c r="R119" s="25" t="str">
        <f>_xll.BDP($B119,R$6)</f>
        <v>#N/A Field Not Applicable</v>
      </c>
      <c r="S119" s="25" t="str">
        <f>_xll.BDP($B119,S$6)</f>
        <v>#N/A Field Not Applicable</v>
      </c>
      <c r="T119" s="25" t="str">
        <f>_xll.BDP($B119,T$6)</f>
        <v>United States</v>
      </c>
      <c r="U119" s="25" t="str">
        <f>_xll.BDP($B119,U$6)</f>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v>
      </c>
    </row>
    <row r="120" spans="2:21" ht="20.100000000000001" customHeight="1" x14ac:dyDescent="0.25">
      <c r="B120" s="20" t="s">
        <v>456</v>
      </c>
      <c r="C120" s="25" t="str">
        <f>_xll.BDP($B120,C$6)</f>
        <v>US Employees on Nonfarm Payrolls Total SA MoM% Change</v>
      </c>
      <c r="D120" s="36" t="str">
        <f t="shared" si="6"/>
        <v>NFP TMOM Index</v>
      </c>
      <c r="E120" s="37" t="str">
        <f>_xll.BDP($B120,E$6)</f>
        <v>#N/A Field Not Applicable</v>
      </c>
      <c r="F120" s="25" t="str">
        <f>_xll.BDP($B120,F$6)</f>
        <v>US Employees on Nonfarm Payrol</v>
      </c>
      <c r="G120" s="38">
        <f>_xll.BDP($B120,G$6)</f>
        <v>0.09</v>
      </c>
      <c r="H120" s="38" t="str">
        <f>_xll.BDP($B120,H$6)</f>
        <v>#N/A N/A</v>
      </c>
      <c r="I120" s="38">
        <f>_xll.BDP($B120,I$6)</f>
        <v>0.19</v>
      </c>
      <c r="J120" s="25" t="str">
        <f>_xll.BDP($B120,J$6)</f>
        <v>None</v>
      </c>
      <c r="K120" s="25" t="str">
        <f>_xll.BDP($B120,K$6)</f>
        <v>MoM% SA</v>
      </c>
      <c r="L120" s="25" t="str">
        <f>_xll.BDP($B120,L$6)</f>
        <v>#N/A Field Not Applicable</v>
      </c>
      <c r="M120" s="25" t="str">
        <f>_xll.BDP($B120,M$6)</f>
        <v>3/31/2015</v>
      </c>
      <c r="N120" s="25" t="str">
        <f>_xll.BDP($B120,N$6)</f>
        <v>2/28/2015</v>
      </c>
      <c r="O120" s="25" t="str">
        <f>_xll.BDP($B120,O$6)</f>
        <v>Monthly</v>
      </c>
      <c r="P120" s="25" t="str">
        <f>_xll.BDP($B120,P$6)</f>
        <v>#N/A Field Not Applicable</v>
      </c>
      <c r="Q120" s="39" t="e">
        <f t="shared" si="7"/>
        <v>#VALUE!</v>
      </c>
      <c r="R120" s="25" t="str">
        <f>_xll.BDP($B120,R$6)</f>
        <v>#N/A Field Not Applicable</v>
      </c>
      <c r="S120" s="25" t="str">
        <f>_xll.BDP($B120,S$6)</f>
        <v>#N/A Field Not Applicable</v>
      </c>
      <c r="T120" s="25" t="str">
        <f>_xll.BDP($B120,T$6)</f>
        <v>United States</v>
      </c>
      <c r="U120" s="25" t="str">
        <f>_xll.BDP($B120,U$6)</f>
        <v>The establishment survey provides information on employment, hours, and earnings of employees on nonfarm payrolls; the data appear in the "B" tables, marked ESTABLISHMENT DATA. BLS collects these data each month from the payroll records of a sample of nonagricultural businessestablishments. The sample includes about 140,000 businesses and governmentagencies representing approximately 440,000 worksites and is drawn from asampling frame of roughly 9 million unemployment insurance tax accounts.The active sample includes approximately one-third of all nonfarm payrollemployees.</v>
      </c>
    </row>
    <row r="121" spans="2:21" ht="20.100000000000001" customHeight="1" x14ac:dyDescent="0.25">
      <c r="B121" s="20" t="s">
        <v>457</v>
      </c>
      <c r="C121" s="25" t="str">
        <f>_xll.BDP($B121,C$6)</f>
        <v>US Employees on Nonfarm Payrolls Total SA Year Over Year Percent Change</v>
      </c>
      <c r="D121" s="36" t="str">
        <f t="shared" si="6"/>
        <v>NFP TYOY Index</v>
      </c>
      <c r="E121" s="37" t="str">
        <f>_xll.BDP($B121,E$6)</f>
        <v>#N/A Field Not Applicable</v>
      </c>
      <c r="F121" s="25" t="str">
        <f>_xll.BDP($B121,F$6)</f>
        <v>US Employees on Nonfarm Payrol</v>
      </c>
      <c r="G121" s="38">
        <f>_xll.BDP($B121,G$6)</f>
        <v>2.27</v>
      </c>
      <c r="H121" s="38" t="str">
        <f>_xll.BDP($B121,H$6)</f>
        <v>#N/A N/A</v>
      </c>
      <c r="I121" s="38">
        <f>_xll.BDP($B121,I$6)</f>
        <v>2.34</v>
      </c>
      <c r="J121" s="25" t="str">
        <f>_xll.BDP($B121,J$6)</f>
        <v>None</v>
      </c>
      <c r="K121" s="25" t="str">
        <f>_xll.BDP($B121,K$6)</f>
        <v>YoY% SA</v>
      </c>
      <c r="L121" s="25" t="str">
        <f>_xll.BDP($B121,L$6)</f>
        <v>#N/A Field Not Applicable</v>
      </c>
      <c r="M121" s="25" t="str">
        <f>_xll.BDP($B121,M$6)</f>
        <v>3/31/2015</v>
      </c>
      <c r="N121" s="25" t="str">
        <f>_xll.BDP($B121,N$6)</f>
        <v>2/28/2015</v>
      </c>
      <c r="O121" s="25" t="str">
        <f>_xll.BDP($B121,O$6)</f>
        <v>Monthly</v>
      </c>
      <c r="P121" s="25" t="str">
        <f>_xll.BDP($B121,P$6)</f>
        <v>#N/A Field Not Applicable</v>
      </c>
      <c r="Q121" s="39" t="e">
        <f t="shared" si="7"/>
        <v>#VALUE!</v>
      </c>
      <c r="R121" s="25" t="str">
        <f>_xll.BDP($B121,R$6)</f>
        <v>#N/A Field Not Applicable</v>
      </c>
      <c r="S121" s="25" t="str">
        <f>_xll.BDP($B121,S$6)</f>
        <v>#N/A Field Not Applicable</v>
      </c>
      <c r="T121" s="25" t="str">
        <f>_xll.BDP($B121,T$6)</f>
        <v>United States</v>
      </c>
      <c r="U121" s="25" t="str">
        <f>_xll.BDP($B121,U$6)</f>
        <v>In June 2003, all figures from the establishment survey were converted from the Standard Industrial Classification (SIC) over to the North American Industry Classification System (NAICS).  As a result, new categories were created and all history was revised.  Please note that only the broader categories will have history dating back prior to 1990.</v>
      </c>
    </row>
    <row r="122" spans="2:21" ht="20.100000000000001" customHeight="1" x14ac:dyDescent="0.25">
      <c r="B122" s="26" t="s">
        <v>458</v>
      </c>
      <c r="C122" s="25" t="str">
        <f>_xll.BDP($B122,C$6)</f>
        <v>Conference Board Consumer Confidence SA 1985=100 YOY</v>
      </c>
      <c r="D122" s="36" t="str">
        <f t="shared" si="6"/>
        <v>CONCCYOY Index</v>
      </c>
      <c r="E122" s="37" t="str">
        <f>_xll.BDP($B122,E$6)</f>
        <v>#N/A Field Not Applicable</v>
      </c>
      <c r="F122" s="25" t="str">
        <f>_xll.BDP($B122,F$6)</f>
        <v>Conference Board Consumer Conf</v>
      </c>
      <c r="G122" s="38">
        <f>_xll.BDP($B122,G$6)</f>
        <v>20.7</v>
      </c>
      <c r="H122" s="38" t="str">
        <f>_xll.BDP($B122,H$6)</f>
        <v>#N/A N/A</v>
      </c>
      <c r="I122" s="38">
        <f>_xll.BDP($B122,I$6)</f>
        <v>26.2</v>
      </c>
      <c r="J122" s="25" t="str">
        <f>_xll.BDP($B122,J$6)</f>
        <v>None</v>
      </c>
      <c r="K122" s="25" t="str">
        <f>_xll.BDP($B122,K$6)</f>
        <v>YoY% SA</v>
      </c>
      <c r="L122" s="25" t="str">
        <f>_xll.BDP($B122,L$6)</f>
        <v>#N/A Field Not Applicable</v>
      </c>
      <c r="M122" s="25" t="str">
        <f>_xll.BDP($B122,M$6)</f>
        <v>3/31/2015</v>
      </c>
      <c r="N122" s="25" t="str">
        <f>_xll.BDP($B122,N$6)</f>
        <v>2/28/2015</v>
      </c>
      <c r="O122" s="25" t="str">
        <f>_xll.BDP($B122,O$6)</f>
        <v>Monthly</v>
      </c>
      <c r="P122" s="25" t="str">
        <f>_xll.BDP($B122,P$6)</f>
        <v>#N/A Field Not Applicable</v>
      </c>
      <c r="Q122" s="39" t="e">
        <f t="shared" si="7"/>
        <v>#VALUE!</v>
      </c>
      <c r="R122" s="25" t="str">
        <f>_xll.BDP($B122,R$6)</f>
        <v>#N/A Field Not Applicable</v>
      </c>
      <c r="S122" s="25" t="str">
        <f>_xll.BDP($B122,S$6)</f>
        <v>#N/A Field Not Applicable</v>
      </c>
      <c r="T122" s="25" t="str">
        <f>_xll.BDP($B122,T$6)</f>
        <v>United States</v>
      </c>
      <c r="U122" s="25" t="str">
        <f>_xll.BDP($B122,U$6)</f>
        <v>The underlying series for ''planned purchases'' (autos, homes, and major appliances) and ''vacation intentions'' showed larger increases in November 2010 levels, primarily due to sample design differences. These level shifts will be treated as breaks, and there will be no historial revisions. Neither series is included in or has any impact on the Consumer Confidence Index.The switch to the Census X-12 seasonal adjustment program produced only minor differences for both levels and month-to-month changes. As a result, The Conference Board did not find it necessary to undertake a full historical revision of the CCI time series based on the seasonal adjustment method. The restated data for November 2010, December 2010 and January 2011 (preliminary data) are based on the prior seasonal adjustment method.                                                                      This index is an average of responses to the following questions:               1. Respondents appraisal of current busi</v>
      </c>
    </row>
  </sheetData>
  <autoFilter ref="B6:U122">
    <sortState ref="B7:U20">
      <sortCondition ref="Q2:Q118"/>
    </sortState>
  </autoFilter>
  <conditionalFormatting sqref="Q1:Q3 Q5:Q1048576">
    <cfRule type="cellIs" dxfId="1" priority="3" operator="equal">
      <formula>+TODAY()+1</formula>
    </cfRule>
    <cfRule type="cellIs" dxfId="0" priority="4" operator="equal">
      <formula>+TODAY()</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Data!$C$18:$C$21</xm:f>
          </x14:formula1>
          <xm:sqref>C2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N119"/>
  <sheetViews>
    <sheetView zoomScale="90" zoomScaleNormal="90" workbookViewId="0">
      <selection activeCell="D22" sqref="D22"/>
    </sheetView>
  </sheetViews>
  <sheetFormatPr defaultColWidth="8.85546875" defaultRowHeight="15" x14ac:dyDescent="0.25"/>
  <cols>
    <col min="1" max="1" width="8.85546875" style="47"/>
    <col min="2" max="2" width="21.140625" style="46" customWidth="1"/>
    <col min="3" max="3" width="20.42578125" style="46" customWidth="1"/>
    <col min="4" max="4" width="13.85546875" style="47" customWidth="1"/>
    <col min="5" max="5" width="9.140625" style="46"/>
    <col min="6" max="6" width="8.85546875" style="47"/>
    <col min="7" max="7" width="9.140625" style="46"/>
    <col min="8" max="9" width="8.85546875" style="47"/>
    <col min="10" max="10" width="15.42578125" style="47" customWidth="1"/>
    <col min="11" max="11" width="2.85546875" style="47" customWidth="1"/>
    <col min="12" max="16384" width="8.85546875" style="47"/>
  </cols>
  <sheetData>
    <row r="2" spans="2:14" x14ac:dyDescent="0.25">
      <c r="J2" s="47" t="s">
        <v>713</v>
      </c>
      <c r="L2" s="47" t="s">
        <v>714</v>
      </c>
    </row>
    <row r="3" spans="2:14" s="45" customFormat="1" x14ac:dyDescent="0.25">
      <c r="B3" s="44" t="s">
        <v>464</v>
      </c>
      <c r="C3" s="44" t="s">
        <v>459</v>
      </c>
      <c r="D3" s="45" t="s">
        <v>460</v>
      </c>
      <c r="E3" s="44" t="s">
        <v>461</v>
      </c>
      <c r="F3" s="45" t="s">
        <v>462</v>
      </c>
      <c r="G3" s="44" t="s">
        <v>463</v>
      </c>
    </row>
    <row r="4" spans="2:14" x14ac:dyDescent="0.25">
      <c r="J4" s="47" t="s">
        <v>503</v>
      </c>
      <c r="L4" t="s">
        <v>14</v>
      </c>
      <c r="N4" s="25" t="s">
        <v>625</v>
      </c>
    </row>
    <row r="5" spans="2:14" x14ac:dyDescent="0.25">
      <c r="J5" s="47" t="s">
        <v>506</v>
      </c>
      <c r="L5" t="s">
        <v>128</v>
      </c>
      <c r="N5" s="25" t="s">
        <v>622</v>
      </c>
    </row>
    <row r="6" spans="2:14" x14ac:dyDescent="0.25">
      <c r="B6" s="46" t="s">
        <v>471</v>
      </c>
      <c r="C6" s="46" t="s">
        <v>465</v>
      </c>
      <c r="J6" s="47" t="s">
        <v>507</v>
      </c>
      <c r="L6" t="s">
        <v>106</v>
      </c>
      <c r="N6" s="25" t="s">
        <v>624</v>
      </c>
    </row>
    <row r="7" spans="2:14" x14ac:dyDescent="0.25">
      <c r="B7" s="46" t="s">
        <v>466</v>
      </c>
      <c r="J7" s="47" t="s">
        <v>693</v>
      </c>
      <c r="L7" t="s">
        <v>357</v>
      </c>
      <c r="N7" s="25" t="s">
        <v>623</v>
      </c>
    </row>
    <row r="8" spans="2:14" x14ac:dyDescent="0.25">
      <c r="J8" s="47" t="s">
        <v>694</v>
      </c>
      <c r="L8" t="s">
        <v>28</v>
      </c>
      <c r="N8" s="25" t="s">
        <v>600</v>
      </c>
    </row>
    <row r="9" spans="2:14" x14ac:dyDescent="0.25">
      <c r="J9" s="47" t="s">
        <v>695</v>
      </c>
      <c r="L9" t="s">
        <v>113</v>
      </c>
      <c r="N9" s="25" t="s">
        <v>616</v>
      </c>
    </row>
    <row r="10" spans="2:14" x14ac:dyDescent="0.25">
      <c r="J10" s="47" t="s">
        <v>696</v>
      </c>
      <c r="L10" t="s">
        <v>420</v>
      </c>
      <c r="N10" s="25" t="s">
        <v>644</v>
      </c>
    </row>
    <row r="11" spans="2:14" x14ac:dyDescent="0.25">
      <c r="J11" s="47" t="s">
        <v>697</v>
      </c>
      <c r="L11" t="s">
        <v>409</v>
      </c>
      <c r="N11" s="25" t="s">
        <v>554</v>
      </c>
    </row>
    <row r="12" spans="2:14" x14ac:dyDescent="0.25">
      <c r="H12" s="46"/>
      <c r="J12" s="47" t="s">
        <v>698</v>
      </c>
      <c r="L12" t="s">
        <v>259</v>
      </c>
      <c r="N12" s="25" t="s">
        <v>563</v>
      </c>
    </row>
    <row r="13" spans="2:14" x14ac:dyDescent="0.25">
      <c r="C13" s="46" t="s">
        <v>467</v>
      </c>
      <c r="D13" s="46" t="s">
        <v>472</v>
      </c>
      <c r="F13" s="46" t="s">
        <v>484</v>
      </c>
      <c r="J13" s="47" t="s">
        <v>699</v>
      </c>
      <c r="L13" t="s">
        <v>121</v>
      </c>
      <c r="N13" s="25" t="s">
        <v>564</v>
      </c>
    </row>
    <row r="14" spans="2:14" x14ac:dyDescent="0.25">
      <c r="C14" s="46" t="s">
        <v>468</v>
      </c>
      <c r="D14" s="46" t="s">
        <v>473</v>
      </c>
      <c r="F14" s="46" t="s">
        <v>485</v>
      </c>
      <c r="J14" s="47" t="s">
        <v>700</v>
      </c>
      <c r="L14" t="s">
        <v>330</v>
      </c>
      <c r="N14" s="25" t="s">
        <v>591</v>
      </c>
    </row>
    <row r="15" spans="2:14" x14ac:dyDescent="0.25">
      <c r="C15" s="46" t="s">
        <v>469</v>
      </c>
      <c r="D15" s="46" t="s">
        <v>474</v>
      </c>
      <c r="L15" t="s">
        <v>183</v>
      </c>
      <c r="N15" s="25" t="s">
        <v>601</v>
      </c>
    </row>
    <row r="16" spans="2:14" x14ac:dyDescent="0.25">
      <c r="C16" s="46" t="s">
        <v>470</v>
      </c>
      <c r="D16" s="46" t="s">
        <v>475</v>
      </c>
      <c r="L16" t="s">
        <v>306</v>
      </c>
      <c r="N16" s="25" t="s">
        <v>549</v>
      </c>
    </row>
    <row r="17" spans="3:14" x14ac:dyDescent="0.25">
      <c r="D17" s="46" t="s">
        <v>476</v>
      </c>
      <c r="H17" s="46"/>
      <c r="L17" t="s">
        <v>396</v>
      </c>
      <c r="N17" s="25" t="s">
        <v>574</v>
      </c>
    </row>
    <row r="18" spans="3:14" x14ac:dyDescent="0.25">
      <c r="C18" s="46" t="s">
        <v>533</v>
      </c>
      <c r="D18" s="46" t="s">
        <v>477</v>
      </c>
      <c r="H18" s="46"/>
      <c r="L18" t="s">
        <v>271</v>
      </c>
      <c r="N18" s="25" t="s">
        <v>574</v>
      </c>
    </row>
    <row r="19" spans="3:14" x14ac:dyDescent="0.25">
      <c r="C19" s="46" t="s">
        <v>534</v>
      </c>
      <c r="D19" s="46" t="s">
        <v>478</v>
      </c>
      <c r="H19" s="46"/>
      <c r="L19" t="s">
        <v>165</v>
      </c>
      <c r="N19" s="25" t="s">
        <v>651</v>
      </c>
    </row>
    <row r="20" spans="3:14" x14ac:dyDescent="0.25">
      <c r="C20" s="46" t="s">
        <v>535</v>
      </c>
      <c r="D20" s="46" t="s">
        <v>479</v>
      </c>
      <c r="H20" s="46"/>
      <c r="L20" t="s">
        <v>45</v>
      </c>
      <c r="N20" s="25" t="s">
        <v>548</v>
      </c>
    </row>
    <row r="21" spans="3:14" x14ac:dyDescent="0.25">
      <c r="C21" s="46" t="s">
        <v>536</v>
      </c>
      <c r="D21" s="46" t="s">
        <v>480</v>
      </c>
      <c r="L21" t="s">
        <v>48</v>
      </c>
      <c r="N21" s="25" t="s">
        <v>567</v>
      </c>
    </row>
    <row r="22" spans="3:14" x14ac:dyDescent="0.25">
      <c r="D22" s="46" t="s">
        <v>481</v>
      </c>
      <c r="L22" t="s">
        <v>154</v>
      </c>
      <c r="N22" s="25" t="s">
        <v>602</v>
      </c>
    </row>
    <row r="23" spans="3:14" x14ac:dyDescent="0.25">
      <c r="D23" s="46" t="s">
        <v>482</v>
      </c>
      <c r="L23" t="s">
        <v>379</v>
      </c>
      <c r="N23" s="25" t="s">
        <v>551</v>
      </c>
    </row>
    <row r="24" spans="3:14" x14ac:dyDescent="0.25">
      <c r="D24" s="46" t="s">
        <v>483</v>
      </c>
      <c r="L24" t="s">
        <v>117</v>
      </c>
      <c r="N24" s="25" t="s">
        <v>577</v>
      </c>
    </row>
    <row r="25" spans="3:14" x14ac:dyDescent="0.25">
      <c r="L25" t="s">
        <v>302</v>
      </c>
      <c r="N25" s="25" t="s">
        <v>579</v>
      </c>
    </row>
    <row r="26" spans="3:14" x14ac:dyDescent="0.25">
      <c r="L26" t="s">
        <v>102</v>
      </c>
      <c r="N26" s="25" t="s">
        <v>590</v>
      </c>
    </row>
    <row r="27" spans="3:14" x14ac:dyDescent="0.25">
      <c r="L27" t="s">
        <v>241</v>
      </c>
      <c r="N27" s="25" t="s">
        <v>592</v>
      </c>
    </row>
    <row r="28" spans="3:14" x14ac:dyDescent="0.25">
      <c r="L28" t="s">
        <v>125</v>
      </c>
      <c r="N28" s="25" t="s">
        <v>589</v>
      </c>
    </row>
    <row r="29" spans="3:14" x14ac:dyDescent="0.25">
      <c r="L29" t="s">
        <v>248</v>
      </c>
      <c r="N29" s="25" t="s">
        <v>598</v>
      </c>
    </row>
    <row r="30" spans="3:14" x14ac:dyDescent="0.25">
      <c r="L30" t="s">
        <v>350</v>
      </c>
      <c r="N30" s="25" t="s">
        <v>558</v>
      </c>
    </row>
    <row r="31" spans="3:14" x14ac:dyDescent="0.25">
      <c r="L31" t="s">
        <v>20</v>
      </c>
      <c r="N31" s="25" t="s">
        <v>565</v>
      </c>
    </row>
    <row r="32" spans="3:14" x14ac:dyDescent="0.25">
      <c r="L32" t="s">
        <v>67</v>
      </c>
      <c r="N32" s="25" t="s">
        <v>557</v>
      </c>
    </row>
    <row r="33" spans="12:14" x14ac:dyDescent="0.25">
      <c r="L33" t="s">
        <v>215</v>
      </c>
      <c r="N33" s="25" t="s">
        <v>566</v>
      </c>
    </row>
    <row r="34" spans="12:14" x14ac:dyDescent="0.25">
      <c r="L34" t="s">
        <v>255</v>
      </c>
      <c r="N34" s="25" t="s">
        <v>614</v>
      </c>
    </row>
    <row r="35" spans="12:14" x14ac:dyDescent="0.25">
      <c r="L35" t="s">
        <v>360</v>
      </c>
      <c r="N35" s="25" t="s">
        <v>615</v>
      </c>
    </row>
    <row r="36" spans="12:14" x14ac:dyDescent="0.25">
      <c r="L36" t="s">
        <v>323</v>
      </c>
      <c r="N36" s="25" t="s">
        <v>588</v>
      </c>
    </row>
    <row r="37" spans="12:14" x14ac:dyDescent="0.25">
      <c r="L37" t="s">
        <v>423</v>
      </c>
      <c r="N37" s="25" t="s">
        <v>550</v>
      </c>
    </row>
    <row r="38" spans="12:14" x14ac:dyDescent="0.25">
      <c r="L38" t="s">
        <v>131</v>
      </c>
      <c r="N38" s="25" t="s">
        <v>639</v>
      </c>
    </row>
    <row r="39" spans="12:14" x14ac:dyDescent="0.25">
      <c r="L39" t="s">
        <v>392</v>
      </c>
      <c r="N39" s="25" t="s">
        <v>613</v>
      </c>
    </row>
    <row r="40" spans="12:14" x14ac:dyDescent="0.25">
      <c r="L40" t="s">
        <v>280</v>
      </c>
      <c r="N40" s="25" t="s">
        <v>595</v>
      </c>
    </row>
    <row r="41" spans="12:14" x14ac:dyDescent="0.25">
      <c r="L41" t="s">
        <v>205</v>
      </c>
      <c r="N41" s="25" t="s">
        <v>619</v>
      </c>
    </row>
    <row r="42" spans="12:14" x14ac:dyDescent="0.25">
      <c r="L42" t="s">
        <v>208</v>
      </c>
      <c r="N42" s="25" t="s">
        <v>645</v>
      </c>
    </row>
    <row r="43" spans="12:14" x14ac:dyDescent="0.25">
      <c r="L43" t="s">
        <v>180</v>
      </c>
      <c r="N43" s="25" t="s">
        <v>641</v>
      </c>
    </row>
    <row r="44" spans="12:14" x14ac:dyDescent="0.25">
      <c r="L44" t="s">
        <v>151</v>
      </c>
      <c r="N44" s="25" t="s">
        <v>642</v>
      </c>
    </row>
    <row r="45" spans="12:14" x14ac:dyDescent="0.25">
      <c r="L45" t="s">
        <v>274</v>
      </c>
      <c r="N45" s="25" t="s">
        <v>643</v>
      </c>
    </row>
    <row r="46" spans="12:14" x14ac:dyDescent="0.25">
      <c r="L46" t="s">
        <v>17</v>
      </c>
      <c r="N46" s="25" t="s">
        <v>572</v>
      </c>
    </row>
    <row r="47" spans="12:14" x14ac:dyDescent="0.25">
      <c r="L47" t="s">
        <v>23</v>
      </c>
      <c r="N47" s="25" t="s">
        <v>569</v>
      </c>
    </row>
    <row r="48" spans="12:14" x14ac:dyDescent="0.25">
      <c r="L48" t="s">
        <v>283</v>
      </c>
      <c r="N48" s="25" t="s">
        <v>568</v>
      </c>
    </row>
    <row r="49" spans="12:14" x14ac:dyDescent="0.25">
      <c r="L49" t="s">
        <v>326</v>
      </c>
      <c r="N49" s="25" t="s">
        <v>573</v>
      </c>
    </row>
    <row r="50" spans="12:14" x14ac:dyDescent="0.25">
      <c r="L50" t="s">
        <v>158</v>
      </c>
      <c r="N50" s="25" t="s">
        <v>571</v>
      </c>
    </row>
    <row r="51" spans="12:14" x14ac:dyDescent="0.25">
      <c r="L51" t="s">
        <v>75</v>
      </c>
      <c r="N51" s="25" t="s">
        <v>570</v>
      </c>
    </row>
    <row r="52" spans="12:14" x14ac:dyDescent="0.25">
      <c r="L52" t="s">
        <v>386</v>
      </c>
      <c r="N52" s="25" t="s">
        <v>604</v>
      </c>
    </row>
    <row r="53" spans="12:14" x14ac:dyDescent="0.25">
      <c r="L53" t="s">
        <v>262</v>
      </c>
      <c r="N53" s="25" t="s">
        <v>611</v>
      </c>
    </row>
    <row r="54" spans="12:14" x14ac:dyDescent="0.25">
      <c r="L54" t="s">
        <v>363</v>
      </c>
      <c r="N54" s="25" t="s">
        <v>538</v>
      </c>
    </row>
    <row r="55" spans="12:14" x14ac:dyDescent="0.25">
      <c r="L55" t="s">
        <v>336</v>
      </c>
      <c r="N55" s="25" t="s">
        <v>539</v>
      </c>
    </row>
    <row r="56" spans="12:14" x14ac:dyDescent="0.25">
      <c r="L56" t="s">
        <v>265</v>
      </c>
      <c r="N56" s="25" t="s">
        <v>540</v>
      </c>
    </row>
    <row r="57" spans="12:14" x14ac:dyDescent="0.25">
      <c r="L57" t="s">
        <v>309</v>
      </c>
      <c r="N57" s="25" t="s">
        <v>537</v>
      </c>
    </row>
    <row r="58" spans="12:14" x14ac:dyDescent="0.25">
      <c r="L58" t="s">
        <v>290</v>
      </c>
      <c r="N58" s="25" t="s">
        <v>541</v>
      </c>
    </row>
    <row r="59" spans="12:14" x14ac:dyDescent="0.25">
      <c r="L59" t="s">
        <v>60</v>
      </c>
      <c r="N59" s="25" t="s">
        <v>594</v>
      </c>
    </row>
    <row r="60" spans="12:14" x14ac:dyDescent="0.25">
      <c r="L60" t="s">
        <v>426</v>
      </c>
      <c r="N60" s="25" t="s">
        <v>593</v>
      </c>
    </row>
    <row r="61" spans="12:14" x14ac:dyDescent="0.25">
      <c r="L61" t="s">
        <v>429</v>
      </c>
      <c r="N61" s="25" t="s">
        <v>607</v>
      </c>
    </row>
    <row r="62" spans="12:14" x14ac:dyDescent="0.25">
      <c r="L62" t="s">
        <v>89</v>
      </c>
      <c r="N62" s="25" t="s">
        <v>608</v>
      </c>
    </row>
    <row r="63" spans="12:14" x14ac:dyDescent="0.25">
      <c r="L63" t="s">
        <v>399</v>
      </c>
      <c r="N63" s="25" t="s">
        <v>609</v>
      </c>
    </row>
    <row r="64" spans="12:14" x14ac:dyDescent="0.25">
      <c r="L64" t="s">
        <v>412</v>
      </c>
      <c r="N64" s="25" t="s">
        <v>634</v>
      </c>
    </row>
    <row r="65" spans="12:14" x14ac:dyDescent="0.25">
      <c r="L65" t="s">
        <v>86</v>
      </c>
      <c r="N65" s="25" t="s">
        <v>556</v>
      </c>
    </row>
    <row r="66" spans="12:14" x14ac:dyDescent="0.25">
      <c r="L66" t="s">
        <v>366</v>
      </c>
      <c r="N66" s="25" t="s">
        <v>543</v>
      </c>
    </row>
    <row r="67" spans="12:14" x14ac:dyDescent="0.25">
      <c r="L67" t="s">
        <v>316</v>
      </c>
      <c r="N67" s="25" t="s">
        <v>546</v>
      </c>
    </row>
    <row r="68" spans="12:14" x14ac:dyDescent="0.25">
      <c r="L68" t="s">
        <v>135</v>
      </c>
      <c r="N68" s="25" t="s">
        <v>545</v>
      </c>
    </row>
    <row r="69" spans="12:14" x14ac:dyDescent="0.25">
      <c r="L69" t="s">
        <v>227</v>
      </c>
      <c r="N69" s="25" t="s">
        <v>542</v>
      </c>
    </row>
    <row r="70" spans="12:14" x14ac:dyDescent="0.25">
      <c r="L70" t="s">
        <v>63</v>
      </c>
      <c r="N70" s="25" t="s">
        <v>547</v>
      </c>
    </row>
    <row r="71" spans="12:14" x14ac:dyDescent="0.25">
      <c r="L71" t="s">
        <v>294</v>
      </c>
      <c r="N71" s="25" t="s">
        <v>544</v>
      </c>
    </row>
    <row r="72" spans="12:14" x14ac:dyDescent="0.25">
      <c r="L72" t="s">
        <v>346</v>
      </c>
      <c r="N72" s="25" t="s">
        <v>561</v>
      </c>
    </row>
    <row r="73" spans="12:14" x14ac:dyDescent="0.25">
      <c r="L73" t="s">
        <v>57</v>
      </c>
      <c r="N73" s="25" t="s">
        <v>562</v>
      </c>
    </row>
    <row r="74" spans="12:14" x14ac:dyDescent="0.25">
      <c r="L74" t="s">
        <v>372</v>
      </c>
      <c r="N74" s="25" t="s">
        <v>636</v>
      </c>
    </row>
    <row r="75" spans="12:14" x14ac:dyDescent="0.25">
      <c r="L75" t="s">
        <v>138</v>
      </c>
      <c r="N75" s="25" t="s">
        <v>605</v>
      </c>
    </row>
    <row r="76" spans="12:14" x14ac:dyDescent="0.25">
      <c r="L76" t="s">
        <v>142</v>
      </c>
      <c r="N76" s="25" t="s">
        <v>603</v>
      </c>
    </row>
    <row r="77" spans="12:14" x14ac:dyDescent="0.25">
      <c r="L77" t="s">
        <v>369</v>
      </c>
      <c r="N77" s="25" t="s">
        <v>648</v>
      </c>
    </row>
    <row r="78" spans="12:14" x14ac:dyDescent="0.25">
      <c r="L78" t="s">
        <v>79</v>
      </c>
      <c r="N78" s="25" t="s">
        <v>606</v>
      </c>
    </row>
    <row r="79" spans="12:14" x14ac:dyDescent="0.25">
      <c r="L79" t="s">
        <v>251</v>
      </c>
      <c r="N79" s="25" t="s">
        <v>647</v>
      </c>
    </row>
    <row r="80" spans="12:14" x14ac:dyDescent="0.25">
      <c r="L80" t="s">
        <v>95</v>
      </c>
      <c r="N80" s="25" t="s">
        <v>649</v>
      </c>
    </row>
    <row r="81" spans="12:14" x14ac:dyDescent="0.25">
      <c r="L81" t="s">
        <v>98</v>
      </c>
      <c r="N81" s="25" t="s">
        <v>650</v>
      </c>
    </row>
    <row r="82" spans="12:14" x14ac:dyDescent="0.25">
      <c r="L82" t="s">
        <v>70</v>
      </c>
      <c r="N82" s="25" t="s">
        <v>610</v>
      </c>
    </row>
    <row r="83" spans="12:14" x14ac:dyDescent="0.25">
      <c r="L83" t="s">
        <v>177</v>
      </c>
      <c r="N83" s="25" t="s">
        <v>553</v>
      </c>
    </row>
    <row r="84" spans="12:14" x14ac:dyDescent="0.25">
      <c r="L84" t="s">
        <v>333</v>
      </c>
      <c r="N84" s="25" t="s">
        <v>552</v>
      </c>
    </row>
    <row r="85" spans="12:14" x14ac:dyDescent="0.25">
      <c r="L85" t="s">
        <v>83</v>
      </c>
      <c r="N85" s="25" t="s">
        <v>637</v>
      </c>
    </row>
    <row r="86" spans="12:14" x14ac:dyDescent="0.25">
      <c r="L86" t="s">
        <v>186</v>
      </c>
      <c r="N86" s="25" t="s">
        <v>580</v>
      </c>
    </row>
    <row r="87" spans="12:14" x14ac:dyDescent="0.25">
      <c r="L87" t="s">
        <v>189</v>
      </c>
      <c r="N87" s="25" t="s">
        <v>578</v>
      </c>
    </row>
    <row r="88" spans="12:14" x14ac:dyDescent="0.25">
      <c r="L88" t="s">
        <v>339</v>
      </c>
      <c r="N88" s="25" t="s">
        <v>599</v>
      </c>
    </row>
    <row r="89" spans="12:14" x14ac:dyDescent="0.25">
      <c r="L89" t="s">
        <v>192</v>
      </c>
      <c r="N89" s="25" t="s">
        <v>620</v>
      </c>
    </row>
    <row r="90" spans="12:14" x14ac:dyDescent="0.25">
      <c r="L90" t="s">
        <v>220</v>
      </c>
      <c r="N90" s="25" t="s">
        <v>621</v>
      </c>
    </row>
    <row r="91" spans="12:14" x14ac:dyDescent="0.25">
      <c r="L91" t="s">
        <v>223</v>
      </c>
      <c r="N91" s="25" t="s">
        <v>635</v>
      </c>
    </row>
    <row r="92" spans="12:14" x14ac:dyDescent="0.25">
      <c r="L92" t="s">
        <v>198</v>
      </c>
      <c r="N92" s="25" t="s">
        <v>633</v>
      </c>
    </row>
    <row r="93" spans="12:14" x14ac:dyDescent="0.25">
      <c r="L93" t="s">
        <v>195</v>
      </c>
      <c r="N93" s="25" t="s">
        <v>646</v>
      </c>
    </row>
    <row r="94" spans="12:14" x14ac:dyDescent="0.25">
      <c r="L94" t="s">
        <v>416</v>
      </c>
      <c r="N94" s="25" t="s">
        <v>555</v>
      </c>
    </row>
    <row r="95" spans="12:14" x14ac:dyDescent="0.25">
      <c r="L95" t="s">
        <v>161</v>
      </c>
      <c r="N95" s="25" t="s">
        <v>617</v>
      </c>
    </row>
    <row r="96" spans="12:14" x14ac:dyDescent="0.25">
      <c r="L96" t="s">
        <v>268</v>
      </c>
      <c r="N96" s="25" t="s">
        <v>612</v>
      </c>
    </row>
    <row r="97" spans="12:14" x14ac:dyDescent="0.25">
      <c r="L97" t="s">
        <v>54</v>
      </c>
      <c r="N97" s="25" t="s">
        <v>596</v>
      </c>
    </row>
    <row r="98" spans="12:14" x14ac:dyDescent="0.25">
      <c r="L98" t="s">
        <v>312</v>
      </c>
      <c r="N98" s="25" t="s">
        <v>626</v>
      </c>
    </row>
    <row r="99" spans="12:14" x14ac:dyDescent="0.25">
      <c r="L99" t="s">
        <v>201</v>
      </c>
      <c r="N99" s="25" t="s">
        <v>560</v>
      </c>
    </row>
    <row r="100" spans="12:14" x14ac:dyDescent="0.25">
      <c r="L100" t="s">
        <v>174</v>
      </c>
      <c r="N100" s="25" t="s">
        <v>559</v>
      </c>
    </row>
    <row r="101" spans="12:14" x14ac:dyDescent="0.25">
      <c r="L101" t="s">
        <v>244</v>
      </c>
      <c r="N101" s="25" t="s">
        <v>640</v>
      </c>
    </row>
    <row r="102" spans="12:14" x14ac:dyDescent="0.25">
      <c r="L102" t="s">
        <v>212</v>
      </c>
      <c r="N102" s="25" t="s">
        <v>575</v>
      </c>
    </row>
    <row r="103" spans="12:14" x14ac:dyDescent="0.25">
      <c r="L103" t="s">
        <v>277</v>
      </c>
      <c r="N103" s="25" t="s">
        <v>576</v>
      </c>
    </row>
    <row r="104" spans="12:14" x14ac:dyDescent="0.25">
      <c r="L104" t="s">
        <v>40</v>
      </c>
      <c r="N104" s="25" t="s">
        <v>583</v>
      </c>
    </row>
    <row r="105" spans="12:14" x14ac:dyDescent="0.25">
      <c r="L105" t="s">
        <v>286</v>
      </c>
      <c r="N105" s="25" t="s">
        <v>584</v>
      </c>
    </row>
    <row r="106" spans="12:14" x14ac:dyDescent="0.25">
      <c r="L106" t="s">
        <v>37</v>
      </c>
      <c r="N106" s="25" t="s">
        <v>586</v>
      </c>
    </row>
    <row r="107" spans="12:14" x14ac:dyDescent="0.25">
      <c r="L107" t="s">
        <v>34</v>
      </c>
      <c r="N107" s="25" t="s">
        <v>585</v>
      </c>
    </row>
    <row r="108" spans="12:14" x14ac:dyDescent="0.25">
      <c r="L108" t="s">
        <v>31</v>
      </c>
      <c r="N108" s="25" t="s">
        <v>587</v>
      </c>
    </row>
    <row r="109" spans="12:14" x14ac:dyDescent="0.25">
      <c r="L109" t="s">
        <v>92</v>
      </c>
      <c r="N109" s="25" t="s">
        <v>582</v>
      </c>
    </row>
    <row r="110" spans="12:14" x14ac:dyDescent="0.25">
      <c r="L110" t="s">
        <v>51</v>
      </c>
      <c r="N110" s="25" t="s">
        <v>581</v>
      </c>
    </row>
    <row r="111" spans="12:14" x14ac:dyDescent="0.25">
      <c r="N111" s="25" t="s">
        <v>629</v>
      </c>
    </row>
    <row r="112" spans="12:14" x14ac:dyDescent="0.25">
      <c r="N112" s="25" t="s">
        <v>630</v>
      </c>
    </row>
    <row r="113" spans="14:14" x14ac:dyDescent="0.25">
      <c r="N113" s="25" t="s">
        <v>631</v>
      </c>
    </row>
    <row r="114" spans="14:14" x14ac:dyDescent="0.25">
      <c r="N114" s="25" t="s">
        <v>632</v>
      </c>
    </row>
    <row r="115" spans="14:14" x14ac:dyDescent="0.25">
      <c r="N115" s="25" t="s">
        <v>627</v>
      </c>
    </row>
    <row r="116" spans="14:14" x14ac:dyDescent="0.25">
      <c r="N116" s="25" t="s">
        <v>628</v>
      </c>
    </row>
    <row r="117" spans="14:14" x14ac:dyDescent="0.25">
      <c r="N117" s="25" t="s">
        <v>597</v>
      </c>
    </row>
    <row r="118" spans="14:14" x14ac:dyDescent="0.25">
      <c r="N118" s="25" t="s">
        <v>618</v>
      </c>
    </row>
    <row r="119" spans="14:14" x14ac:dyDescent="0.25">
      <c r="N119" s="25" t="s">
        <v>638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8"/>
  <sheetViews>
    <sheetView workbookViewId="0">
      <selection activeCell="F13" sqref="F13"/>
    </sheetView>
  </sheetViews>
  <sheetFormatPr defaultRowHeight="15" x14ac:dyDescent="0.25"/>
  <sheetData>
    <row r="2" spans="2:2" x14ac:dyDescent="0.25">
      <c r="B2" t="s">
        <v>701</v>
      </c>
    </row>
    <row r="3" spans="2:2" x14ac:dyDescent="0.25">
      <c r="B3" t="s">
        <v>709</v>
      </c>
    </row>
    <row r="4" spans="2:2" x14ac:dyDescent="0.25">
      <c r="B4" t="s">
        <v>710</v>
      </c>
    </row>
    <row r="5" spans="2:2" x14ac:dyDescent="0.25">
      <c r="B5" t="s">
        <v>711</v>
      </c>
    </row>
    <row r="6" spans="2:2" x14ac:dyDescent="0.25">
      <c r="B6" t="s">
        <v>712</v>
      </c>
    </row>
    <row r="7" spans="2:2" x14ac:dyDescent="0.25">
      <c r="B7" t="s">
        <v>780</v>
      </c>
    </row>
    <row r="8" spans="2:2" x14ac:dyDescent="0.25">
      <c r="B8" t="s">
        <v>781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13688709_20150327_170923_eco</vt:lpstr>
      <vt:lpstr>Economic Releases</vt:lpstr>
      <vt:lpstr>Most Up &amp; Down</vt:lpstr>
      <vt:lpstr>Currencies &amp; Commodities</vt:lpstr>
      <vt:lpstr>Security Analysis</vt:lpstr>
      <vt:lpstr>ECO Calendar</vt:lpstr>
      <vt:lpstr>Data</vt:lpstr>
      <vt:lpstr>ISSUES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User</cp:lastModifiedBy>
  <dcterms:created xsi:type="dcterms:W3CDTF">2015-03-27T22:51:43Z</dcterms:created>
  <dcterms:modified xsi:type="dcterms:W3CDTF">2015-04-19T17:51:28Z</dcterms:modified>
</cp:coreProperties>
</file>