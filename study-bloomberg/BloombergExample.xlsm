
<file path=[Content_Types].xml><?xml version="1.0" encoding="utf-8"?>
<Types xmlns="http://schemas.openxmlformats.org/package/2006/content-types"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defaultThemeVersion="124226"/>
  <bookViews>
    <workbookView xWindow="240" yWindow="105" windowWidth="14805" windowHeight="8010"/>
  </bookViews>
  <sheets>
    <sheet name="Sheet1" sheetId="15" r:id="rId1"/>
  </sheets>
  <calcPr calcId="152511"/>
</workbook>
</file>

<file path=xl/calcChain.xml><?xml version="1.0" encoding="utf-8"?>
<calcChain xmlns="http://schemas.openxmlformats.org/spreadsheetml/2006/main">
  <c r="H5" i="15" l="1"/>
  <c r="H6" i="15" s="1"/>
  <c r="H4" i="15"/>
  <c r="E7" i="15"/>
  <c r="D6" i="15"/>
  <c r="E5" i="15"/>
  <c r="D7" i="15"/>
  <c r="D5" i="15"/>
  <c r="E6" i="15"/>
  <c r="C6" i="15"/>
  <c r="B5" i="15"/>
  <c r="C5" i="15"/>
  <c r="C7" i="15"/>
  <c r="B7" i="15"/>
  <c r="B6" i="15"/>
  <c r="G6" i="15" l="1" a="1"/>
  <c r="G6" i="15" s="1"/>
  <c r="G7" i="15" a="1"/>
  <c r="G7" i="15" s="1"/>
  <c r="G5" i="15" a="1"/>
  <c r="G5" i="15" s="1"/>
  <c r="J5" i="15" a="1"/>
  <c r="J5" i="15" s="1"/>
</calcChain>
</file>

<file path=xl/sharedStrings.xml><?xml version="1.0" encoding="utf-8"?>
<sst xmlns="http://schemas.openxmlformats.org/spreadsheetml/2006/main" count="12" uniqueCount="12">
  <si>
    <t>CUR_MKT_CAP</t>
  </si>
  <si>
    <t>BETA_RAW_OVERRIDABLE</t>
  </si>
  <si>
    <t>0000630D Equity</t>
  </si>
  <si>
    <t>0000708D Equity</t>
  </si>
  <si>
    <t>0047042D Equity</t>
  </si>
  <si>
    <t>CUST_TRR_RETURN_HOLDING_PER</t>
  </si>
  <si>
    <t>PX_TO_BOOK_RATIO</t>
  </si>
  <si>
    <t>Energy Factor</t>
  </si>
  <si>
    <t>#N/A Requesting Data...</t>
  </si>
  <si>
    <t>1.BDP的特定日期,customize</t>
  </si>
  <si>
    <t>2.BDH的特定日期,仅有一个startdate,无enddate</t>
  </si>
  <si>
    <t>3.数组一起判断:对一批量的数据一起进行判断后再填入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</si>
</sst>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2" fontId="0" fillId="0" borderId="0" xfId="0" applyNumberFormat="1"/>
    <xf numFmtId="14" fontId="1" fillId="0" borderId="0" xfId="0" applyNumberFormat="1" applyFont="1"/>
    <xf numFmtId="49" fontId="1" fillId="0" borderId="0" xfId="0" applyNumberFormat="1" applyFont="1"/>
    <xf numFmtId="0" fontId="1" fillId="0" borderId="0" xfId="0" applyFont="1"/>
    <xf numFmtId="0" fontId="0" fillId="0" borderId="0" xfId="0" applyFont="1"/>
    <xf numFmtId="0" fontId="0" fillId="2" borderId="0" xfId="0" applyFill="1"/>
    <xf numFmtId="2" fontId="0" fillId="2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"/>
  <sheetViews>
    <sheetView tabSelected="1" workbookViewId="0">
      <selection activeCell="B13" sqref="B13"/>
    </sheetView>
  </sheetViews>
  <sheetFormatPr defaultRowHeight="15" x14ac:dyDescent="0.25"/>
  <cols>
    <col min="2" max="2" width="21.42578125" customWidth="1"/>
    <col min="3" max="3" width="24.42578125" bestFit="1" customWidth="1"/>
    <col min="4" max="4" width="19.5703125" bestFit="1" customWidth="1"/>
    <col min="5" max="5" width="14.42578125" bestFit="1" customWidth="1"/>
    <col min="6" max="6" width="12.85546875" bestFit="1" customWidth="1"/>
    <col min="8" max="8" width="9.7109375" bestFit="1" customWidth="1"/>
    <col min="9" max="9" width="10.7109375" bestFit="1" customWidth="1"/>
    <col min="10" max="10" width="22.5703125" bestFit="1" customWidth="1"/>
  </cols>
  <sheetData>
    <row r="1" spans="1:10" x14ac:dyDescent="0.25">
      <c r="A1" t="s">
        <v>9</v>
      </c>
    </row>
    <row r="2" spans="1:10" x14ac:dyDescent="0.25">
      <c r="A2" t="s">
        <v>10</v>
      </c>
    </row>
    <row r="3" spans="1:10" x14ac:dyDescent="0.25">
      <c r="A3" t="s">
        <v>11</v>
      </c>
    </row>
    <row r="4" spans="1:10" x14ac:dyDescent="0.25">
      <c r="A4" s="3"/>
      <c r="B4" s="5" t="s">
        <v>5</v>
      </c>
      <c r="C4" s="5" t="s">
        <v>1</v>
      </c>
      <c r="D4" s="3" t="s">
        <v>6</v>
      </c>
      <c r="E4" s="4" t="s">
        <v>0</v>
      </c>
      <c r="F4" s="3" t="s">
        <v>7</v>
      </c>
      <c r="G4" s="3"/>
      <c r="H4" s="3">
        <f>I7</f>
        <v>32962</v>
      </c>
      <c r="I4" s="1">
        <v>32871</v>
      </c>
      <c r="J4" s="6" t="s">
        <v>8</v>
      </c>
    </row>
    <row r="5" spans="1:10" x14ac:dyDescent="0.25">
      <c r="A5" t="s">
        <v>2</v>
      </c>
      <c r="B5" s="7" t="e">
        <f ca="1">_xll.BDP($A5,B$3, "CUST_TRR_END_DT",TEXT($H$3,"yyyymmdd"), "CUST_TRR_START_DT",TEXT($H$4,"yyyymmdd"))</f>
        <v>#NAME?</v>
      </c>
      <c r="C5" s="2" t="e">
        <f ca="1">_xll.BDP($A5,C$3,"BETA_OVERRIDE_END_DT",TEXT($H$4,"yyyymmdd"), "BETA_OVERRIDE_START_DT",TEXT($H$5,"yyyymmdd"), "BETA_OVERRIDE_REL_INDEX=RAY Index","BETA_OVERRIDE_PERIOD=M")</f>
        <v>#NAME?</v>
      </c>
      <c r="D5" s="8" t="e">
        <f ca="1">_xll.BDH($A5,D$3,$H$4)</f>
        <v>#NAME?</v>
      </c>
      <c r="E5" s="2" t="e">
        <f ca="1">_xll.BDH($A5,E$3,$H$4)</f>
        <v>#NAME?</v>
      </c>
      <c r="F5">
        <v>0</v>
      </c>
      <c r="G5" s="7" t="b">
        <f t="array" aca="1" ref="G5" ca="1">AND(ISNUMBER(B5:E5))</f>
        <v>0</v>
      </c>
      <c r="H5" s="3">
        <f>I6</f>
        <v>32932</v>
      </c>
      <c r="I5" s="1">
        <v>32904</v>
      </c>
      <c r="J5" t="e">
        <f t="array" aca="1" ref="J5" ca="1">IF(OR($B$4:$E$6=J4),"not ready","ready")</f>
        <v>#NAME?</v>
      </c>
    </row>
    <row r="6" spans="1:10" x14ac:dyDescent="0.25">
      <c r="A6" t="s">
        <v>3</v>
      </c>
      <c r="B6" t="e">
        <f ca="1">_xll.BDP($A6,B$3, "CUST_TRR_END_DT",TEXT($H$3,"yyyymmdd"), "CUST_TRR_START_DT",TEXT($H$4,"yyyymmdd"))</f>
        <v>#NAME?</v>
      </c>
      <c r="C6" s="2" t="e">
        <f ca="1">_xll.BDP($A6,C$3,"BETA_OVERRIDE_END_DT",TEXT($H$4,"yyyymmdd"), "BETA_OVERRIDE_START_DT",TEXT($H$5,"yyyymmdd"), "BETA_OVERRIDE_REL_INDEX=RAY Index","BETA_OVERRIDE_PERIOD=M")</f>
        <v>#NAME?</v>
      </c>
      <c r="D6" s="2" t="e">
        <f ca="1">_xll.BDH($A6,D$3,$H$4)</f>
        <v>#NAME?</v>
      </c>
      <c r="E6" s="2" t="e">
        <f ca="1">_xll.BDH($A6,E$3,$H$4)</f>
        <v>#NAME?</v>
      </c>
      <c r="F6">
        <v>0</v>
      </c>
      <c r="G6" t="b">
        <f t="array" aca="1" ref="G6" ca="1">AND(ISNUMBER(B6:E6))</f>
        <v>0</v>
      </c>
      <c r="H6" s="3">
        <f>EDATE(H5,-60)</f>
        <v>31106</v>
      </c>
      <c r="I6" s="1">
        <v>32932</v>
      </c>
    </row>
    <row r="7" spans="1:10" x14ac:dyDescent="0.25">
      <c r="A7" t="s">
        <v>4</v>
      </c>
      <c r="B7" t="e">
        <f ca="1">_xll.BDP($A7,B$3, "CUST_TRR_END_DT",TEXT($H$3,"yyyymmdd"), "CUST_TRR_START_DT",TEXT($H$4,"yyyymmdd"))</f>
        <v>#NAME?</v>
      </c>
      <c r="C7" s="2" t="e">
        <f ca="1">_xll.BDP($A7,C$3,"BETA_OVERRIDE_END_DT",TEXT($H$4,"yyyymmdd"), "BETA_OVERRIDE_START_DT",TEXT($H$5,"yyyymmdd"), "BETA_OVERRIDE_REL_INDEX=RAY Index","BETA_OVERRIDE_PERIOD=M")</f>
        <v>#NAME?</v>
      </c>
      <c r="D7" s="2" t="e">
        <f ca="1">_xll.BDH($A7,D$3,$H$4)</f>
        <v>#NAME?</v>
      </c>
      <c r="E7" s="2" t="e">
        <f ca="1">_xll.BDH($A7,E$3,$H$4)</f>
        <v>#NAME?</v>
      </c>
      <c r="F7">
        <v>0</v>
      </c>
      <c r="G7" t="b">
        <f t="array" aca="1" ref="G7" ca="1">AND(ISNUMBER(B7:E7))</f>
        <v>0</v>
      </c>
      <c r="I7" s="1">
        <v>32962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2015-11-04T23:17:08Z</dcterms:modified>
</cp:coreProperties>
</file>